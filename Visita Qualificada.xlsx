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ssele Empreed\Downloads\"/>
    </mc:Choice>
  </mc:AlternateContent>
  <xr:revisionPtr revIDLastSave="0" documentId="13_ncr:1_{BB36C8CA-8DC0-4E5D-B156-F835BC5D7B67}" xr6:coauthVersionLast="47" xr6:coauthVersionMax="47" xr10:uidLastSave="{00000000-0000-0000-0000-000000000000}"/>
  <bookViews>
    <workbookView xWindow="-21825" yWindow="-345" windowWidth="21600" windowHeight="11235" activeTab="5" xr2:uid="{00000000-000D-0000-FFFF-FFFF00000000}"/>
  </bookViews>
  <sheets>
    <sheet name="Dados" sheetId="1" r:id="rId1"/>
    <sheet name="Sem duplicadas" sheetId="2" state="hidden" r:id="rId2"/>
    <sheet name="Visitas gerais" sheetId="3" r:id="rId3"/>
    <sheet name="Visitas" sheetId="4" r:id="rId4"/>
    <sheet name="Limpo" sheetId="5" r:id="rId5"/>
    <sheet name="Ranking Visita Qualificada" sheetId="6" r:id="rId6"/>
  </sheets>
  <definedNames>
    <definedName name="_xlnm._FilterDatabase" localSheetId="4" hidden="1">Limpo!$A$1:$L$1033</definedName>
    <definedName name="_xlnm._FilterDatabase" localSheetId="1" hidden="1">'Sem duplicadas'!$A$3:$DY$59</definedName>
    <definedName name="_xlnm._FilterDatabase" localSheetId="3" hidden="1">Visitas!$A$1:$M$104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6" l="1"/>
  <c r="L8" i="6"/>
  <c r="L7" i="6"/>
  <c r="L6" i="6"/>
  <c r="O5" i="6"/>
  <c r="N5" i="6"/>
  <c r="L5" i="6"/>
  <c r="L4" i="6"/>
  <c r="O3" i="6"/>
  <c r="N3" i="6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F59" i="2"/>
  <c r="CJ59" i="2"/>
  <c r="CI59" i="2"/>
  <c r="CH59" i="2"/>
  <c r="CF59" i="2"/>
  <c r="CE59" i="2"/>
  <c r="CD59" i="2"/>
  <c r="CC59" i="2"/>
  <c r="BS59" i="2"/>
  <c r="BK59" i="2"/>
  <c r="BH59" i="2"/>
  <c r="BG59" i="2"/>
  <c r="AZ59" i="2"/>
  <c r="AS59" i="2"/>
  <c r="AG59" i="2"/>
  <c r="AF59" i="2"/>
  <c r="Y59" i="2"/>
  <c r="X59" i="2"/>
  <c r="V59" i="2"/>
  <c r="R59" i="2"/>
  <c r="Q59" i="2"/>
  <c r="L59" i="2"/>
  <c r="K59" i="2"/>
  <c r="J59" i="2"/>
  <c r="I59" i="2"/>
  <c r="H59" i="2"/>
  <c r="G59" i="2"/>
  <c r="F59" i="2"/>
  <c r="E59" i="2"/>
  <c r="D59" i="2"/>
  <c r="C59" i="2"/>
  <c r="A59" i="2"/>
  <c r="DF58" i="2"/>
  <c r="DC58" i="2"/>
  <c r="CJ58" i="2"/>
  <c r="CF58" i="2"/>
  <c r="CE58" i="2"/>
  <c r="CD58" i="2"/>
  <c r="CC58" i="2"/>
  <c r="BS58" i="2"/>
  <c r="BG58" i="2"/>
  <c r="AZ58" i="2"/>
  <c r="AG58" i="2"/>
  <c r="AF58" i="2"/>
  <c r="AA58" i="2"/>
  <c r="Y58" i="2"/>
  <c r="X58" i="2"/>
  <c r="V58" i="2"/>
  <c r="U58" i="2"/>
  <c r="T58" i="2"/>
  <c r="L58" i="2"/>
  <c r="K58" i="2"/>
  <c r="J58" i="2"/>
  <c r="I58" i="2"/>
  <c r="H58" i="2"/>
  <c r="G58" i="2"/>
  <c r="F58" i="2"/>
  <c r="E58" i="2"/>
  <c r="D58" i="2"/>
  <c r="C58" i="2"/>
  <c r="B58" i="2"/>
  <c r="A58" i="2"/>
  <c r="DF57" i="2"/>
  <c r="CJ57" i="2"/>
  <c r="CF57" i="2"/>
  <c r="CE57" i="2"/>
  <c r="CC57" i="2"/>
  <c r="BS57" i="2"/>
  <c r="BG57" i="2"/>
  <c r="AZ57" i="2"/>
  <c r="AG57" i="2"/>
  <c r="AF57" i="2"/>
  <c r="Y57" i="2"/>
  <c r="X57" i="2"/>
  <c r="V57" i="2"/>
  <c r="R57" i="2"/>
  <c r="Q57" i="2"/>
  <c r="L57" i="2"/>
  <c r="K57" i="2"/>
  <c r="J57" i="2"/>
  <c r="I57" i="2"/>
  <c r="H57" i="2"/>
  <c r="G57" i="2"/>
  <c r="F57" i="2"/>
  <c r="E57" i="2"/>
  <c r="D57" i="2"/>
  <c r="C57" i="2"/>
  <c r="B57" i="2"/>
  <c r="A57" i="2"/>
  <c r="DF56" i="2"/>
  <c r="CJ56" i="2"/>
  <c r="CF56" i="2"/>
  <c r="CE56" i="2"/>
  <c r="CD56" i="2"/>
  <c r="CC56" i="2"/>
  <c r="BS56" i="2"/>
  <c r="BG56" i="2"/>
  <c r="AZ56" i="2"/>
  <c r="AG56" i="2"/>
  <c r="AF56" i="2"/>
  <c r="Y56" i="2"/>
  <c r="X56" i="2"/>
  <c r="V56" i="2"/>
  <c r="R56" i="2"/>
  <c r="Q56" i="2"/>
  <c r="L56" i="2"/>
  <c r="K56" i="2"/>
  <c r="J56" i="2"/>
  <c r="I56" i="2"/>
  <c r="H56" i="2"/>
  <c r="G56" i="2"/>
  <c r="F56" i="2"/>
  <c r="E56" i="2"/>
  <c r="D56" i="2"/>
  <c r="C56" i="2"/>
  <c r="B56" i="2"/>
  <c r="A56" i="2"/>
  <c r="DF55" i="2"/>
  <c r="CJ55" i="2"/>
  <c r="CF55" i="2"/>
  <c r="CE55" i="2"/>
  <c r="CD55" i="2"/>
  <c r="CC55" i="2"/>
  <c r="BS55" i="2"/>
  <c r="BG55" i="2"/>
  <c r="AZ55" i="2"/>
  <c r="AG55" i="2"/>
  <c r="AF55" i="2"/>
  <c r="AA55" i="2"/>
  <c r="Y55" i="2"/>
  <c r="X55" i="2"/>
  <c r="V55" i="2"/>
  <c r="U55" i="2"/>
  <c r="T55" i="2"/>
  <c r="L55" i="2"/>
  <c r="K55" i="2"/>
  <c r="J55" i="2"/>
  <c r="I55" i="2"/>
  <c r="H55" i="2"/>
  <c r="G55" i="2"/>
  <c r="F55" i="2"/>
  <c r="E55" i="2"/>
  <c r="D55" i="2"/>
  <c r="C55" i="2"/>
  <c r="B55" i="2"/>
  <c r="A55" i="2"/>
  <c r="DF54" i="2"/>
  <c r="DC54" i="2"/>
  <c r="CJ54" i="2"/>
  <c r="CF54" i="2"/>
  <c r="CE54" i="2"/>
  <c r="CC54" i="2"/>
  <c r="BS54" i="2"/>
  <c r="BG54" i="2"/>
  <c r="AM54" i="2"/>
  <c r="AG54" i="2"/>
  <c r="AF54" i="2"/>
  <c r="Y54" i="2"/>
  <c r="X54" i="2"/>
  <c r="V54" i="2"/>
  <c r="R54" i="2"/>
  <c r="Q54" i="2"/>
  <c r="L54" i="2"/>
  <c r="K54" i="2"/>
  <c r="J54" i="2"/>
  <c r="I54" i="2"/>
  <c r="H54" i="2"/>
  <c r="G54" i="2"/>
  <c r="F54" i="2"/>
  <c r="E54" i="2"/>
  <c r="D54" i="2"/>
  <c r="C54" i="2"/>
  <c r="A54" i="2"/>
  <c r="DF53" i="2"/>
  <c r="CC53" i="2"/>
  <c r="BG53" i="2"/>
  <c r="AG53" i="2"/>
  <c r="AF53" i="2"/>
  <c r="AA53" i="2"/>
  <c r="Y53" i="2"/>
  <c r="X53" i="2"/>
  <c r="V53" i="2"/>
  <c r="U53" i="2"/>
  <c r="T53" i="2"/>
  <c r="L53" i="2"/>
  <c r="K53" i="2"/>
  <c r="J53" i="2"/>
  <c r="I53" i="2"/>
  <c r="H53" i="2"/>
  <c r="G53" i="2"/>
  <c r="F53" i="2"/>
  <c r="E53" i="2"/>
  <c r="D53" i="2"/>
  <c r="C53" i="2"/>
  <c r="B53" i="2"/>
  <c r="A53" i="2"/>
  <c r="DF52" i="2"/>
  <c r="CJ52" i="2"/>
  <c r="CF52" i="2"/>
  <c r="CE52" i="2"/>
  <c r="CC52" i="2"/>
  <c r="BS52" i="2"/>
  <c r="BG52" i="2"/>
  <c r="AZ52" i="2"/>
  <c r="AG52" i="2"/>
  <c r="AF52" i="2"/>
  <c r="Y52" i="2"/>
  <c r="X52" i="2"/>
  <c r="V52" i="2"/>
  <c r="R52" i="2"/>
  <c r="Q52" i="2"/>
  <c r="L52" i="2"/>
  <c r="K52" i="2"/>
  <c r="J52" i="2"/>
  <c r="I52" i="2"/>
  <c r="H52" i="2"/>
  <c r="G52" i="2"/>
  <c r="F52" i="2"/>
  <c r="E52" i="2"/>
  <c r="D52" i="2"/>
  <c r="C52" i="2"/>
  <c r="A52" i="2"/>
  <c r="DF51" i="2"/>
  <c r="DC51" i="2"/>
  <c r="CJ51" i="2"/>
  <c r="CF51" i="2"/>
  <c r="CE51" i="2"/>
  <c r="CC51" i="2"/>
  <c r="BG51" i="2"/>
  <c r="AZ51" i="2"/>
  <c r="AM51" i="2"/>
  <c r="AG51" i="2"/>
  <c r="AF51" i="2"/>
  <c r="Y51" i="2"/>
  <c r="X51" i="2"/>
  <c r="V51" i="2"/>
  <c r="R51" i="2"/>
  <c r="Q51" i="2"/>
  <c r="L51" i="2"/>
  <c r="K51" i="2"/>
  <c r="J51" i="2"/>
  <c r="I51" i="2"/>
  <c r="H51" i="2"/>
  <c r="G51" i="2"/>
  <c r="F51" i="2"/>
  <c r="E51" i="2"/>
  <c r="D51" i="2"/>
  <c r="C51" i="2"/>
  <c r="A51" i="2"/>
  <c r="DF50" i="2"/>
  <c r="CJ50" i="2"/>
  <c r="CF50" i="2"/>
  <c r="CE50" i="2"/>
  <c r="CD50" i="2"/>
  <c r="CC50" i="2"/>
  <c r="BG50" i="2"/>
  <c r="AZ50" i="2"/>
  <c r="AG50" i="2"/>
  <c r="AF50" i="2"/>
  <c r="Y50" i="2"/>
  <c r="X50" i="2"/>
  <c r="V50" i="2"/>
  <c r="R50" i="2"/>
  <c r="Q50" i="2"/>
  <c r="L50" i="2"/>
  <c r="K50" i="2"/>
  <c r="J50" i="2"/>
  <c r="I50" i="2"/>
  <c r="H50" i="2"/>
  <c r="G50" i="2"/>
  <c r="F50" i="2"/>
  <c r="E50" i="2"/>
  <c r="D50" i="2"/>
  <c r="C50" i="2"/>
  <c r="B50" i="2"/>
  <c r="A50" i="2"/>
  <c r="DF49" i="2"/>
  <c r="CJ49" i="2"/>
  <c r="CF49" i="2"/>
  <c r="CE49" i="2"/>
  <c r="CD49" i="2"/>
  <c r="CC49" i="2"/>
  <c r="BS49" i="2"/>
  <c r="BG49" i="2"/>
  <c r="AZ49" i="2"/>
  <c r="AG49" i="2"/>
  <c r="AF49" i="2"/>
  <c r="Y49" i="2"/>
  <c r="X49" i="2"/>
  <c r="V49" i="2"/>
  <c r="R49" i="2"/>
  <c r="Q49" i="2"/>
  <c r="L49" i="2"/>
  <c r="K49" i="2"/>
  <c r="J49" i="2"/>
  <c r="I49" i="2"/>
  <c r="H49" i="2"/>
  <c r="G49" i="2"/>
  <c r="F49" i="2"/>
  <c r="E49" i="2"/>
  <c r="D49" i="2"/>
  <c r="C49" i="2"/>
  <c r="A49" i="2"/>
  <c r="DF48" i="2"/>
  <c r="DC48" i="2"/>
  <c r="CJ48" i="2"/>
  <c r="CF48" i="2"/>
  <c r="CE48" i="2"/>
  <c r="CC48" i="2"/>
  <c r="BS48" i="2"/>
  <c r="BG48" i="2"/>
  <c r="AM48" i="2"/>
  <c r="AG48" i="2"/>
  <c r="AF48" i="2"/>
  <c r="Y48" i="2"/>
  <c r="X48" i="2"/>
  <c r="V48" i="2"/>
  <c r="R48" i="2"/>
  <c r="Q48" i="2"/>
  <c r="L48" i="2"/>
  <c r="K48" i="2"/>
  <c r="J48" i="2"/>
  <c r="I48" i="2"/>
  <c r="H48" i="2"/>
  <c r="G48" i="2"/>
  <c r="F48" i="2"/>
  <c r="E48" i="2"/>
  <c r="D48" i="2"/>
  <c r="C48" i="2"/>
  <c r="A48" i="2"/>
  <c r="DF47" i="2"/>
  <c r="CJ47" i="2"/>
  <c r="CH47" i="2"/>
  <c r="CF47" i="2"/>
  <c r="CE47" i="2"/>
  <c r="CD47" i="2"/>
  <c r="CC47" i="2"/>
  <c r="BS47" i="2"/>
  <c r="BK47" i="2"/>
  <c r="BH47" i="2"/>
  <c r="BG47" i="2"/>
  <c r="AS47" i="2"/>
  <c r="AG47" i="2"/>
  <c r="AF47" i="2"/>
  <c r="Y47" i="2"/>
  <c r="X47" i="2"/>
  <c r="V47" i="2"/>
  <c r="U47" i="2"/>
  <c r="T47" i="2"/>
  <c r="L47" i="2"/>
  <c r="K47" i="2"/>
  <c r="J47" i="2"/>
  <c r="I47" i="2"/>
  <c r="H47" i="2"/>
  <c r="G47" i="2"/>
  <c r="F47" i="2"/>
  <c r="E47" i="2"/>
  <c r="D47" i="2"/>
  <c r="C47" i="2"/>
  <c r="B47" i="2"/>
  <c r="A47" i="2"/>
  <c r="DF46" i="2"/>
  <c r="CC46" i="2"/>
  <c r="BG46" i="2"/>
  <c r="AG46" i="2"/>
  <c r="AF46" i="2"/>
  <c r="Y46" i="2"/>
  <c r="X46" i="2"/>
  <c r="V46" i="2"/>
  <c r="R46" i="2"/>
  <c r="Q46" i="2"/>
  <c r="L46" i="2"/>
  <c r="K46" i="2"/>
  <c r="J46" i="2"/>
  <c r="I46" i="2"/>
  <c r="H46" i="2"/>
  <c r="G46" i="2"/>
  <c r="F46" i="2"/>
  <c r="E46" i="2"/>
  <c r="D46" i="2"/>
  <c r="C46" i="2"/>
  <c r="B46" i="2"/>
  <c r="A46" i="2"/>
  <c r="DF45" i="2"/>
  <c r="CJ45" i="2"/>
  <c r="CF45" i="2"/>
  <c r="CE45" i="2"/>
  <c r="CD45" i="2"/>
  <c r="CC45" i="2"/>
  <c r="BG45" i="2"/>
  <c r="AZ45" i="2"/>
  <c r="AG45" i="2"/>
  <c r="AF45" i="2"/>
  <c r="Y45" i="2"/>
  <c r="X45" i="2"/>
  <c r="V45" i="2"/>
  <c r="R45" i="2"/>
  <c r="Q45" i="2"/>
  <c r="L45" i="2"/>
  <c r="K45" i="2"/>
  <c r="J45" i="2"/>
  <c r="I45" i="2"/>
  <c r="H45" i="2"/>
  <c r="G45" i="2"/>
  <c r="F45" i="2"/>
  <c r="E45" i="2"/>
  <c r="D45" i="2"/>
  <c r="C45" i="2"/>
  <c r="B45" i="2"/>
  <c r="A45" i="2"/>
  <c r="DF44" i="2"/>
  <c r="CF44" i="2"/>
  <c r="CE44" i="2"/>
  <c r="CC44" i="2"/>
  <c r="BS44" i="2"/>
  <c r="BG44" i="2"/>
  <c r="AZ44" i="2"/>
  <c r="AG44" i="2"/>
  <c r="AF44" i="2"/>
  <c r="AA44" i="2"/>
  <c r="Y44" i="2"/>
  <c r="X44" i="2"/>
  <c r="V44" i="2"/>
  <c r="U44" i="2"/>
  <c r="T44" i="2"/>
  <c r="L44" i="2"/>
  <c r="K44" i="2"/>
  <c r="J44" i="2"/>
  <c r="I44" i="2"/>
  <c r="H44" i="2"/>
  <c r="F44" i="2"/>
  <c r="E44" i="2"/>
  <c r="D44" i="2"/>
  <c r="C44" i="2"/>
  <c r="B44" i="2"/>
  <c r="A44" i="2"/>
  <c r="DF43" i="2"/>
  <c r="CJ43" i="2"/>
  <c r="CF43" i="2"/>
  <c r="CE43" i="2"/>
  <c r="CC43" i="2"/>
  <c r="BS43" i="2"/>
  <c r="BG43" i="2"/>
  <c r="AG43" i="2"/>
  <c r="AF43" i="2"/>
  <c r="AA43" i="2"/>
  <c r="Y43" i="2"/>
  <c r="X43" i="2"/>
  <c r="U43" i="2"/>
  <c r="T43" i="2"/>
  <c r="L43" i="2"/>
  <c r="K43" i="2"/>
  <c r="J43" i="2"/>
  <c r="I43" i="2"/>
  <c r="H43" i="2"/>
  <c r="G43" i="2"/>
  <c r="F43" i="2"/>
  <c r="E43" i="2"/>
  <c r="D43" i="2"/>
  <c r="C43" i="2"/>
  <c r="A43" i="2"/>
  <c r="DF42" i="2"/>
  <c r="CJ42" i="2"/>
  <c r="CH42" i="2"/>
  <c r="CF42" i="2"/>
  <c r="CE42" i="2"/>
  <c r="CD42" i="2"/>
  <c r="CC42" i="2"/>
  <c r="BS42" i="2"/>
  <c r="BK42" i="2"/>
  <c r="BH42" i="2"/>
  <c r="BG42" i="2"/>
  <c r="AZ42" i="2"/>
  <c r="AS42" i="2"/>
  <c r="AG42" i="2"/>
  <c r="AF42" i="2"/>
  <c r="Y42" i="2"/>
  <c r="X42" i="2"/>
  <c r="U42" i="2"/>
  <c r="T42" i="2"/>
  <c r="L42" i="2"/>
  <c r="K42" i="2"/>
  <c r="J42" i="2"/>
  <c r="I42" i="2"/>
  <c r="H42" i="2"/>
  <c r="G42" i="2"/>
  <c r="F42" i="2"/>
  <c r="E42" i="2"/>
  <c r="D42" i="2"/>
  <c r="C42" i="2"/>
  <c r="B42" i="2"/>
  <c r="A42" i="2"/>
  <c r="DF41" i="2"/>
  <c r="CJ41" i="2"/>
  <c r="CF41" i="2"/>
  <c r="CE41" i="2"/>
  <c r="CC41" i="2"/>
  <c r="BS41" i="2"/>
  <c r="BG41" i="2"/>
  <c r="AG41" i="2"/>
  <c r="AF41" i="2"/>
  <c r="Y41" i="2"/>
  <c r="X41" i="2"/>
  <c r="R41" i="2"/>
  <c r="Q41" i="2"/>
  <c r="L41" i="2"/>
  <c r="K41" i="2"/>
  <c r="J41" i="2"/>
  <c r="I41" i="2"/>
  <c r="H41" i="2"/>
  <c r="G41" i="2"/>
  <c r="F41" i="2"/>
  <c r="E41" i="2"/>
  <c r="D41" i="2"/>
  <c r="C41" i="2"/>
  <c r="A41" i="2"/>
  <c r="DF40" i="2"/>
  <c r="CJ40" i="2"/>
  <c r="CF40" i="2"/>
  <c r="CE40" i="2"/>
  <c r="CC40" i="2"/>
  <c r="BU40" i="2"/>
  <c r="BG40" i="2"/>
  <c r="AZ40" i="2"/>
  <c r="AG40" i="2"/>
  <c r="AF40" i="2"/>
  <c r="X40" i="2"/>
  <c r="R40" i="2"/>
  <c r="Q40" i="2"/>
  <c r="L40" i="2"/>
  <c r="K40" i="2"/>
  <c r="J40" i="2"/>
  <c r="I40" i="2"/>
  <c r="H40" i="2"/>
  <c r="G40" i="2"/>
  <c r="F40" i="2"/>
  <c r="E40" i="2"/>
  <c r="D40" i="2"/>
  <c r="C40" i="2"/>
  <c r="B40" i="2"/>
  <c r="A40" i="2"/>
  <c r="DF39" i="2"/>
  <c r="DC39" i="2"/>
  <c r="CJ39" i="2"/>
  <c r="CF39" i="2"/>
  <c r="CE39" i="2"/>
  <c r="CC39" i="2"/>
  <c r="BU39" i="2"/>
  <c r="BG39" i="2"/>
  <c r="AZ39" i="2"/>
  <c r="AG39" i="2"/>
  <c r="AF39" i="2"/>
  <c r="AA39" i="2"/>
  <c r="Y39" i="2"/>
  <c r="X39" i="2"/>
  <c r="V39" i="2"/>
  <c r="U39" i="2"/>
  <c r="T39" i="2"/>
  <c r="L39" i="2"/>
  <c r="K39" i="2"/>
  <c r="J39" i="2"/>
  <c r="I39" i="2"/>
  <c r="H39" i="2"/>
  <c r="G39" i="2"/>
  <c r="F39" i="2"/>
  <c r="E39" i="2"/>
  <c r="D39" i="2"/>
  <c r="C39" i="2"/>
  <c r="B39" i="2"/>
  <c r="A39" i="2"/>
  <c r="DF38" i="2"/>
  <c r="DC38" i="2"/>
  <c r="CJ38" i="2"/>
  <c r="CF38" i="2"/>
  <c r="CE38" i="2"/>
  <c r="CC38" i="2"/>
  <c r="BS38" i="2"/>
  <c r="BG38" i="2"/>
  <c r="AZ38" i="2"/>
  <c r="AG38" i="2"/>
  <c r="AF38" i="2"/>
  <c r="AA38" i="2"/>
  <c r="Y38" i="2"/>
  <c r="X38" i="2"/>
  <c r="V38" i="2"/>
  <c r="U38" i="2"/>
  <c r="T38" i="2"/>
  <c r="L38" i="2"/>
  <c r="K38" i="2"/>
  <c r="J38" i="2"/>
  <c r="I38" i="2"/>
  <c r="H38" i="2"/>
  <c r="G38" i="2"/>
  <c r="F38" i="2"/>
  <c r="E38" i="2"/>
  <c r="D38" i="2"/>
  <c r="C38" i="2"/>
  <c r="A38" i="2"/>
  <c r="DF37" i="2"/>
  <c r="CJ37" i="2"/>
  <c r="CF37" i="2"/>
  <c r="CE37" i="2"/>
  <c r="CC37" i="2"/>
  <c r="BU37" i="2"/>
  <c r="BG37" i="2"/>
  <c r="AG37" i="2"/>
  <c r="AF37" i="2"/>
  <c r="Y37" i="2"/>
  <c r="X37" i="2"/>
  <c r="V37" i="2"/>
  <c r="R37" i="2"/>
  <c r="Q37" i="2"/>
  <c r="L37" i="2"/>
  <c r="K37" i="2"/>
  <c r="J37" i="2"/>
  <c r="I37" i="2"/>
  <c r="H37" i="2"/>
  <c r="G37" i="2"/>
  <c r="F37" i="2"/>
  <c r="E37" i="2"/>
  <c r="D37" i="2"/>
  <c r="C37" i="2"/>
  <c r="B37" i="2"/>
  <c r="A37" i="2"/>
  <c r="DF36" i="2"/>
  <c r="CJ36" i="2"/>
  <c r="CF36" i="2"/>
  <c r="CE36" i="2"/>
  <c r="CD36" i="2"/>
  <c r="CC36" i="2"/>
  <c r="BG36" i="2"/>
  <c r="AG36" i="2"/>
  <c r="AF36" i="2"/>
  <c r="Y36" i="2"/>
  <c r="X36" i="2"/>
  <c r="V36" i="2"/>
  <c r="R36" i="2"/>
  <c r="Q36" i="2"/>
  <c r="L36" i="2"/>
  <c r="K36" i="2"/>
  <c r="J36" i="2"/>
  <c r="I36" i="2"/>
  <c r="H36" i="2"/>
  <c r="G36" i="2"/>
  <c r="F36" i="2"/>
  <c r="E36" i="2"/>
  <c r="D36" i="2"/>
  <c r="C36" i="2"/>
  <c r="B36" i="2"/>
  <c r="A36" i="2"/>
  <c r="DF35" i="2"/>
  <c r="DC35" i="2"/>
  <c r="CJ35" i="2"/>
  <c r="CF35" i="2"/>
  <c r="CE35" i="2"/>
  <c r="CC35" i="2"/>
  <c r="BG35" i="2"/>
  <c r="AZ35" i="2"/>
  <c r="AM35" i="2"/>
  <c r="AG35" i="2"/>
  <c r="AF35" i="2"/>
  <c r="Y35" i="2"/>
  <c r="X35" i="2"/>
  <c r="V35" i="2"/>
  <c r="R35" i="2"/>
  <c r="Q35" i="2"/>
  <c r="L35" i="2"/>
  <c r="K35" i="2"/>
  <c r="J35" i="2"/>
  <c r="I35" i="2"/>
  <c r="H35" i="2"/>
  <c r="G35" i="2"/>
  <c r="F35" i="2"/>
  <c r="E35" i="2"/>
  <c r="D35" i="2"/>
  <c r="C35" i="2"/>
  <c r="B35" i="2"/>
  <c r="A35" i="2"/>
  <c r="DF34" i="2"/>
  <c r="CJ34" i="2"/>
  <c r="CF34" i="2"/>
  <c r="CE34" i="2"/>
  <c r="CC34" i="2"/>
  <c r="BG34" i="2"/>
  <c r="AZ34" i="2"/>
  <c r="AM34" i="2"/>
  <c r="AG34" i="2"/>
  <c r="AF34" i="2"/>
  <c r="Y34" i="2"/>
  <c r="X34" i="2"/>
  <c r="V34" i="2"/>
  <c r="R34" i="2"/>
  <c r="Q34" i="2"/>
  <c r="L34" i="2"/>
  <c r="K34" i="2"/>
  <c r="J34" i="2"/>
  <c r="I34" i="2"/>
  <c r="H34" i="2"/>
  <c r="G34" i="2"/>
  <c r="F34" i="2"/>
  <c r="E34" i="2"/>
  <c r="D34" i="2"/>
  <c r="C34" i="2"/>
  <c r="B34" i="2"/>
  <c r="A34" i="2"/>
  <c r="DF33" i="2"/>
  <c r="CC33" i="2"/>
  <c r="BG33" i="2"/>
  <c r="AG33" i="2"/>
  <c r="AF33" i="2"/>
  <c r="Y33" i="2"/>
  <c r="X33" i="2"/>
  <c r="V33" i="2"/>
  <c r="R33" i="2"/>
  <c r="Q33" i="2"/>
  <c r="L33" i="2"/>
  <c r="K33" i="2"/>
  <c r="J33" i="2"/>
  <c r="I33" i="2"/>
  <c r="H33" i="2"/>
  <c r="G33" i="2"/>
  <c r="F33" i="2"/>
  <c r="E33" i="2"/>
  <c r="D33" i="2"/>
  <c r="C33" i="2"/>
  <c r="B33" i="2"/>
  <c r="A33" i="2"/>
  <c r="DF32" i="2"/>
  <c r="CJ32" i="2"/>
  <c r="CF32" i="2"/>
  <c r="CE32" i="2"/>
  <c r="CC32" i="2"/>
  <c r="BS32" i="2"/>
  <c r="BG32" i="2"/>
  <c r="AG32" i="2"/>
  <c r="AF32" i="2"/>
  <c r="AA32" i="2"/>
  <c r="Y32" i="2"/>
  <c r="X32" i="2"/>
  <c r="V32" i="2"/>
  <c r="U32" i="2"/>
  <c r="T32" i="2"/>
  <c r="L32" i="2"/>
  <c r="K32" i="2"/>
  <c r="J32" i="2"/>
  <c r="I32" i="2"/>
  <c r="H32" i="2"/>
  <c r="G32" i="2"/>
  <c r="F32" i="2"/>
  <c r="E32" i="2"/>
  <c r="D32" i="2"/>
  <c r="C32" i="2"/>
  <c r="A32" i="2"/>
  <c r="DF31" i="2"/>
  <c r="CJ31" i="2"/>
  <c r="CF31" i="2"/>
  <c r="CE31" i="2"/>
  <c r="CC31" i="2"/>
  <c r="BS31" i="2"/>
  <c r="BG31" i="2"/>
  <c r="AG31" i="2"/>
  <c r="AF31" i="2"/>
  <c r="Y31" i="2"/>
  <c r="X31" i="2"/>
  <c r="V31" i="2"/>
  <c r="R31" i="2"/>
  <c r="Q31" i="2"/>
  <c r="L31" i="2"/>
  <c r="K31" i="2"/>
  <c r="J31" i="2"/>
  <c r="I31" i="2"/>
  <c r="H31" i="2"/>
  <c r="G31" i="2"/>
  <c r="F31" i="2"/>
  <c r="E31" i="2"/>
  <c r="D31" i="2"/>
  <c r="C31" i="2"/>
  <c r="B31" i="2"/>
  <c r="A31" i="2"/>
  <c r="DF30" i="2"/>
  <c r="CJ30" i="2"/>
  <c r="CF30" i="2"/>
  <c r="CE30" i="2"/>
  <c r="CC30" i="2"/>
  <c r="BU30" i="2"/>
  <c r="BS30" i="2"/>
  <c r="BG30" i="2"/>
  <c r="AG30" i="2"/>
  <c r="AF30" i="2"/>
  <c r="Y30" i="2"/>
  <c r="X30" i="2"/>
  <c r="V30" i="2"/>
  <c r="R30" i="2"/>
  <c r="Q30" i="2"/>
  <c r="L30" i="2"/>
  <c r="K30" i="2"/>
  <c r="J30" i="2"/>
  <c r="I30" i="2"/>
  <c r="H30" i="2"/>
  <c r="G30" i="2"/>
  <c r="F30" i="2"/>
  <c r="E30" i="2"/>
  <c r="D30" i="2"/>
  <c r="C30" i="2"/>
  <c r="B30" i="2"/>
  <c r="A30" i="2"/>
  <c r="DF29" i="2"/>
  <c r="CJ29" i="2"/>
  <c r="CH29" i="2"/>
  <c r="CG29" i="2"/>
  <c r="CF29" i="2"/>
  <c r="CE29" i="2"/>
  <c r="CD29" i="2"/>
  <c r="CC29" i="2"/>
  <c r="BU29" i="2"/>
  <c r="BS29" i="2"/>
  <c r="BK29" i="2"/>
  <c r="BH29" i="2"/>
  <c r="BG29" i="2"/>
  <c r="AZ29" i="2"/>
  <c r="AS29" i="2"/>
  <c r="AG29" i="2"/>
  <c r="AF29" i="2"/>
  <c r="Y29" i="2"/>
  <c r="X29" i="2"/>
  <c r="V29" i="2"/>
  <c r="U29" i="2"/>
  <c r="T29" i="2"/>
  <c r="L29" i="2"/>
  <c r="K29" i="2"/>
  <c r="J29" i="2"/>
  <c r="I29" i="2"/>
  <c r="H29" i="2"/>
  <c r="G29" i="2"/>
  <c r="F29" i="2"/>
  <c r="E29" i="2"/>
  <c r="D29" i="2"/>
  <c r="C29" i="2"/>
  <c r="A29" i="2"/>
  <c r="DF28" i="2"/>
  <c r="DC28" i="2"/>
  <c r="CJ28" i="2"/>
  <c r="CG28" i="2"/>
  <c r="CF28" i="2"/>
  <c r="CE28" i="2"/>
  <c r="CD28" i="2"/>
  <c r="CC28" i="2"/>
  <c r="BG28" i="2"/>
  <c r="AZ28" i="2"/>
  <c r="AM28" i="2"/>
  <c r="AG28" i="2"/>
  <c r="AF28" i="2"/>
  <c r="AA28" i="2"/>
  <c r="Y28" i="2"/>
  <c r="X28" i="2"/>
  <c r="V28" i="2"/>
  <c r="U28" i="2"/>
  <c r="T28" i="2"/>
  <c r="L28" i="2"/>
  <c r="K28" i="2"/>
  <c r="J28" i="2"/>
  <c r="I28" i="2"/>
  <c r="H28" i="2"/>
  <c r="G28" i="2"/>
  <c r="F28" i="2"/>
  <c r="E28" i="2"/>
  <c r="D28" i="2"/>
  <c r="C28" i="2"/>
  <c r="B28" i="2"/>
  <c r="A28" i="2"/>
  <c r="DF27" i="2"/>
  <c r="CJ27" i="2"/>
  <c r="CF27" i="2"/>
  <c r="CE27" i="2"/>
  <c r="CC27" i="2"/>
  <c r="BS27" i="2"/>
  <c r="BG27" i="2"/>
  <c r="AZ27" i="2"/>
  <c r="AG27" i="2"/>
  <c r="AF27" i="2"/>
  <c r="Y27" i="2"/>
  <c r="X27" i="2"/>
  <c r="V27" i="2"/>
  <c r="R27" i="2"/>
  <c r="Q27" i="2"/>
  <c r="L27" i="2"/>
  <c r="K27" i="2"/>
  <c r="J27" i="2"/>
  <c r="I27" i="2"/>
  <c r="H27" i="2"/>
  <c r="G27" i="2"/>
  <c r="F27" i="2"/>
  <c r="E27" i="2"/>
  <c r="D27" i="2"/>
  <c r="C27" i="2"/>
  <c r="B27" i="2"/>
  <c r="A27" i="2"/>
  <c r="DF26" i="2"/>
  <c r="DC26" i="2"/>
  <c r="CJ26" i="2"/>
  <c r="CF26" i="2"/>
  <c r="CE26" i="2"/>
  <c r="CD26" i="2"/>
  <c r="CC26" i="2"/>
  <c r="BS26" i="2"/>
  <c r="BG26" i="2"/>
  <c r="AZ26" i="2"/>
  <c r="AM26" i="2"/>
  <c r="AG26" i="2"/>
  <c r="AF26" i="2"/>
  <c r="Y26" i="2"/>
  <c r="X26" i="2"/>
  <c r="V26" i="2"/>
  <c r="R26" i="2"/>
  <c r="Q26" i="2"/>
  <c r="L26" i="2"/>
  <c r="K26" i="2"/>
  <c r="J26" i="2"/>
  <c r="I26" i="2"/>
  <c r="H26" i="2"/>
  <c r="G26" i="2"/>
  <c r="F26" i="2"/>
  <c r="E26" i="2"/>
  <c r="D26" i="2"/>
  <c r="C26" i="2"/>
  <c r="B26" i="2"/>
  <c r="A26" i="2"/>
  <c r="DF25" i="2"/>
  <c r="DC25" i="2"/>
  <c r="CJ25" i="2"/>
  <c r="CF25" i="2"/>
  <c r="CE25" i="2"/>
  <c r="CD25" i="2"/>
  <c r="CC25" i="2"/>
  <c r="BU25" i="2"/>
  <c r="BS25" i="2"/>
  <c r="BG25" i="2"/>
  <c r="AM25" i="2"/>
  <c r="AG25" i="2"/>
  <c r="AF25" i="2"/>
  <c r="AA25" i="2"/>
  <c r="Y25" i="2"/>
  <c r="X25" i="2"/>
  <c r="V25" i="2"/>
  <c r="U25" i="2"/>
  <c r="T25" i="2"/>
  <c r="L25" i="2"/>
  <c r="K25" i="2"/>
  <c r="J25" i="2"/>
  <c r="I25" i="2"/>
  <c r="H25" i="2"/>
  <c r="G25" i="2"/>
  <c r="F25" i="2"/>
  <c r="E25" i="2"/>
  <c r="D25" i="2"/>
  <c r="C25" i="2"/>
  <c r="B25" i="2"/>
  <c r="A25" i="2"/>
  <c r="DF24" i="2"/>
  <c r="DC24" i="2"/>
  <c r="CJ24" i="2"/>
  <c r="CF24" i="2"/>
  <c r="CE24" i="2"/>
  <c r="CC24" i="2"/>
  <c r="BG24" i="2"/>
  <c r="AZ24" i="2"/>
  <c r="AG24" i="2"/>
  <c r="AF24" i="2"/>
  <c r="AA24" i="2"/>
  <c r="Y24" i="2"/>
  <c r="X24" i="2"/>
  <c r="V24" i="2"/>
  <c r="U24" i="2"/>
  <c r="T24" i="2"/>
  <c r="L24" i="2"/>
  <c r="K24" i="2"/>
  <c r="J24" i="2"/>
  <c r="I24" i="2"/>
  <c r="H24" i="2"/>
  <c r="G24" i="2"/>
  <c r="F24" i="2"/>
  <c r="E24" i="2"/>
  <c r="D24" i="2"/>
  <c r="C24" i="2"/>
  <c r="B24" i="2"/>
  <c r="A24" i="2"/>
  <c r="DF23" i="2"/>
  <c r="CO23" i="2"/>
  <c r="CJ23" i="2"/>
  <c r="CH23" i="2"/>
  <c r="CF23" i="2"/>
  <c r="CE23" i="2"/>
  <c r="CD23" i="2"/>
  <c r="CC23" i="2"/>
  <c r="BS23" i="2"/>
  <c r="BK23" i="2"/>
  <c r="BH23" i="2"/>
  <c r="BG23" i="2"/>
  <c r="AS23" i="2"/>
  <c r="AG23" i="2"/>
  <c r="AF23" i="2"/>
  <c r="Y23" i="2"/>
  <c r="X23" i="2"/>
  <c r="V23" i="2"/>
  <c r="R23" i="2"/>
  <c r="Q23" i="2"/>
  <c r="L23" i="2"/>
  <c r="K23" i="2"/>
  <c r="J23" i="2"/>
  <c r="I23" i="2"/>
  <c r="H23" i="2"/>
  <c r="G23" i="2"/>
  <c r="F23" i="2"/>
  <c r="E23" i="2"/>
  <c r="D23" i="2"/>
  <c r="C23" i="2"/>
  <c r="A23" i="2"/>
  <c r="DF22" i="2"/>
  <c r="CJ22" i="2"/>
  <c r="CF22" i="2"/>
  <c r="CE22" i="2"/>
  <c r="CC22" i="2"/>
  <c r="BG22" i="2"/>
  <c r="AG22" i="2"/>
  <c r="AF22" i="2"/>
  <c r="Y22" i="2"/>
  <c r="X22" i="2"/>
  <c r="V22" i="2"/>
  <c r="R22" i="2"/>
  <c r="Q22" i="2"/>
  <c r="L22" i="2"/>
  <c r="K22" i="2"/>
  <c r="J22" i="2"/>
  <c r="I22" i="2"/>
  <c r="H22" i="2"/>
  <c r="G22" i="2"/>
  <c r="F22" i="2"/>
  <c r="E22" i="2"/>
  <c r="D22" i="2"/>
  <c r="C22" i="2"/>
  <c r="A22" i="2"/>
  <c r="DF21" i="2"/>
  <c r="CO21" i="2"/>
  <c r="CJ21" i="2"/>
  <c r="CH21" i="2"/>
  <c r="CF21" i="2"/>
  <c r="CE21" i="2"/>
  <c r="CD21" i="2"/>
  <c r="CC21" i="2"/>
  <c r="BU21" i="2"/>
  <c r="BS21" i="2"/>
  <c r="BK21" i="2"/>
  <c r="BH21" i="2"/>
  <c r="BG21" i="2"/>
  <c r="AZ21" i="2"/>
  <c r="AS21" i="2"/>
  <c r="AG21" i="2"/>
  <c r="AF21" i="2"/>
  <c r="Y21" i="2"/>
  <c r="X21" i="2"/>
  <c r="V21" i="2"/>
  <c r="R21" i="2"/>
  <c r="Q21" i="2"/>
  <c r="L21" i="2"/>
  <c r="K21" i="2"/>
  <c r="J21" i="2"/>
  <c r="I21" i="2"/>
  <c r="H21" i="2"/>
  <c r="G21" i="2"/>
  <c r="F21" i="2"/>
  <c r="E21" i="2"/>
  <c r="D21" i="2"/>
  <c r="C21" i="2"/>
  <c r="B21" i="2"/>
  <c r="A21" i="2"/>
  <c r="DF20" i="2"/>
  <c r="CC20" i="2"/>
  <c r="BU20" i="2"/>
  <c r="BG20" i="2"/>
  <c r="AG20" i="2"/>
  <c r="AF20" i="2"/>
  <c r="Y20" i="2"/>
  <c r="X20" i="2"/>
  <c r="R20" i="2"/>
  <c r="Q20" i="2"/>
  <c r="L20" i="2"/>
  <c r="K20" i="2"/>
  <c r="J20" i="2"/>
  <c r="I20" i="2"/>
  <c r="H20" i="2"/>
  <c r="G20" i="2"/>
  <c r="F20" i="2"/>
  <c r="E20" i="2"/>
  <c r="D20" i="2"/>
  <c r="C20" i="2"/>
  <c r="B20" i="2"/>
  <c r="A20" i="2"/>
  <c r="DO19" i="2"/>
  <c r="DN19" i="2"/>
  <c r="DM19" i="2"/>
  <c r="DL19" i="2"/>
  <c r="DF19" i="2"/>
  <c r="CO19" i="2"/>
  <c r="CJ19" i="2"/>
  <c r="CH19" i="2"/>
  <c r="CF19" i="2"/>
  <c r="CE19" i="2"/>
  <c r="CD19" i="2"/>
  <c r="CC19" i="2"/>
  <c r="BU19" i="2"/>
  <c r="BS19" i="2"/>
  <c r="BK19" i="2"/>
  <c r="BH19" i="2"/>
  <c r="BG19" i="2"/>
  <c r="AZ19" i="2"/>
  <c r="AS19" i="2"/>
  <c r="AG19" i="2"/>
  <c r="AF19" i="2"/>
  <c r="Y19" i="2"/>
  <c r="X19" i="2"/>
  <c r="V19" i="2"/>
  <c r="R19" i="2"/>
  <c r="Q19" i="2"/>
  <c r="L19" i="2"/>
  <c r="K19" i="2"/>
  <c r="J19" i="2"/>
  <c r="I19" i="2"/>
  <c r="H19" i="2"/>
  <c r="G19" i="2"/>
  <c r="F19" i="2"/>
  <c r="E19" i="2"/>
  <c r="D19" i="2"/>
  <c r="C19" i="2"/>
  <c r="B19" i="2"/>
  <c r="A19" i="2"/>
  <c r="DF18" i="2"/>
  <c r="CJ18" i="2"/>
  <c r="CF18" i="2"/>
  <c r="CE18" i="2"/>
  <c r="CC18" i="2"/>
  <c r="BS18" i="2"/>
  <c r="BG18" i="2"/>
  <c r="AG18" i="2"/>
  <c r="AF18" i="2"/>
  <c r="Y18" i="2"/>
  <c r="X18" i="2"/>
  <c r="V18" i="2"/>
  <c r="L18" i="2"/>
  <c r="K18" i="2"/>
  <c r="J18" i="2"/>
  <c r="I18" i="2"/>
  <c r="H18" i="2"/>
  <c r="G18" i="2"/>
  <c r="F18" i="2"/>
  <c r="E18" i="2"/>
  <c r="D18" i="2"/>
  <c r="C18" i="2"/>
  <c r="A18" i="2"/>
  <c r="DF17" i="2"/>
  <c r="CC17" i="2"/>
  <c r="BG17" i="2"/>
  <c r="AG17" i="2"/>
  <c r="AF17" i="2"/>
  <c r="X17" i="2"/>
  <c r="R17" i="2"/>
  <c r="Q17" i="2"/>
  <c r="L17" i="2"/>
  <c r="K17" i="2"/>
  <c r="J17" i="2"/>
  <c r="I17" i="2"/>
  <c r="H17" i="2"/>
  <c r="G17" i="2"/>
  <c r="F17" i="2"/>
  <c r="E17" i="2"/>
  <c r="D17" i="2"/>
  <c r="C17" i="2"/>
  <c r="A17" i="2"/>
  <c r="DO16" i="2"/>
  <c r="DM16" i="2"/>
  <c r="DL16" i="2"/>
  <c r="DF16" i="2"/>
  <c r="CO16" i="2"/>
  <c r="CJ16" i="2"/>
  <c r="CH16" i="2"/>
  <c r="CF16" i="2"/>
  <c r="CE16" i="2"/>
  <c r="CD16" i="2"/>
  <c r="CC16" i="2"/>
  <c r="BS16" i="2"/>
  <c r="BK16" i="2"/>
  <c r="BH16" i="2"/>
  <c r="BG16" i="2"/>
  <c r="AZ16" i="2"/>
  <c r="AS16" i="2"/>
  <c r="AG16" i="2"/>
  <c r="AF16" i="2"/>
  <c r="Y16" i="2"/>
  <c r="X16" i="2"/>
  <c r="V16" i="2"/>
  <c r="U16" i="2"/>
  <c r="T16" i="2"/>
  <c r="L16" i="2"/>
  <c r="K16" i="2"/>
  <c r="J16" i="2"/>
  <c r="I16" i="2"/>
  <c r="H16" i="2"/>
  <c r="G16" i="2"/>
  <c r="F16" i="2"/>
  <c r="E16" i="2"/>
  <c r="D16" i="2"/>
  <c r="C16" i="2"/>
  <c r="B16" i="2"/>
  <c r="A16" i="2"/>
  <c r="DF15" i="2"/>
  <c r="CJ15" i="2"/>
  <c r="CF15" i="2"/>
  <c r="CE15" i="2"/>
  <c r="CC15" i="2"/>
  <c r="BG15" i="2"/>
  <c r="AZ15" i="2"/>
  <c r="AG15" i="2"/>
  <c r="AF15" i="2"/>
  <c r="Y15" i="2"/>
  <c r="X15" i="2"/>
  <c r="V15" i="2"/>
  <c r="R15" i="2"/>
  <c r="Q15" i="2"/>
  <c r="L15" i="2"/>
  <c r="K15" i="2"/>
  <c r="J15" i="2"/>
  <c r="I15" i="2"/>
  <c r="H15" i="2"/>
  <c r="G15" i="2"/>
  <c r="F15" i="2"/>
  <c r="E15" i="2"/>
  <c r="D15" i="2"/>
  <c r="C15" i="2"/>
  <c r="B15" i="2"/>
  <c r="A15" i="2"/>
  <c r="DF14" i="2"/>
  <c r="CJ14" i="2"/>
  <c r="CI14" i="2"/>
  <c r="CF14" i="2"/>
  <c r="CE14" i="2"/>
  <c r="CC14" i="2"/>
  <c r="BS14" i="2"/>
  <c r="BG14" i="2"/>
  <c r="AZ14" i="2"/>
  <c r="AG14" i="2"/>
  <c r="AF14" i="2"/>
  <c r="Y14" i="2"/>
  <c r="X14" i="2"/>
  <c r="V14" i="2"/>
  <c r="R14" i="2"/>
  <c r="Q14" i="2"/>
  <c r="L14" i="2"/>
  <c r="K14" i="2"/>
  <c r="J14" i="2"/>
  <c r="I14" i="2"/>
  <c r="H14" i="2"/>
  <c r="G14" i="2"/>
  <c r="F14" i="2"/>
  <c r="E14" i="2"/>
  <c r="D14" i="2"/>
  <c r="C14" i="2"/>
  <c r="B14" i="2"/>
  <c r="A14" i="2"/>
  <c r="DF13" i="2"/>
  <c r="DC13" i="2"/>
  <c r="CE13" i="2"/>
  <c r="CC13" i="2"/>
  <c r="BS13" i="2"/>
  <c r="BG13" i="2"/>
  <c r="AZ13" i="2"/>
  <c r="AM13" i="2"/>
  <c r="AG13" i="2"/>
  <c r="AF13" i="2"/>
  <c r="Y13" i="2"/>
  <c r="X13" i="2"/>
  <c r="V13" i="2"/>
  <c r="R13" i="2"/>
  <c r="Q13" i="2"/>
  <c r="L13" i="2"/>
  <c r="K13" i="2"/>
  <c r="J13" i="2"/>
  <c r="I13" i="2"/>
  <c r="H13" i="2"/>
  <c r="G13" i="2"/>
  <c r="F13" i="2"/>
  <c r="E13" i="2"/>
  <c r="D13" i="2"/>
  <c r="C13" i="2"/>
  <c r="B13" i="2"/>
  <c r="A13" i="2"/>
  <c r="DF12" i="2"/>
  <c r="CO12" i="2"/>
  <c r="CJ12" i="2"/>
  <c r="CH12" i="2"/>
  <c r="CF12" i="2"/>
  <c r="CE12" i="2"/>
  <c r="CD12" i="2"/>
  <c r="CC12" i="2"/>
  <c r="BS12" i="2"/>
  <c r="BK12" i="2"/>
  <c r="BH12" i="2"/>
  <c r="BG12" i="2"/>
  <c r="AZ12" i="2"/>
  <c r="AS12" i="2"/>
  <c r="AM12" i="2"/>
  <c r="AG12" i="2"/>
  <c r="AF12" i="2"/>
  <c r="Y12" i="2"/>
  <c r="X12" i="2"/>
  <c r="V12" i="2"/>
  <c r="R12" i="2"/>
  <c r="Q12" i="2"/>
  <c r="L12" i="2"/>
  <c r="K12" i="2"/>
  <c r="J12" i="2"/>
  <c r="I12" i="2"/>
  <c r="H12" i="2"/>
  <c r="G12" i="2"/>
  <c r="F12" i="2"/>
  <c r="E12" i="2"/>
  <c r="D12" i="2"/>
  <c r="C12" i="2"/>
  <c r="B12" i="2"/>
  <c r="A12" i="2"/>
  <c r="DF11" i="2"/>
  <c r="CJ11" i="2"/>
  <c r="CF11" i="2"/>
  <c r="CE11" i="2"/>
  <c r="CC11" i="2"/>
  <c r="BG11" i="2"/>
  <c r="AZ11" i="2"/>
  <c r="AG11" i="2"/>
  <c r="AF11" i="2"/>
  <c r="AA11" i="2"/>
  <c r="Y11" i="2"/>
  <c r="X11" i="2"/>
  <c r="V11" i="2"/>
  <c r="U11" i="2"/>
  <c r="T11" i="2"/>
  <c r="L11" i="2"/>
  <c r="K11" i="2"/>
  <c r="J11" i="2"/>
  <c r="I11" i="2"/>
  <c r="H11" i="2"/>
  <c r="G11" i="2"/>
  <c r="F11" i="2"/>
  <c r="E11" i="2"/>
  <c r="D11" i="2"/>
  <c r="C11" i="2"/>
  <c r="B11" i="2"/>
  <c r="A11" i="2"/>
  <c r="DF10" i="2"/>
  <c r="DC10" i="2"/>
  <c r="CJ10" i="2"/>
  <c r="CG10" i="2"/>
  <c r="CF10" i="2"/>
  <c r="CE10" i="2"/>
  <c r="CD10" i="2"/>
  <c r="CC10" i="2"/>
  <c r="BG10" i="2"/>
  <c r="AZ10" i="2"/>
  <c r="AY10" i="2"/>
  <c r="AM10" i="2"/>
  <c r="AG10" i="2"/>
  <c r="AF10" i="2"/>
  <c r="Y10" i="2"/>
  <c r="X10" i="2"/>
  <c r="V10" i="2"/>
  <c r="R10" i="2"/>
  <c r="Q10" i="2"/>
  <c r="L10" i="2"/>
  <c r="K10" i="2"/>
  <c r="J10" i="2"/>
  <c r="I10" i="2"/>
  <c r="H10" i="2"/>
  <c r="G10" i="2"/>
  <c r="F10" i="2"/>
  <c r="E10" i="2"/>
  <c r="D10" i="2"/>
  <c r="C10" i="2"/>
  <c r="A10" i="2"/>
  <c r="DF9" i="2"/>
  <c r="DC9" i="2"/>
  <c r="CJ9" i="2"/>
  <c r="CF9" i="2"/>
  <c r="CE9" i="2"/>
  <c r="CC9" i="2"/>
  <c r="BU9" i="2"/>
  <c r="BG9" i="2"/>
  <c r="AZ9" i="2"/>
  <c r="AM9" i="2"/>
  <c r="AG9" i="2"/>
  <c r="AF9" i="2"/>
  <c r="Y9" i="2"/>
  <c r="X9" i="2"/>
  <c r="V9" i="2"/>
  <c r="R9" i="2"/>
  <c r="Q9" i="2"/>
  <c r="L9" i="2"/>
  <c r="K9" i="2"/>
  <c r="J9" i="2"/>
  <c r="I9" i="2"/>
  <c r="H9" i="2"/>
  <c r="G9" i="2"/>
  <c r="F9" i="2"/>
  <c r="E9" i="2"/>
  <c r="D9" i="2"/>
  <c r="C9" i="2"/>
  <c r="B9" i="2"/>
  <c r="A9" i="2"/>
  <c r="DF8" i="2"/>
  <c r="DC8" i="2"/>
  <c r="CJ8" i="2"/>
  <c r="CG8" i="2"/>
  <c r="CF8" i="2"/>
  <c r="CE8" i="2"/>
  <c r="CC8" i="2"/>
  <c r="BU8" i="2"/>
  <c r="BG8" i="2"/>
  <c r="AZ8" i="2"/>
  <c r="AG8" i="2"/>
  <c r="AF8" i="2"/>
  <c r="AA8" i="2"/>
  <c r="Y8" i="2"/>
  <c r="X8" i="2"/>
  <c r="V8" i="2"/>
  <c r="U8" i="2"/>
  <c r="T8" i="2"/>
  <c r="L8" i="2"/>
  <c r="K8" i="2"/>
  <c r="J8" i="2"/>
  <c r="I8" i="2"/>
  <c r="H8" i="2"/>
  <c r="G8" i="2"/>
  <c r="F8" i="2"/>
  <c r="E8" i="2"/>
  <c r="D8" i="2"/>
  <c r="C8" i="2"/>
  <c r="B8" i="2"/>
  <c r="A8" i="2"/>
  <c r="DF7" i="2"/>
  <c r="DC7" i="2"/>
  <c r="CE7" i="2"/>
  <c r="CD7" i="2"/>
  <c r="CC7" i="2"/>
  <c r="BG7" i="2"/>
  <c r="AZ7" i="2"/>
  <c r="AG7" i="2"/>
  <c r="AF7" i="2"/>
  <c r="AA7" i="2"/>
  <c r="Y7" i="2"/>
  <c r="X7" i="2"/>
  <c r="V7" i="2"/>
  <c r="U7" i="2"/>
  <c r="T7" i="2"/>
  <c r="L7" i="2"/>
  <c r="K7" i="2"/>
  <c r="J7" i="2"/>
  <c r="I7" i="2"/>
  <c r="H7" i="2"/>
  <c r="G7" i="2"/>
  <c r="F7" i="2"/>
  <c r="E7" i="2"/>
  <c r="D7" i="2"/>
  <c r="C7" i="2"/>
  <c r="B7" i="2"/>
  <c r="A7" i="2"/>
  <c r="DF6" i="2"/>
  <c r="CJ6" i="2"/>
  <c r="CF6" i="2"/>
  <c r="CE6" i="2"/>
  <c r="CC6" i="2"/>
  <c r="BS6" i="2"/>
  <c r="BG6" i="2"/>
  <c r="AG6" i="2"/>
  <c r="AF6" i="2"/>
  <c r="Y6" i="2"/>
  <c r="X6" i="2"/>
  <c r="R6" i="2"/>
  <c r="Q6" i="2"/>
  <c r="L6" i="2"/>
  <c r="K6" i="2"/>
  <c r="J6" i="2"/>
  <c r="I6" i="2"/>
  <c r="H6" i="2"/>
  <c r="G6" i="2"/>
  <c r="F6" i="2"/>
  <c r="E6" i="2"/>
  <c r="D6" i="2"/>
  <c r="C6" i="2"/>
  <c r="A6" i="2"/>
  <c r="DF5" i="2"/>
  <c r="DC5" i="2"/>
  <c r="CC5" i="2"/>
  <c r="BG5" i="2"/>
  <c r="AZ5" i="2"/>
  <c r="AM5" i="2"/>
  <c r="AG5" i="2"/>
  <c r="AF5" i="2"/>
  <c r="Y5" i="2"/>
  <c r="X5" i="2"/>
  <c r="V5" i="2"/>
  <c r="R5" i="2"/>
  <c r="Q5" i="2"/>
  <c r="L5" i="2"/>
  <c r="K5" i="2"/>
  <c r="J5" i="2"/>
  <c r="I5" i="2"/>
  <c r="H5" i="2"/>
  <c r="G5" i="2"/>
  <c r="F5" i="2"/>
  <c r="E5" i="2"/>
  <c r="D5" i="2"/>
  <c r="C5" i="2"/>
  <c r="B5" i="2"/>
  <c r="A5" i="2"/>
  <c r="DF4" i="2"/>
  <c r="CO4" i="2"/>
  <c r="CJ4" i="2"/>
  <c r="CH4" i="2"/>
  <c r="CF4" i="2"/>
  <c r="CE4" i="2"/>
  <c r="CD4" i="2"/>
  <c r="CC4" i="2"/>
  <c r="BS4" i="2"/>
  <c r="BK4" i="2"/>
  <c r="BH4" i="2"/>
  <c r="BG4" i="2"/>
  <c r="AZ4" i="2"/>
  <c r="AS4" i="2"/>
  <c r="AM4" i="2"/>
  <c r="AG4" i="2"/>
  <c r="AF4" i="2"/>
  <c r="AA4" i="2"/>
  <c r="Y4" i="2"/>
  <c r="X4" i="2"/>
  <c r="V4" i="2"/>
  <c r="U4" i="2"/>
  <c r="T4" i="2"/>
  <c r="L4" i="2"/>
  <c r="K4" i="2"/>
  <c r="J4" i="2"/>
  <c r="I4" i="2"/>
  <c r="H4" i="2"/>
  <c r="G4" i="2"/>
  <c r="F4" i="2"/>
  <c r="E4" i="2"/>
  <c r="D4" i="2"/>
  <c r="C4" i="2"/>
  <c r="B4" i="2"/>
  <c r="A4" i="2"/>
  <c r="DF3" i="2"/>
  <c r="DC3" i="2"/>
  <c r="CJ3" i="2"/>
  <c r="CG3" i="2"/>
  <c r="CF3" i="2"/>
  <c r="CE3" i="2"/>
  <c r="CC3" i="2"/>
  <c r="BS3" i="2"/>
  <c r="BG3" i="2"/>
  <c r="AZ3" i="2"/>
  <c r="AM3" i="2"/>
  <c r="AG3" i="2"/>
  <c r="AF3" i="2"/>
  <c r="Y3" i="2"/>
  <c r="X3" i="2"/>
  <c r="V3" i="2"/>
  <c r="R3" i="2"/>
  <c r="Q3" i="2"/>
  <c r="L3" i="2"/>
  <c r="K3" i="2"/>
  <c r="J3" i="2"/>
  <c r="I3" i="2"/>
  <c r="H3" i="2"/>
  <c r="G3" i="2"/>
  <c r="F3" i="2"/>
  <c r="E3" i="2"/>
  <c r="D3" i="2"/>
  <c r="C3" i="2"/>
  <c r="B3" i="2"/>
  <c r="A3" i="2"/>
  <c r="A2" i="2"/>
</calcChain>
</file>

<file path=xl/sharedStrings.xml><?xml version="1.0" encoding="utf-8"?>
<sst xmlns="http://schemas.openxmlformats.org/spreadsheetml/2006/main" count="4209" uniqueCount="759">
  <si>
    <t>Nome</t>
  </si>
  <si>
    <t>Empresa</t>
  </si>
  <si>
    <t>Qualificação</t>
  </si>
  <si>
    <t>Funil de vendas</t>
  </si>
  <si>
    <t>Etapa</t>
  </si>
  <si>
    <t>Estado</t>
  </si>
  <si>
    <t>Motivo de Perda</t>
  </si>
  <si>
    <t>Valor Único</t>
  </si>
  <si>
    <t>Valor Recorrente</t>
  </si>
  <si>
    <t>Pausada</t>
  </si>
  <si>
    <t>Data de criação</t>
  </si>
  <si>
    <t>Hora de criação</t>
  </si>
  <si>
    <t>Data do primeiro contato</t>
  </si>
  <si>
    <t>Hora do primeiro contato</t>
  </si>
  <si>
    <t>Data do último contato</t>
  </si>
  <si>
    <t>Hora do último contato</t>
  </si>
  <si>
    <t>Data da próxima tarefa</t>
  </si>
  <si>
    <t>Hora da próxima tarefa</t>
  </si>
  <si>
    <t>Previsão de fechamento</t>
  </si>
  <si>
    <t>Data de fechamento</t>
  </si>
  <si>
    <t>Hora de fechamento</t>
  </si>
  <si>
    <t>Fonte</t>
  </si>
  <si>
    <t>Campanha</t>
  </si>
  <si>
    <t>Responsável</t>
  </si>
  <si>
    <t>Produtos</t>
  </si>
  <si>
    <t>Equipes do responsável</t>
  </si>
  <si>
    <t>Anotação do motivo de perda</t>
  </si>
  <si>
    <t>Você é um corretor?</t>
  </si>
  <si>
    <t>Confirme, você é:</t>
  </si>
  <si>
    <t>Sobrenome</t>
  </si>
  <si>
    <t>Cidade</t>
  </si>
  <si>
    <t>. Nome Corretor (VP)</t>
  </si>
  <si>
    <t>. Qualificação (FVPP)</t>
  </si>
  <si>
    <t>. Perfil de atuação (FP)</t>
  </si>
  <si>
    <t>. Portfólio (FP)</t>
  </si>
  <si>
    <t>. VGV  -  12 meses (FP)</t>
  </si>
  <si>
    <t>. Tempo de mercado (FP)</t>
  </si>
  <si>
    <t>. Perfil Estrutura (FP)</t>
  </si>
  <si>
    <t>. Tag Parceiros</t>
  </si>
  <si>
    <t>. Data de nascimento (P)</t>
  </si>
  <si>
    <t>. Nome do cônjuge P</t>
  </si>
  <si>
    <t>. Nome(s) dos filhos (P)</t>
  </si>
  <si>
    <t>. Hobbies / Interesses (P)</t>
  </si>
  <si>
    <t>. Tipo de presente ideal (P)</t>
  </si>
  <si>
    <t>. Observações estratégicas (VPP)</t>
  </si>
  <si>
    <t>. Treinamentos (P)</t>
  </si>
  <si>
    <t>. Data do Último Treinamento (P)</t>
  </si>
  <si>
    <t>. Eventos Formais (P)</t>
  </si>
  <si>
    <t>. Eventos Informais (P)</t>
  </si>
  <si>
    <t>. Data do Último Evento Informal (P)</t>
  </si>
  <si>
    <t>. Nome Pré-Atendimento (VP)</t>
  </si>
  <si>
    <t>. Nome Coordenador - Vendas (VP)</t>
  </si>
  <si>
    <t>. Perfil do Lead (FVP)</t>
  </si>
  <si>
    <t>. Dor do Lead (FVP)</t>
  </si>
  <si>
    <t>. Disposição Financeira (FVP)</t>
  </si>
  <si>
    <t>. Urgência (FVP)</t>
  </si>
  <si>
    <t>. Preferência de Contato (FVP)</t>
  </si>
  <si>
    <t>. Atendimento com Corretor (FVP)</t>
  </si>
  <si>
    <t>. Produto de interesse (VP)</t>
  </si>
  <si>
    <t>. Data de nascimento (VP)</t>
  </si>
  <si>
    <t>. Nome do cônjuge/sócio (VP)</t>
  </si>
  <si>
    <t>. Nome(s) dos filhos (VP)</t>
  </si>
  <si>
    <t>. Hobbies / Interesses (VP)</t>
  </si>
  <si>
    <t>. Tipo de presente ideal (VP)</t>
  </si>
  <si>
    <t>. Data Próxima reunião (VP)</t>
  </si>
  <si>
    <t>. Evento Formal (VP)</t>
  </si>
  <si>
    <t>. Data - Último Evento Formal (VP)</t>
  </si>
  <si>
    <t>. Evento Informal (VP)</t>
  </si>
  <si>
    <t>. Data - Último Evento Informal (VP)</t>
  </si>
  <si>
    <t>. Ações Pré Atendimento (VP)</t>
  </si>
  <si>
    <t>. Valor Negociado (VP)</t>
  </si>
  <si>
    <t>. Data  da Proposta (VP)</t>
  </si>
  <si>
    <t>. Tag Vendas</t>
  </si>
  <si>
    <t>. Data da Compra (VP)</t>
  </si>
  <si>
    <t>. Data da Entrega (Pós)</t>
  </si>
  <si>
    <t>. Tag MKT</t>
  </si>
  <si>
    <t>. Perfil Terceiros (VFT)</t>
  </si>
  <si>
    <t>. Disposição Financeira Terceiros (VFT)</t>
  </si>
  <si>
    <t>. Forma de PGTO Terceiros (VFT)</t>
  </si>
  <si>
    <t>. Assistente da Imobiliária (FP)</t>
  </si>
  <si>
    <t>. Tipo de Venda (VP)</t>
  </si>
  <si>
    <t>. Apartamento (VP)</t>
  </si>
  <si>
    <t>. País (VPP)</t>
  </si>
  <si>
    <t>. Cidade (FVPP)</t>
  </si>
  <si>
    <t>. Bairro ( VPP)</t>
  </si>
  <si>
    <t>. Endereço  (VPP)</t>
  </si>
  <si>
    <t>. Decisor de compra (VP)</t>
  </si>
  <si>
    <t>. Estado/Província (FVP)</t>
  </si>
  <si>
    <t>. Estado/Província (P)</t>
  </si>
  <si>
    <t>. Preferência de Horário Lead (FVP)</t>
  </si>
  <si>
    <t>. Corretor do Lead - Formulário (FVP)</t>
  </si>
  <si>
    <t>. Nome da Imobiliária (FP)</t>
  </si>
  <si>
    <t>. Oportunidade Futura Mês (VP)</t>
  </si>
  <si>
    <t>. Indicação (VP)</t>
  </si>
  <si>
    <t>. Data do Último Evento Formal (P)</t>
  </si>
  <si>
    <t>. utm_source (VP)</t>
  </si>
  <si>
    <t>. utm_medium (VP)</t>
  </si>
  <si>
    <t>. utm_medium (P)</t>
  </si>
  <si>
    <t>. utm_source (P)</t>
  </si>
  <si>
    <t>. utm_campaign (VP)</t>
  </si>
  <si>
    <t>. utm_campaign (P)</t>
  </si>
  <si>
    <t>. utm_content (VP)</t>
  </si>
  <si>
    <t>. utm_content (P)</t>
  </si>
  <si>
    <t>. Fup Coordenares (P)</t>
  </si>
  <si>
    <t>. Data nascimento Cônjuge/Sócio</t>
  </si>
  <si>
    <t>. Mês da Venda</t>
  </si>
  <si>
    <t>. Mês da Negociação</t>
  </si>
  <si>
    <t>. Mês do Treinamento (P)</t>
  </si>
  <si>
    <t>Você é corretor ou cliente?</t>
  </si>
  <si>
    <t>. Visita Qualificada</t>
  </si>
  <si>
    <t>. Ativação do Corretor</t>
  </si>
  <si>
    <t>. Mês ROC</t>
  </si>
  <si>
    <t>Mês PAR</t>
  </si>
  <si>
    <t>SDR - Contato</t>
  </si>
  <si>
    <t>SDR - Gerou Atendimento</t>
  </si>
  <si>
    <t>Contatos</t>
  </si>
  <si>
    <t>Cargo</t>
  </si>
  <si>
    <t>Email</t>
  </si>
  <si>
    <t>Telefone</t>
  </si>
  <si>
    <t>Leandro</t>
  </si>
  <si>
    <t>Funil de Vendas - Novo</t>
  </si>
  <si>
    <t>Visita/Reunião</t>
  </si>
  <si>
    <t>Perdida</t>
  </si>
  <si>
    <t>. Comprou com o concorrente</t>
  </si>
  <si>
    <t>3588000.0</t>
  </si>
  <si>
    <t>0.0</t>
  </si>
  <si>
    <t>Não</t>
  </si>
  <si>
    <t>. Prospecção ativa</t>
  </si>
  <si>
    <t>Mateus Calebi</t>
  </si>
  <si>
    <t>. Horizon Residence</t>
  </si>
  <si>
    <t>Cliente optou por comprar outra unidade do Horizon Tipo 01 04 suítes.</t>
  </si>
  <si>
    <t>Gustavo Dal Piva</t>
  </si>
  <si>
    <t>Alta Nobreza</t>
  </si>
  <si>
    <t>Mateus</t>
  </si>
  <si>
    <t>Horizon Residence</t>
  </si>
  <si>
    <t>Corretores</t>
  </si>
  <si>
    <t>Brasil</t>
  </si>
  <si>
    <t>Itajai</t>
  </si>
  <si>
    <t>Santa Catarina (SC)</t>
  </si>
  <si>
    <t>Janeiro</t>
  </si>
  <si>
    <t>Marcello</t>
  </si>
  <si>
    <t>Esmeralda</t>
  </si>
  <si>
    <t>2900000.0</t>
  </si>
  <si>
    <t>. Relacionamento Corretores</t>
  </si>
  <si>
    <t>Ricardo</t>
  </si>
  <si>
    <t>Residencial Zimmermann 602-B</t>
  </si>
  <si>
    <t>Clientes retornaram ao Paraguai e decidiram em família que não era o momento de investir. Falaram também que iriam segurar por questão do governo.</t>
  </si>
  <si>
    <t>Fábio Bulhões</t>
  </si>
  <si>
    <t>Zimmermann - 602-B</t>
  </si>
  <si>
    <t>Paraguai</t>
  </si>
  <si>
    <t>Assunção</t>
  </si>
  <si>
    <t>Gilson e Ivete</t>
  </si>
  <si>
    <t>Natalie Ribas</t>
  </si>
  <si>
    <t>Proposta</t>
  </si>
  <si>
    <t>. Baixo valor de Entrada</t>
  </si>
  <si>
    <t>3388000.0</t>
  </si>
  <si>
    <t>Suyane Cachoeira</t>
  </si>
  <si>
    <t>Cliente fez proposta querendo dar apenas R$300 mil de entrada e colocando permuta, fica fora dos nossos parâmetros.</t>
  </si>
  <si>
    <t>Negociação pós visita imobiliária;Negociação pós campanha de terceiros</t>
  </si>
  <si>
    <t>Suyane</t>
  </si>
  <si>
    <t>602B</t>
  </si>
  <si>
    <t>Itapema</t>
  </si>
  <si>
    <t>Meia Praia</t>
  </si>
  <si>
    <t>Flavio</t>
  </si>
  <si>
    <t>Ohmega</t>
  </si>
  <si>
    <t>Negociação</t>
  </si>
  <si>
    <t>. Desistiu do investimento</t>
  </si>
  <si>
    <t>7578000.0</t>
  </si>
  <si>
    <t>. Maison Corretores</t>
  </si>
  <si>
    <t>Charles II</t>
  </si>
  <si>
    <t>Cliente não deu mais retorno para o corretor. Entrei em contato com o Fernando diversas vezes e ele não me retornou</t>
  </si>
  <si>
    <t>Fernando</t>
  </si>
  <si>
    <t>Negociação pós almoço de relacionamento</t>
  </si>
  <si>
    <t>Lady Di</t>
  </si>
  <si>
    <t>Cliente Fluxo</t>
  </si>
  <si>
    <t>Foz do Iguaçu</t>
  </si>
  <si>
    <t>Paraná (PR)</t>
  </si>
  <si>
    <t>Dirceu</t>
  </si>
  <si>
    <t>Sucesso Imóveis</t>
  </si>
  <si>
    <t>Oportunidades Futuras</t>
  </si>
  <si>
    <t>5500000.0</t>
  </si>
  <si>
    <t>Rodolfo</t>
  </si>
  <si>
    <t>A definir</t>
  </si>
  <si>
    <t>Lady DI</t>
  </si>
  <si>
    <t>a definir</t>
  </si>
  <si>
    <t>a defnir</t>
  </si>
  <si>
    <t>São Miguel do Oeste</t>
  </si>
  <si>
    <t>Rodolfo Marcolino</t>
  </si>
  <si>
    <t>corretor</t>
  </si>
  <si>
    <t>Darlan e Magda</t>
  </si>
  <si>
    <t>Em Andamento</t>
  </si>
  <si>
    <t>Nada</t>
  </si>
  <si>
    <t>7788000.0</t>
  </si>
  <si>
    <t>Francisco I</t>
  </si>
  <si>
    <t>Flavio Correa</t>
  </si>
  <si>
    <t>-</t>
  </si>
  <si>
    <t>Decido em conjunto com cônjuge ou sócio.</t>
  </si>
  <si>
    <t>Tocantins (TO)</t>
  </si>
  <si>
    <t>Noronha</t>
  </si>
  <si>
    <t>9338000.0</t>
  </si>
  <si>
    <t>Luan Almeida</t>
  </si>
  <si>
    <t>Nobre</t>
  </si>
  <si>
    <t>Negociação após Sunset;Almoço Relacionamento</t>
  </si>
  <si>
    <t>Curitiba</t>
  </si>
  <si>
    <t>Henrique Mathias</t>
  </si>
  <si>
    <t>Otimizza Imóveis</t>
  </si>
  <si>
    <t>5906600.0</t>
  </si>
  <si>
    <t>Pablo Ramires</t>
  </si>
  <si>
    <t>Hamilton Ferreira e Aline</t>
  </si>
  <si>
    <t>6591000.0</t>
  </si>
  <si>
    <t>Diego Farensena</t>
  </si>
  <si>
    <t>Cliente Cota Laje</t>
  </si>
  <si>
    <t>Cuiabá</t>
  </si>
  <si>
    <t>Mato Grosso (MT)</t>
  </si>
  <si>
    <t>Thiago</t>
  </si>
  <si>
    <t>4750000.0</t>
  </si>
  <si>
    <t>Charles II, Charles II</t>
  </si>
  <si>
    <t>Marquinho Hofman</t>
  </si>
  <si>
    <t>7738000.0</t>
  </si>
  <si>
    <t>. Royal Club</t>
  </si>
  <si>
    <t>Junior Leão</t>
  </si>
  <si>
    <t>Negociação após Sunset</t>
  </si>
  <si>
    <t>Dayane e Manoel Jr</t>
  </si>
  <si>
    <t>Potencial</t>
  </si>
  <si>
    <t>8500000.0</t>
  </si>
  <si>
    <t>. Elizabeth II</t>
  </si>
  <si>
    <t>Carla  Regina Moser</t>
  </si>
  <si>
    <t>Elizabeth II</t>
  </si>
  <si>
    <t>Maringá</t>
  </si>
  <si>
    <t>Jailson Buzzi</t>
  </si>
  <si>
    <t>6248000.0</t>
  </si>
  <si>
    <t>brasil</t>
  </si>
  <si>
    <t>Ascurra</t>
  </si>
  <si>
    <t>Adriana (Mãe William Cagliari)</t>
  </si>
  <si>
    <t>Play Negócios Imobiliários</t>
  </si>
  <si>
    <t>7388000.0</t>
  </si>
  <si>
    <t>João Furtado</t>
  </si>
  <si>
    <t>Genezio</t>
  </si>
  <si>
    <t>8138000.0</t>
  </si>
  <si>
    <t>. Maison Cliente</t>
  </si>
  <si>
    <t>Ocsandro</t>
  </si>
  <si>
    <t>Corbelio</t>
  </si>
  <si>
    <t>Alexandre Horst</t>
  </si>
  <si>
    <t>2588000.0</t>
  </si>
  <si>
    <t>Vinicius Amorin</t>
  </si>
  <si>
    <t>Celso e Elaine</t>
  </si>
  <si>
    <t>10000000.0</t>
  </si>
  <si>
    <t>Lisandra Diefenthaeler</t>
  </si>
  <si>
    <t>Negociação pós prospecção ativa coordenadores;Negociação pós almoço de relacionamento</t>
  </si>
  <si>
    <t>Luciana</t>
  </si>
  <si>
    <t>Salas comerciais</t>
  </si>
  <si>
    <t>Gramado</t>
  </si>
  <si>
    <t>Centro</t>
  </si>
  <si>
    <t>Dezembro</t>
  </si>
  <si>
    <t>Carlos Pelotas</t>
  </si>
  <si>
    <t>. Ações Estratégicas</t>
  </si>
  <si>
    <t>Cliente Cota Laje;Cliente Fluxo</t>
  </si>
  <si>
    <t>Pelotas</t>
  </si>
  <si>
    <t>Rio Grande do Sul (RS)</t>
  </si>
  <si>
    <t>Daniela</t>
  </si>
  <si>
    <t>9388000.0</t>
  </si>
  <si>
    <t>George VI</t>
  </si>
  <si>
    <t>Bruna Ribeiro</t>
  </si>
  <si>
    <t>Negociação pós prospecção ativa coordenadores</t>
  </si>
  <si>
    <t>Marcos Leone</t>
  </si>
  <si>
    <t>Kauê Karraro</t>
  </si>
  <si>
    <t>Ronaldo e Esposa</t>
  </si>
  <si>
    <t>7838000.0</t>
  </si>
  <si>
    <t>Eduardo Polverelli (Sunset)</t>
  </si>
  <si>
    <t>6213200.0</t>
  </si>
  <si>
    <t>Carine Bottene</t>
  </si>
  <si>
    <t>Vai comprar o Lady Di quando tivermos tabela</t>
  </si>
  <si>
    <t>Argentina</t>
  </si>
  <si>
    <t>Buenos Aires</t>
  </si>
  <si>
    <t>Março</t>
  </si>
  <si>
    <t>Williams e Brenda</t>
  </si>
  <si>
    <t>Atendimento</t>
  </si>
  <si>
    <t>5398000.0</t>
  </si>
  <si>
    <t>Allen Ramos</t>
  </si>
  <si>
    <t>Brilhante</t>
  </si>
  <si>
    <t>Mato Grosso do Sul (MS)</t>
  </si>
  <si>
    <t>Ederson Seubert</t>
  </si>
  <si>
    <t>Buture</t>
  </si>
  <si>
    <t>Giovana Monteiro</t>
  </si>
  <si>
    <t>Brusque</t>
  </si>
  <si>
    <t>Giovana Monteiro Martins</t>
  </si>
  <si>
    <t>Corretora</t>
  </si>
  <si>
    <t>giobmonteiro@gmail.com</t>
  </si>
  <si>
    <t>Falcão</t>
  </si>
  <si>
    <t>7888000.0</t>
  </si>
  <si>
    <t>Vinícius Imperial</t>
  </si>
  <si>
    <t>Viagens</t>
  </si>
  <si>
    <t>Tocantins</t>
  </si>
  <si>
    <t>William Cagliari</t>
  </si>
  <si>
    <t>5948000.0</t>
  </si>
  <si>
    <t>Não houve interesse na proposta e investimento por parte do cliente.</t>
  </si>
  <si>
    <t>Lapa</t>
  </si>
  <si>
    <t>Fevereiro</t>
  </si>
  <si>
    <t>Maria Beatriz Tavares</t>
  </si>
  <si>
    <t>Venda Finalizada</t>
  </si>
  <si>
    <t>Vendida</t>
  </si>
  <si>
    <t>Fabio Bulhões</t>
  </si>
  <si>
    <t>Empresa pecuária</t>
  </si>
  <si>
    <t>Viajar</t>
  </si>
  <si>
    <t>R$2.588.000,00</t>
  </si>
  <si>
    <t>Camaquã</t>
  </si>
  <si>
    <t>Fatima e Luciano</t>
  </si>
  <si>
    <t>8400000.0</t>
  </si>
  <si>
    <t>Clientes queriam um frente mar mesmo, então Elizabeth e Lady Di não faziam sentido pra eles.</t>
  </si>
  <si>
    <t>Marcel Campos</t>
  </si>
  <si>
    <t>Araranguá</t>
  </si>
  <si>
    <t>Bruno</t>
  </si>
  <si>
    <t>Anna Vargas</t>
  </si>
  <si>
    <t>9588000.0</t>
  </si>
  <si>
    <t>Não gostou do George, da decoração do Hall e está buscando um planta.</t>
  </si>
  <si>
    <t>Carlos e Carmen</t>
  </si>
  <si>
    <t>Josi Tomasi</t>
  </si>
  <si>
    <t>6200000.0</t>
  </si>
  <si>
    <t>Não quer mais investir, desistiu.</t>
  </si>
  <si>
    <t>Josi Palmasola</t>
  </si>
  <si>
    <t>Luan de Almeida</t>
  </si>
  <si>
    <t>1800000.0</t>
  </si>
  <si>
    <t>Le Voyage - 2101</t>
  </si>
  <si>
    <t>Luan</t>
  </si>
  <si>
    <t>Le Voyage</t>
  </si>
  <si>
    <t>R$1.800.000,00</t>
  </si>
  <si>
    <t>Robson e Jefferson</t>
  </si>
  <si>
    <t>Cliente comprou no prédio da Porsche da ABC.</t>
  </si>
  <si>
    <t>Charles Garcia</t>
  </si>
  <si>
    <t>Sem perfil para o produto</t>
  </si>
  <si>
    <t>Cliente tem imóvel de interesse social aqui em Itapema de uso e não tem o perfil de compra nem o poder de compra para um empreendimento nosso, mas tem uma rede de relacionamento boa que podemos explorar.</t>
  </si>
  <si>
    <t>Angelo Cattoni</t>
  </si>
  <si>
    <t>Rio do Sul</t>
  </si>
  <si>
    <t>Granero</t>
  </si>
  <si>
    <t>6899000.0</t>
  </si>
  <si>
    <t>Lady Di, Lady Di</t>
  </si>
  <si>
    <t>R$6.899.000,00</t>
  </si>
  <si>
    <t>2101 / 2102</t>
  </si>
  <si>
    <t>Batel</t>
  </si>
  <si>
    <t>Hideki</t>
  </si>
  <si>
    <t>6500000.0</t>
  </si>
  <si>
    <t>Cliente tem uma idade mais avançada e optou por fazer outros tipos de investimentos, comprar imóveis prontos com valor abaixo de mercado.</t>
  </si>
  <si>
    <t>Daniel Oliveira</t>
  </si>
  <si>
    <t>R$ 6.500.000</t>
  </si>
  <si>
    <t>Rosana Senadora</t>
  </si>
  <si>
    <t>6843200.0</t>
  </si>
  <si>
    <t>Desistiu do investimento, teve problemas pessoais e financeiras lá no MT e precisou desistir da ideia, mesmo querendo muito.</t>
  </si>
  <si>
    <t>Leide</t>
  </si>
  <si>
    <t>Cleiton Farias</t>
  </si>
  <si>
    <t>Sem poder de compra</t>
  </si>
  <si>
    <t>Está descapitalizada no momento para fazer o investimento, precisa vender dois imóveis para reinvestir.</t>
  </si>
  <si>
    <t>Rio de Janeiro</t>
  </si>
  <si>
    <t>Rio de Janeiro (RJ)</t>
  </si>
  <si>
    <t>Luiz Fernando</t>
  </si>
  <si>
    <t>3788000.0</t>
  </si>
  <si>
    <t>Cliente comprou outra unidade por R$ 2.600.000</t>
  </si>
  <si>
    <t>Fernando Erthal</t>
  </si>
  <si>
    <t>R$ 3.788.000</t>
  </si>
  <si>
    <t>Balneario camboriu</t>
  </si>
  <si>
    <t>Hugo</t>
  </si>
  <si>
    <t>Thiesen Residence 2302</t>
  </si>
  <si>
    <t>Thiesen 2302</t>
  </si>
  <si>
    <t>Dr José</t>
  </si>
  <si>
    <t>Thiesen 1602</t>
  </si>
  <si>
    <t>Leocir Menon</t>
  </si>
  <si>
    <t>Leão Imóveis</t>
  </si>
  <si>
    <t>São Miguel do Iguaçu</t>
  </si>
  <si>
    <t>Kinho e Lucas</t>
  </si>
  <si>
    <t>Angelo</t>
  </si>
  <si>
    <t>Venda pós almoço de negócios</t>
  </si>
  <si>
    <t>Gerônimo</t>
  </si>
  <si>
    <t>Ranquer Imóveis</t>
  </si>
  <si>
    <t>4938000.0</t>
  </si>
  <si>
    <t>Bruno Teixeira</t>
  </si>
  <si>
    <t>R$8.438.000,00</t>
  </si>
  <si>
    <t>Daniel</t>
  </si>
  <si>
    <t>Seletto</t>
  </si>
  <si>
    <t>Emerson</t>
  </si>
  <si>
    <t>Em setembro termina de quitar os últimos investimentos que fez e fica mais tranquilo pra investir.</t>
  </si>
  <si>
    <t>Manaus</t>
  </si>
  <si>
    <t>Amazonas (AM)</t>
  </si>
  <si>
    <t>Setembro</t>
  </si>
  <si>
    <t>Sandro</t>
  </si>
  <si>
    <t>8038000.0</t>
  </si>
  <si>
    <t>R$6.538.000,00</t>
  </si>
  <si>
    <t>Blumenau</t>
  </si>
  <si>
    <t>Evandro</t>
  </si>
  <si>
    <t>6628000.0</t>
  </si>
  <si>
    <t>Henrique Silveira</t>
  </si>
  <si>
    <t>Modelo</t>
  </si>
  <si>
    <t>Ivar Saraiva</t>
  </si>
  <si>
    <t>Oppo Imóveis</t>
  </si>
  <si>
    <t>6778000.0</t>
  </si>
  <si>
    <t>Barbara Goettems</t>
  </si>
  <si>
    <t>Vacaria</t>
  </si>
  <si>
    <t>Eduardo André Sturmer</t>
  </si>
  <si>
    <t>Autônomo</t>
  </si>
  <si>
    <t>Carlos Gamarra</t>
  </si>
  <si>
    <t>Dulce</t>
  </si>
  <si>
    <t>João Junior</t>
  </si>
  <si>
    <t>R$ 7.788.000</t>
  </si>
  <si>
    <t>Santa Rosa</t>
  </si>
  <si>
    <t>Adriano</t>
  </si>
  <si>
    <t>Styllo Imóveis</t>
  </si>
  <si>
    <t>. Preço alto na percepção do cliente</t>
  </si>
  <si>
    <t>Cliente não enxergou valor suficiente pra desembolsar R$8.5M no Charles, por isso desistiu,</t>
  </si>
  <si>
    <t>Cleber Neckel</t>
  </si>
  <si>
    <t>Negociação pós Treinamento</t>
  </si>
  <si>
    <t>Itaqui</t>
  </si>
  <si>
    <t>Mauro Castillo Gaibar</t>
  </si>
  <si>
    <t>Simone Duarte</t>
  </si>
  <si>
    <t>8438000.0</t>
  </si>
  <si>
    <t>a Definir</t>
  </si>
  <si>
    <t>São Paulo</t>
  </si>
  <si>
    <t>São Paulo (SP)</t>
  </si>
  <si>
    <t>Jean Rauwers</t>
  </si>
  <si>
    <t>Wagner</t>
  </si>
  <si>
    <t>Suiça</t>
  </si>
  <si>
    <t>Zurique</t>
  </si>
  <si>
    <t>Martin Garrido</t>
  </si>
  <si>
    <t>Lady Di, Charles II</t>
  </si>
  <si>
    <t>Balneário Camboriú</t>
  </si>
  <si>
    <t>Luan BC</t>
  </si>
  <si>
    <t>3668000.0</t>
  </si>
  <si>
    <t>. Príncipe Philip</t>
  </si>
  <si>
    <t>Robert Marques</t>
  </si>
  <si>
    <t>Príncipe Philip</t>
  </si>
  <si>
    <t>R$ 3.668.000</t>
  </si>
  <si>
    <t>Marcio</t>
  </si>
  <si>
    <t>Gabriela Zaggo</t>
  </si>
  <si>
    <t>Dionísio Cerqueira</t>
  </si>
  <si>
    <t>Omar Secchi</t>
  </si>
  <si>
    <t>7938000.0</t>
  </si>
  <si>
    <t>Bruno - Curitiba</t>
  </si>
  <si>
    <t>8278000.0</t>
  </si>
  <si>
    <t>Lucas Cabedal</t>
  </si>
  <si>
    <t>R$ 8.278.000</t>
  </si>
  <si>
    <t>Mês</t>
  </si>
  <si>
    <t>Wesley e esposa</t>
  </si>
  <si>
    <t>Jeferson Medeiros</t>
  </si>
  <si>
    <t>Thiago e esposa</t>
  </si>
  <si>
    <t>6250000.0</t>
  </si>
  <si>
    <t>Tarcísio - Permutante Lady Di</t>
  </si>
  <si>
    <t>7000000.0</t>
  </si>
  <si>
    <t>Thiesen Residence 1602</t>
  </si>
  <si>
    <t>Edgar Costa</t>
  </si>
  <si>
    <t>Santana Filho</t>
  </si>
  <si>
    <t>7138000.0</t>
  </si>
  <si>
    <t>Sasse Imobank</t>
  </si>
  <si>
    <t>Ronaldo</t>
  </si>
  <si>
    <t>Gessele</t>
  </si>
  <si>
    <t>Rodrigo e Marcelo</t>
  </si>
  <si>
    <t>6493000.0</t>
  </si>
  <si>
    <t>Ricardo Primavera do leste</t>
  </si>
  <si>
    <t>Odete</t>
  </si>
  <si>
    <t>4188000.0</t>
  </si>
  <si>
    <t>Michely Atlan</t>
  </si>
  <si>
    <t>Nico - Green Decor</t>
  </si>
  <si>
    <t>13132800.0</t>
  </si>
  <si>
    <t>Mario Cesar Nicoli da Cruz</t>
  </si>
  <si>
    <t>6938000.0</t>
  </si>
  <si>
    <t>Diego Dutra</t>
  </si>
  <si>
    <t>Marcos Eua</t>
  </si>
  <si>
    <t>9888000.0</t>
  </si>
  <si>
    <t>Marcos</t>
  </si>
  <si>
    <t>6298000.0</t>
  </si>
  <si>
    <t>Luiz Carlos Reis</t>
  </si>
  <si>
    <t>13496000.0</t>
  </si>
  <si>
    <t>Luis Henrique e Roberto</t>
  </si>
  <si>
    <t>Renan Lazarotto</t>
  </si>
  <si>
    <t>Lucas e Bruna Lazzari</t>
  </si>
  <si>
    <t>Sinal/Contrato</t>
  </si>
  <si>
    <t>8888000.0</t>
  </si>
  <si>
    <t>Mayco Zunino</t>
  </si>
  <si>
    <t>Kelwin Eggert</t>
  </si>
  <si>
    <t>5298000.0</t>
  </si>
  <si>
    <t>Jefferson</t>
  </si>
  <si>
    <t>4338000.0</t>
  </si>
  <si>
    <t>Gisele Campi</t>
  </si>
  <si>
    <t>Henrique carvalho Riva</t>
  </si>
  <si>
    <t>Rodrigo imperial</t>
  </si>
  <si>
    <t>Henriete Pazinato</t>
  </si>
  <si>
    <t>1.0</t>
  </si>
  <si>
    <t>Tiago Messias</t>
  </si>
  <si>
    <t>Fernando Eua</t>
  </si>
  <si>
    <t>Nicoli New Life</t>
  </si>
  <si>
    <t>Adriano LIma</t>
  </si>
  <si>
    <t>gessele</t>
  </si>
  <si>
    <t>Eduarda e Edilson</t>
  </si>
  <si>
    <t>Lidy Nogueira Vilela</t>
  </si>
  <si>
    <t>Diego Netto e Patric Miranda</t>
  </si>
  <si>
    <t>6468000.0</t>
  </si>
  <si>
    <t>Marcelo Noronha</t>
  </si>
  <si>
    <t>Cristiane e Fabiano</t>
  </si>
  <si>
    <t>Felipe Perin</t>
  </si>
  <si>
    <t>Clovis Seganfredo</t>
  </si>
  <si>
    <t>Alcindo - França</t>
  </si>
  <si>
    <t>3000000.0</t>
  </si>
  <si>
    <t>Jeferson</t>
  </si>
  <si>
    <t>Sergio (Projeto Mac)</t>
  </si>
  <si>
    <t>Rubens</t>
  </si>
  <si>
    <t>Sergio E. Bitello</t>
  </si>
  <si>
    <t>Pedro Galdino Neto</t>
  </si>
  <si>
    <t>Mohamed e Chadia</t>
  </si>
  <si>
    <t>Marcelo Marques</t>
  </si>
  <si>
    <t>6000000.0</t>
  </si>
  <si>
    <t>Vinicius Mras</t>
  </si>
  <si>
    <t>Lurdes do Amaral</t>
  </si>
  <si>
    <t>Diana Cadore</t>
  </si>
  <si>
    <t>8828000.0</t>
  </si>
  <si>
    <t>Elizabeth II Royal Home</t>
  </si>
  <si>
    <t>Geandre Silva</t>
  </si>
  <si>
    <t>2280000.0</t>
  </si>
  <si>
    <t>Ivoni Henn</t>
  </si>
  <si>
    <t>Humberto</t>
  </si>
  <si>
    <t>6288000.0</t>
  </si>
  <si>
    <t>. Marie Antoinette</t>
  </si>
  <si>
    <t>Daniel Henrique</t>
  </si>
  <si>
    <t>Gustavo</t>
  </si>
  <si>
    <t>Gregor Clause</t>
  </si>
  <si>
    <t>9000000.0</t>
  </si>
  <si>
    <t>Evandro Schneider</t>
  </si>
  <si>
    <t>7188000.0</t>
  </si>
  <si>
    <t>Henrique</t>
  </si>
  <si>
    <t>Enzo</t>
  </si>
  <si>
    <t>5836000.0</t>
  </si>
  <si>
    <t>Vinicius Buture</t>
  </si>
  <si>
    <t>Eduardo Cascavel - NS</t>
  </si>
  <si>
    <t>2688000.0</t>
  </si>
  <si>
    <t>Edson e esposa</t>
  </si>
  <si>
    <t>Danilo</t>
  </si>
  <si>
    <t>Jaison</t>
  </si>
  <si>
    <t>Clesio</t>
  </si>
  <si>
    <t>3300000.0</t>
  </si>
  <si>
    <t>Bruno Inácio Henn</t>
  </si>
  <si>
    <t>Anderson e Carina</t>
  </si>
  <si>
    <t>Alex</t>
  </si>
  <si>
    <t>Vinicius</t>
  </si>
  <si>
    <t>8000000.0</t>
  </si>
  <si>
    <t>Alexandra Martins</t>
  </si>
  <si>
    <t>Thiago Dias e Rodrigo</t>
  </si>
  <si>
    <t>17676000.0</t>
  </si>
  <si>
    <t>Rafael Prado</t>
  </si>
  <si>
    <t>Roni</t>
  </si>
  <si>
    <t>Rogerio Alonso</t>
  </si>
  <si>
    <t>6493200.0</t>
  </si>
  <si>
    <t>Paulo e família</t>
  </si>
  <si>
    <t>Flavia</t>
  </si>
  <si>
    <t>Pamela e Mari (Sunset)</t>
  </si>
  <si>
    <t>Jennifer Azevedo</t>
  </si>
  <si>
    <t>Odair Cechin</t>
  </si>
  <si>
    <t>Rogerio</t>
  </si>
  <si>
    <t>Milko e Mirian</t>
  </si>
  <si>
    <t>Mauriel</t>
  </si>
  <si>
    <t>Marquinhos Cota Laje - Ohmega</t>
  </si>
  <si>
    <t>Marden e Rodrigo</t>
  </si>
  <si>
    <t>Lucimar</t>
  </si>
  <si>
    <t>Kelvin</t>
  </si>
  <si>
    <t>3808000.0</t>
  </si>
  <si>
    <t>Jamil</t>
  </si>
  <si>
    <t>21418000.0</t>
  </si>
  <si>
    <t>Carla Regina Moser</t>
  </si>
  <si>
    <t>Ironi Maciel</t>
  </si>
  <si>
    <t>Carla</t>
  </si>
  <si>
    <t>Haroldo Tucumantel</t>
  </si>
  <si>
    <t>Gunar e Marciano</t>
  </si>
  <si>
    <t>7956000.0</t>
  </si>
  <si>
    <t>Guilherme e Mariana</t>
  </si>
  <si>
    <t>Ezequiel de Lima</t>
  </si>
  <si>
    <t>17776000.0</t>
  </si>
  <si>
    <t>Lucas Rocha/Ocsandro Rossi</t>
  </si>
  <si>
    <t>Everton</t>
  </si>
  <si>
    <t>Ewerton</t>
  </si>
  <si>
    <t>Elienai</t>
  </si>
  <si>
    <t>4500000.0</t>
  </si>
  <si>
    <t>6100000.0</t>
  </si>
  <si>
    <t>Eduardo perez nogueira</t>
  </si>
  <si>
    <t>Luiz Gustavo</t>
  </si>
  <si>
    <t>Eduardo Mãozão</t>
  </si>
  <si>
    <t>Edineia</t>
  </si>
  <si>
    <t>Patricia Vier</t>
  </si>
  <si>
    <t>Diana e Jean (Sunset)</t>
  </si>
  <si>
    <t>Carla Regina Moser e Gislaine Bianchini</t>
  </si>
  <si>
    <t>Daniel Ribeiro</t>
  </si>
  <si>
    <t>Cliente Fluxo - Carla/Potencial</t>
  </si>
  <si>
    <t>Cliente Cota Laje - Lazarotto</t>
  </si>
  <si>
    <t>Cliente Cota Laje - Buture 4</t>
  </si>
  <si>
    <t>Junior Buture</t>
  </si>
  <si>
    <t>Cliente Cota Laje - Buture 3</t>
  </si>
  <si>
    <t>Cliente Cota Laje - Buture 2</t>
  </si>
  <si>
    <t>Cliente Cota Laje - Buture</t>
  </si>
  <si>
    <t>Cliente Cota Laje - André Backes 1</t>
  </si>
  <si>
    <t>André Backes</t>
  </si>
  <si>
    <t>Cliente Cota Laje - André 3</t>
  </si>
  <si>
    <t>Cliente Cota Laje - André 2</t>
  </si>
  <si>
    <t>Clarice Acco</t>
  </si>
  <si>
    <t>Chico (Sunset)</t>
  </si>
  <si>
    <t>Celio Meurer</t>
  </si>
  <si>
    <t>André Machado</t>
  </si>
  <si>
    <t>Andre Athayde</t>
  </si>
  <si>
    <t>Andre - Campo novo do Parecis</t>
  </si>
  <si>
    <t>6738000.0</t>
  </si>
  <si>
    <t>Andre</t>
  </si>
  <si>
    <t>Anderson Rossi</t>
  </si>
  <si>
    <t>Aluisio</t>
  </si>
  <si>
    <t>Residencial Zimmermann 602-B, Residencial Zimmermann 602-B</t>
  </si>
  <si>
    <t>Roberta</t>
  </si>
  <si>
    <t>Adriana</t>
  </si>
  <si>
    <t>A definir - Lady Di</t>
  </si>
  <si>
    <t>Eliana</t>
  </si>
  <si>
    <t>A Definir - Clube Investidores</t>
  </si>
  <si>
    <t>Anatielle Gomes</t>
  </si>
  <si>
    <t>Fernando Feldmann Cristofolini</t>
  </si>
  <si>
    <t>1.00</t>
  </si>
  <si>
    <t>Roque</t>
  </si>
  <si>
    <t>1888000.0</t>
  </si>
  <si>
    <t>Mônaco Tour 1501</t>
  </si>
  <si>
    <t>João</t>
  </si>
  <si>
    <t>Reimar e Aline 2502</t>
  </si>
  <si>
    <t>6540000.0</t>
  </si>
  <si>
    <t>Uilliam Taffarel</t>
  </si>
  <si>
    <t>Reimar e Aline</t>
  </si>
  <si>
    <t>6023000.0</t>
  </si>
  <si>
    <t>Matheus Bortoluzzi de Toni</t>
  </si>
  <si>
    <t>6050000.0</t>
  </si>
  <si>
    <t>Docimar Tomazeli</t>
  </si>
  <si>
    <t>4858000.0</t>
  </si>
  <si>
    <t>Leandro Atlan</t>
  </si>
  <si>
    <t>Debora Caldeira</t>
  </si>
  <si>
    <t>Cleri Alves</t>
  </si>
  <si>
    <t>Marcia Pequeno</t>
  </si>
  <si>
    <t>Claudio</t>
  </si>
  <si>
    <t>5341700.0</t>
  </si>
  <si>
    <t>Everaldo Marcos</t>
  </si>
  <si>
    <t>Cesar e Daniel</t>
  </si>
  <si>
    <t>Rafael Dias</t>
  </si>
  <si>
    <t>Auri Marcel Baú</t>
  </si>
  <si>
    <t>2216000.0</t>
  </si>
  <si>
    <t>Claiton Rodrigues</t>
  </si>
  <si>
    <t>Durval</t>
  </si>
  <si>
    <t>Vilmor</t>
  </si>
  <si>
    <t>Thiago Eua</t>
  </si>
  <si>
    <t>Rubens e Patricia</t>
  </si>
  <si>
    <t>Jonathan Felix</t>
  </si>
  <si>
    <t>Paulo Garrido</t>
  </si>
  <si>
    <t>Alexa Martins</t>
  </si>
  <si>
    <t>Paulo</t>
  </si>
  <si>
    <t>6888000.0</t>
  </si>
  <si>
    <t>Aruana</t>
  </si>
  <si>
    <t>Karine</t>
  </si>
  <si>
    <t>Nelson</t>
  </si>
  <si>
    <t>1964000.0</t>
  </si>
  <si>
    <t>João Suzin</t>
  </si>
  <si>
    <t>Moudi e Hamadi (Irmãos)</t>
  </si>
  <si>
    <t>Alisson Bruxo</t>
  </si>
  <si>
    <t>Miguel Silva</t>
  </si>
  <si>
    <t>18746000.0</t>
  </si>
  <si>
    <t>Mauro</t>
  </si>
  <si>
    <t>Ramão Freibeier</t>
  </si>
  <si>
    <t>Matheus Murad</t>
  </si>
  <si>
    <t>Gustavo Costi</t>
  </si>
  <si>
    <t>Marcos Mariano</t>
  </si>
  <si>
    <t>kevin</t>
  </si>
  <si>
    <t>Hussein Hijazi</t>
  </si>
  <si>
    <t>17516000.0</t>
  </si>
  <si>
    <t>Flávio Silva Pinto</t>
  </si>
  <si>
    <t>39564000.0</t>
  </si>
  <si>
    <t>Minéia</t>
  </si>
  <si>
    <t>Fernando Dal Mora</t>
  </si>
  <si>
    <t>19888000.0</t>
  </si>
  <si>
    <t>Denilson Nichele</t>
  </si>
  <si>
    <t>Braulio de Jesus Andrade</t>
  </si>
  <si>
    <t>Débora Melo</t>
  </si>
  <si>
    <t>Angelita</t>
  </si>
  <si>
    <t>8338000.0</t>
  </si>
  <si>
    <t>Felipe Tavares</t>
  </si>
  <si>
    <t>Zico</t>
  </si>
  <si>
    <t>Zanini e Fabiane</t>
  </si>
  <si>
    <t>Ruth</t>
  </si>
  <si>
    <t>André Brustulin</t>
  </si>
  <si>
    <t>Mauro e Marli</t>
  </si>
  <si>
    <t>6088000.0</t>
  </si>
  <si>
    <t>Lucas</t>
  </si>
  <si>
    <t>João Zanotto</t>
  </si>
  <si>
    <t>Felipe Ferreira</t>
  </si>
  <si>
    <t>Renato Lazarotto</t>
  </si>
  <si>
    <t>Familia Link</t>
  </si>
  <si>
    <t>Eduardo Castamann</t>
  </si>
  <si>
    <t>Demetrio Londrina</t>
  </si>
  <si>
    <t>Cliente - Douglas Sabel/Daniel Espindola</t>
  </si>
  <si>
    <t>2700000.0</t>
  </si>
  <si>
    <t>Douglas Sabel</t>
  </si>
  <si>
    <t>Clement Duboir</t>
  </si>
  <si>
    <t>Lucas Rocha</t>
  </si>
  <si>
    <t>Carlos</t>
  </si>
  <si>
    <t>2678000.0</t>
  </si>
  <si>
    <t>Alexandre</t>
  </si>
  <si>
    <t>Augusto</t>
  </si>
  <si>
    <t>9278000.0</t>
  </si>
  <si>
    <t>André Bortolon</t>
  </si>
  <si>
    <t>Aloysio Rossetti</t>
  </si>
  <si>
    <t xml:space="preserve">Familia Link </t>
  </si>
  <si>
    <t>2550000.0</t>
  </si>
  <si>
    <t>Abril</t>
  </si>
  <si>
    <t>Renovare Imóveis</t>
  </si>
  <si>
    <t>Mercatto</t>
  </si>
  <si>
    <t>Maio</t>
  </si>
  <si>
    <t>Eduardo Carrillo</t>
  </si>
  <si>
    <t>Marie Antoinette</t>
  </si>
  <si>
    <t>Start Imobiliário</t>
  </si>
  <si>
    <t>Bruxo (Alisson Rosset)</t>
  </si>
  <si>
    <t>Confidere</t>
  </si>
  <si>
    <t>Hussein</t>
  </si>
  <si>
    <t>Ronaldo da Silva</t>
  </si>
  <si>
    <t>Mateus Reginatto</t>
  </si>
  <si>
    <t>Matheus</t>
  </si>
  <si>
    <t>Zaiden</t>
  </si>
  <si>
    <t>Junho</t>
  </si>
  <si>
    <t xml:space="preserve"> </t>
  </si>
  <si>
    <t>Rodolpho e Esposa</t>
  </si>
  <si>
    <t>Canova</t>
  </si>
  <si>
    <t>Dias Imóveis</t>
  </si>
  <si>
    <t>Jamil e Simone</t>
  </si>
  <si>
    <t>Palauro e Benfica</t>
  </si>
  <si>
    <t>Jorge Palauro</t>
  </si>
  <si>
    <t>Claudio José Mees Laurindo</t>
  </si>
  <si>
    <t>Visitas/ano 2026</t>
  </si>
  <si>
    <t>Qualif/ano 2026</t>
  </si>
  <si>
    <t>Visitas</t>
  </si>
  <si>
    <t>Total de negociações</t>
  </si>
  <si>
    <t>Total visitas</t>
  </si>
  <si>
    <t>Total qualificadas</t>
  </si>
  <si>
    <t>%</t>
  </si>
  <si>
    <t>Vendas Totais</t>
  </si>
  <si>
    <t>Valor vendido Total</t>
  </si>
  <si>
    <t>Numero de vendas</t>
  </si>
  <si>
    <t>Valor vendido</t>
  </si>
  <si>
    <t>Julho</t>
  </si>
  <si>
    <t>Agosto</t>
  </si>
  <si>
    <t>Outubro</t>
  </si>
  <si>
    <t>Novembro</t>
  </si>
  <si>
    <t>Visita Qualificada por coordenador</t>
  </si>
  <si>
    <t xml:space="preserve">Visitas gerais por coordenador </t>
  </si>
  <si>
    <t>COUNTA de Mês</t>
  </si>
  <si>
    <t>abril</t>
  </si>
  <si>
    <t>Adriano LIma Total</t>
  </si>
  <si>
    <t>fevereiro</t>
  </si>
  <si>
    <t>janeiro</t>
  </si>
  <si>
    <t>junho</t>
  </si>
  <si>
    <t>maio</t>
  </si>
  <si>
    <t>março</t>
  </si>
  <si>
    <t>Mateus Calebi Total</t>
  </si>
  <si>
    <t>Ricardo Total</t>
  </si>
  <si>
    <t>Suyane Cachoeira Total</t>
  </si>
  <si>
    <t>Total geral</t>
  </si>
  <si>
    <t>COUNTA of . Visita Qualificada</t>
  </si>
  <si>
    <t>Total Geral</t>
  </si>
  <si>
    <t>COUNTA of . Nome Corretor (VP)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</si>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</sst>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/m/yyyy"/>
  </numFmts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ptos Narrow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&quot;Aptos Narrow&quot;"/>
    </font>
    <font>
      <sz val="10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3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5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164" fontId="1" fillId="0" borderId="0" xfId="0" applyNumberFormat="1" applyFont="1" applyAlignment="1"/>
    <xf numFmtId="0" fontId="1" fillId="2" borderId="0" xfId="0" applyFont="1" applyFill="1"/>
    <xf numFmtId="14" fontId="1" fillId="0" borderId="0" xfId="0" applyNumberFormat="1" applyFont="1" applyAlignment="1"/>
    <xf numFmtId="20" fontId="1" fillId="0" borderId="0" xfId="0" applyNumberFormat="1" applyFont="1" applyAlignment="1"/>
    <xf numFmtId="164" fontId="1" fillId="2" borderId="0" xfId="0" applyNumberFormat="1" applyFont="1" applyFill="1" applyAlignment="1"/>
    <xf numFmtId="164" fontId="1" fillId="0" borderId="0" xfId="0" applyNumberFormat="1" applyFont="1"/>
    <xf numFmtId="165" fontId="1" fillId="0" borderId="0" xfId="0" applyNumberFormat="1" applyFont="1" applyAlignment="1"/>
    <xf numFmtId="0" fontId="1" fillId="0" borderId="0" xfId="0" applyFont="1"/>
    <xf numFmtId="164" fontId="1" fillId="2" borderId="0" xfId="0" applyNumberFormat="1" applyFont="1" applyFill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/>
    <xf numFmtId="14" fontId="6" fillId="0" borderId="0" xfId="0" applyNumberFormat="1" applyFont="1" applyAlignment="1">
      <alignment horizontal="right"/>
    </xf>
    <xf numFmtId="0" fontId="7" fillId="0" borderId="0" xfId="0" applyFont="1" applyAlignment="1"/>
    <xf numFmtId="0" fontId="8" fillId="3" borderId="0" xfId="0" applyFont="1" applyFill="1" applyAlignment="1"/>
    <xf numFmtId="0" fontId="7" fillId="3" borderId="0" xfId="0" applyFont="1" applyFill="1" applyAlignment="1"/>
    <xf numFmtId="164" fontId="7" fillId="3" borderId="0" xfId="0" applyNumberFormat="1" applyFont="1" applyFill="1" applyAlignment="1"/>
    <xf numFmtId="0" fontId="0" fillId="0" borderId="0" xfId="0" applyFont="1" applyAlignment="1"/>
    <xf numFmtId="0" fontId="7" fillId="0" borderId="0" xfId="0" applyFont="1"/>
    <xf numFmtId="0" fontId="7" fillId="3" borderId="0" xfId="0" applyFont="1" applyFill="1"/>
    <xf numFmtId="164" fontId="7" fillId="3" borderId="0" xfId="0" applyNumberFormat="1" applyFont="1" applyFill="1"/>
    <xf numFmtId="0" fontId="8" fillId="3" borderId="0" xfId="0" applyFont="1" applyFill="1" applyAlignment="1"/>
    <xf numFmtId="0" fontId="8" fillId="3" borderId="0" xfId="0" applyFont="1" applyFill="1" applyAlignment="1"/>
    <xf numFmtId="0" fontId="9" fillId="3" borderId="0" xfId="0" applyFont="1" applyFill="1" applyAlignment="1"/>
    <xf numFmtId="164" fontId="9" fillId="3" borderId="0" xfId="0" applyNumberFormat="1" applyFont="1" applyFill="1" applyAlignment="1"/>
    <xf numFmtId="4" fontId="7" fillId="0" borderId="0" xfId="0" applyNumberFormat="1" applyFont="1" applyAlignment="1"/>
    <xf numFmtId="164" fontId="7" fillId="0" borderId="0" xfId="0" applyNumberFormat="1" applyFont="1" applyAlignment="1"/>
    <xf numFmtId="0" fontId="10" fillId="0" borderId="0" xfId="0" applyFont="1" applyAlignment="1"/>
    <xf numFmtId="0" fontId="11" fillId="0" borderId="0" xfId="0" applyFont="1" applyAlignment="1"/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/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" fontId="12" fillId="3" borderId="6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1" fontId="12" fillId="0" borderId="6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/>
    <xf numFmtId="0" fontId="13" fillId="3" borderId="0" xfId="0" applyFont="1" applyFill="1" applyAlignment="1">
      <alignment horizontal="center"/>
    </xf>
    <xf numFmtId="1" fontId="12" fillId="0" borderId="6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13" fillId="0" borderId="8" xfId="0" applyFont="1" applyBorder="1" applyAlignment="1"/>
    <xf numFmtId="0" fontId="1" fillId="3" borderId="0" xfId="0" applyFont="1" applyFill="1" applyAlignment="1">
      <alignment horizontal="center"/>
    </xf>
    <xf numFmtId="0" fontId="1" fillId="0" borderId="8" xfId="0" applyFont="1" applyBorder="1" applyAlignment="1"/>
    <xf numFmtId="0" fontId="1" fillId="0" borderId="8" xfId="0" applyFont="1" applyBorder="1" applyAlignment="1">
      <alignment horizontal="center"/>
    </xf>
    <xf numFmtId="0" fontId="1" fillId="0" borderId="5" xfId="0" applyFont="1" applyBorder="1"/>
    <xf numFmtId="0" fontId="15" fillId="0" borderId="0" xfId="0" applyFont="1" applyAlignment="1">
      <alignment horizontal="center"/>
    </xf>
    <xf numFmtId="1" fontId="15" fillId="0" borderId="6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/>
    <xf numFmtId="0" fontId="12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7" xfId="0" applyFont="1" applyBorder="1"/>
    <xf numFmtId="164" fontId="1" fillId="3" borderId="0" xfId="0" applyNumberFormat="1" applyFont="1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1" xfId="0" pivotButton="1" applyFont="1" applyBorder="1" applyAlignment="1"/>
    <xf numFmtId="0" fontId="0" fillId="0" borderId="12" xfId="0" applyFont="1" applyBorder="1" applyAlignment="1"/>
    <xf numFmtId="0" fontId="0" fillId="0" borderId="11" xfId="0" applyFont="1" applyBorder="1" applyAlignment="1"/>
    <xf numFmtId="0" fontId="0" fillId="0" borderId="12" xfId="0" applyNumberFormat="1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NumberFormat="1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NumberFormat="1" applyFont="1" applyBorder="1" applyAlignment="1"/>
    <xf numFmtId="0" fontId="13" fillId="3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ssele Empreed" refreshedDate="46197.393436921295" refreshedVersion="8" recordCount="1032" xr:uid="{00000000-000A-0000-FFFF-FFFF00000000}">
  <cacheSource type="worksheet">
    <worksheetSource ref="A1:L1033" sheet="Limpo"/>
  </cacheSource>
  <cacheFields count="12">
    <cacheField name="Nome" numFmtId="0">
      <sharedItems containsBlank="1" count="106">
        <s v="Adriana (Mãe William Cagliari)"/>
        <s v="Adriano"/>
        <s v="Alexandre Horst"/>
        <s v="Bruno - Curitiba"/>
        <s v="Bruno"/>
        <s v="Carlos e Carmen"/>
        <s v="Carlos Pelotas"/>
        <s v="Celso e Elaine"/>
        <s v="Charles Garcia"/>
        <s v="Daniel"/>
        <s v="Daniela"/>
        <s v="Darlan e Magda"/>
        <s v="Dayane e Manoel Jr"/>
        <s v="Dirceu"/>
        <s v="Dr José"/>
        <s v="Dulce"/>
        <s v="Ederson Seubert"/>
        <s v="Eduardo André Sturmer"/>
        <s v="Eduardo Polverelli (Sunset)"/>
        <s v="Evandro"/>
        <s v="Falcão"/>
        <s v="Fatima e Luciano"/>
        <s v="Flavio"/>
        <s v="Genezio"/>
        <s v="Gerônimo"/>
        <s v="Gilson e Ivete"/>
        <s v="Granero"/>
        <s v="Hamilton Ferreira e Aline"/>
        <s v="Henrique Mathias"/>
        <s v="Hideki"/>
        <s v="Hugo"/>
        <s v="Ivar Saraiva"/>
        <s v="Jailson Buzzi"/>
        <s v="Jean Rauwers"/>
        <s v="Kinho e Lucas"/>
        <s v="Leandro"/>
        <s v="Leide"/>
        <s v="Leocir Menon"/>
        <s v="Luan BC"/>
        <s v="Luan de Almeida"/>
        <s v="Luiz Fernando"/>
        <s v="Marcello"/>
        <s v="Marcio"/>
        <s v="Marcos Leone"/>
        <s v="Maria Beatriz Tavares"/>
        <s v="Marquinho Hofman"/>
        <s v="Martin Garrido"/>
        <s v="Mauro Castillo Gaibar"/>
        <s v="Noronha"/>
        <s v="Omar Secchi"/>
        <s v="Robson e Jefferson"/>
        <s v="Ronaldo e Esposa"/>
        <s v="Rosana Senadora"/>
        <s v="Sandro"/>
        <s v="Thiago"/>
        <s v="William Cagliari"/>
        <s v="Williams e Brenda"/>
        <s v="Lucas"/>
        <s v="Felipe Ferreira"/>
        <s v="Familia Link "/>
        <s v="Zico"/>
        <s v="Clement Duboir"/>
        <s v="Alcindo - França"/>
        <s v="Bruno Inácio Henn"/>
        <s v="Clovis Seganfredo"/>
        <s v="Cristiane e Fabiano"/>
        <s v="Diego Netto e Patric Miranda"/>
        <s v="Eduarda e Edilson"/>
        <s v="Ezequiel de Lima"/>
        <s v="Fernando"/>
        <s v="Fernando Eua"/>
        <s v="Flávio Silva Pinto"/>
        <s v="Henriete Pazinato"/>
        <s v="Jefferson"/>
        <s v="Kelwin Eggert"/>
        <s v="Lucas e Bruna Lazzari"/>
        <s v="Luiz Carlos Reis"/>
        <s v="Marcos Eua"/>
        <s v="Mario Cesar Nicoli da Cruz"/>
        <s v="Nico - Green Decor"/>
        <s v="Rodolpho e Esposa"/>
        <s v="Rodrigo e Marcelo"/>
        <s v="Santana Filho"/>
        <s v="Thiago e esposa"/>
        <s v="Zanini e Fabiane"/>
        <s v="Wesley e esposa"/>
        <s v="Thiago Eua"/>
        <s v="kevin"/>
        <s v="Paulo Garrido"/>
        <s v="Marcos Mariano"/>
        <s v="Angelita"/>
        <s v="Miguel Silva"/>
        <s v="Ronaldo da Silva"/>
        <s v="Matheus Murad"/>
        <s v="Matheus Bortoluzzi de Toni"/>
        <s v="Reimar e Aline 2502"/>
        <s v="Docimar Tomazeli"/>
        <s v="Reimar e Aline"/>
        <s v="Cesar e Daniel"/>
        <s v="Hussein Hijazi"/>
        <s v="Auri Marcel Baú"/>
        <s v="A definir"/>
        <s v="Jamil e Simone"/>
        <s v="Durval"/>
        <s v="Claudio José Mees Laurindo"/>
        <m/>
      </sharedItems>
    </cacheField>
    <cacheField name="Empresa" numFmtId="0">
      <sharedItems containsBlank="1"/>
    </cacheField>
    <cacheField name=". Nome Corretor (VP)" numFmtId="0">
      <sharedItems containsBlank="1" count="72">
        <s v="João Furtado"/>
        <s v="Cleber Neckel"/>
        <s v="Vinicius Amorin"/>
        <s v="Lucas Cabedal"/>
        <s v="Anna Vargas"/>
        <s v="Josi Palmasola"/>
        <s v="Ocsandro"/>
        <s v="Lisandra Diefenthaeler"/>
        <s v="Angelo Cattoni"/>
        <s v="Emerson"/>
        <s v="Bruna Ribeiro"/>
        <s v="Flavio Correa"/>
        <s v="Carla Regina Moser"/>
        <s v="Rodolfo"/>
        <s v="Fabio Bulhões"/>
        <s v="João Junior"/>
        <s v="Giovana Monteiro"/>
        <s v="Carlos Gamarra"/>
        <s v="Carine Bottene"/>
        <s v="Henrique Silveira"/>
        <s v="Vinícius Imperial"/>
        <s v="Marcel Campos"/>
        <s v="Fernando"/>
        <s v="Bruno Teixeira"/>
        <s v="Natalie Ribas"/>
        <s v="Junior Leão"/>
        <s v="Diego Farensena"/>
        <s v="Pablo Ramires"/>
        <s v="Daniel Oliveira"/>
        <s v="Barbara Goettems"/>
        <s v="Wagner"/>
        <s v="Angelo"/>
        <s v="Gustavo Dal Piva"/>
        <s v="Cleiton Farias"/>
        <s v="Robert Marques"/>
        <s v="Luan Almeida"/>
        <s v="Fernando Erthal"/>
        <s v="Gabriela Zaggo"/>
        <s v="Kauê Karraro"/>
        <s v="Simone Duarte"/>
        <s v="Allen Ramos"/>
        <s v="Renato Lazarotto"/>
        <s v="Eduardo Castamann"/>
        <s v="Lucas Rocha"/>
        <s v="Jeferson"/>
        <s v="Felipe Perin"/>
        <s v="Marcelo Noronha"/>
        <s v="Lidy Nogueira Vilela"/>
        <s v="Lucas Rocha/Ocsandro Rossi"/>
        <s v="gessele"/>
        <s v="Nicoli New Life"/>
        <s v="Minéia"/>
        <s v="Tiago Messias"/>
        <s v="Gisele Campi"/>
        <s v="Kelwin Eggert"/>
        <s v="Mayco Zunino"/>
        <s v="Jeferson Medeiros"/>
        <s v="Diego Dutra"/>
        <s v="Canova"/>
        <s v="Sasse Imobank"/>
        <s v="Alexa Martins"/>
        <s v="Felipe Tavares"/>
        <s v="Mateus Reginatto"/>
        <s v="Gustavo Costi"/>
        <s v="Uilliam Taffarel"/>
        <s v="Leandro Atlan"/>
        <s v="Rafael Dias"/>
        <s v="Alisson Bruxo"/>
        <s v="Claiton Rodrigues"/>
        <s v="Jorge Palauro"/>
        <s v="Everaldo Marcos"/>
        <m/>
      </sharedItems>
    </cacheField>
    <cacheField name="Valor Único" numFmtId="0">
      <sharedItems containsBlank="1" count="68">
        <s v="7388000.0"/>
        <s v="8500000.0"/>
        <s v="2588000.0"/>
        <s v="8278000.0"/>
        <s v="9588000.0"/>
        <s v="6200000.0"/>
        <s v="8138000.0"/>
        <s v="10000000.0"/>
        <s v="0.0"/>
        <s v="7838000.0"/>
        <s v="9388000.0"/>
        <s v="7788000.0"/>
        <s v="5500000.0"/>
        <s v="6213200.0"/>
        <s v="6628000.0"/>
        <s v="7888000.0"/>
        <s v="8400000.0"/>
        <s v="7578000.0"/>
        <s v="4938000.0"/>
        <s v="3388000.0"/>
        <s v="6899000.0"/>
        <s v="6591000.0"/>
        <s v="5906600.0"/>
        <s v="6500000.0"/>
        <s v="6778000.0"/>
        <s v="6248000.0"/>
        <s v="9338000.0"/>
        <s v="3588000.0"/>
        <s v="3668000.0"/>
        <s v="1800000.0"/>
        <s v="3788000.0"/>
        <s v="2900000.0"/>
        <s v="7738000.0"/>
        <s v="8438000.0"/>
        <s v="7938000.0"/>
        <s v="6843200.0"/>
        <s v="8038000.0"/>
        <s v="4750000.0"/>
        <s v="5948000.0"/>
        <s v="5398000.0"/>
        <s v="6493200.0"/>
        <s v="2550000.0"/>
        <s v="3000000.0"/>
        <s v="1.0"/>
        <s v="6493000.0"/>
        <s v="6468000.0"/>
        <s v="17776000.0"/>
        <s v="39564000.0"/>
        <s v="4338000.0"/>
        <s v="5298000.0"/>
        <s v="8888000.0"/>
        <s v="13496000.0"/>
        <s v="9888000.0"/>
        <s v="6938000.0"/>
        <s v="13132800.0"/>
        <s v="7138000.0"/>
        <s v="6250000.0"/>
        <s v="1888000.0"/>
        <s v="8338000.0"/>
        <s v="18746000.0"/>
        <s v="6050000.0"/>
        <s v="6540000.0"/>
        <s v="4858000.0"/>
        <s v="6023000.0"/>
        <s v="17516000.0"/>
        <s v="2216000.0"/>
        <s v="5341700.0"/>
        <m/>
      </sharedItems>
    </cacheField>
    <cacheField name=". Visita Qualificada" numFmtId="0">
      <sharedItems containsBlank="1" count="7">
        <s v="Janeiro"/>
        <s v="Março"/>
        <s v="Fevereiro"/>
        <s v="Abril"/>
        <s v="Maio"/>
        <s v="Junho"/>
        <m/>
      </sharedItems>
    </cacheField>
    <cacheField name="Responsável" numFmtId="0">
      <sharedItems containsBlank="1" count="5">
        <s v="Suyane Cachoeira"/>
        <s v="Ricardo"/>
        <s v="Mateus Calebi"/>
        <s v="Adriano LIma"/>
        <m/>
      </sharedItems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">
  <r>
    <x v="0"/>
    <s v="Play Negócios Imobiliários"/>
    <x v="0"/>
    <x v="0"/>
    <x v="0"/>
    <x v="0"/>
    <m/>
    <m/>
    <m/>
    <m/>
    <m/>
    <m/>
  </r>
  <r>
    <x v="1"/>
    <s v="Styllo Imóveis"/>
    <x v="1"/>
    <x v="1"/>
    <x v="1"/>
    <x v="0"/>
    <m/>
    <m/>
    <m/>
    <m/>
    <m/>
    <m/>
  </r>
  <r>
    <x v="2"/>
    <s v="Ohmega"/>
    <x v="2"/>
    <x v="2"/>
    <x v="0"/>
    <x v="1"/>
    <m/>
    <m/>
    <m/>
    <m/>
    <m/>
    <m/>
  </r>
  <r>
    <x v="3"/>
    <m/>
    <x v="3"/>
    <x v="3"/>
    <x v="1"/>
    <x v="2"/>
    <m/>
    <m/>
    <m/>
    <m/>
    <m/>
    <m/>
  </r>
  <r>
    <x v="4"/>
    <s v="Anna Vargas"/>
    <x v="4"/>
    <x v="4"/>
    <x v="2"/>
    <x v="0"/>
    <m/>
    <m/>
    <m/>
    <m/>
    <m/>
    <m/>
  </r>
  <r>
    <x v="5"/>
    <s v="Josi Tomasi"/>
    <x v="5"/>
    <x v="5"/>
    <x v="2"/>
    <x v="0"/>
    <m/>
    <m/>
    <m/>
    <m/>
    <m/>
    <m/>
  </r>
  <r>
    <x v="6"/>
    <s v="Esmeralda"/>
    <x v="6"/>
    <x v="6"/>
    <x v="0"/>
    <x v="1"/>
    <m/>
    <m/>
    <m/>
    <m/>
    <m/>
    <m/>
  </r>
  <r>
    <x v="7"/>
    <m/>
    <x v="7"/>
    <x v="7"/>
    <x v="0"/>
    <x v="0"/>
    <m/>
    <m/>
    <m/>
    <m/>
    <m/>
    <m/>
  </r>
  <r>
    <x v="8"/>
    <s v="Esmeralda"/>
    <x v="8"/>
    <x v="8"/>
    <x v="2"/>
    <x v="1"/>
    <m/>
    <m/>
    <m/>
    <m/>
    <m/>
    <m/>
  </r>
  <r>
    <x v="9"/>
    <s v="Seletto"/>
    <x v="9"/>
    <x v="9"/>
    <x v="2"/>
    <x v="0"/>
    <m/>
    <m/>
    <m/>
    <m/>
    <m/>
    <m/>
  </r>
  <r>
    <x v="10"/>
    <s v="Esmeralda"/>
    <x v="10"/>
    <x v="10"/>
    <x v="0"/>
    <x v="0"/>
    <m/>
    <m/>
    <m/>
    <m/>
    <m/>
    <m/>
  </r>
  <r>
    <x v="11"/>
    <s v="Ohmega"/>
    <x v="11"/>
    <x v="11"/>
    <x v="0"/>
    <x v="1"/>
    <m/>
    <m/>
    <m/>
    <m/>
    <m/>
    <m/>
  </r>
  <r>
    <x v="12"/>
    <s v="Potencial"/>
    <x v="12"/>
    <x v="1"/>
    <x v="0"/>
    <x v="0"/>
    <m/>
    <m/>
    <m/>
    <m/>
    <m/>
    <m/>
  </r>
  <r>
    <x v="13"/>
    <s v="Sucesso Imóveis"/>
    <x v="13"/>
    <x v="12"/>
    <x v="0"/>
    <x v="0"/>
    <m/>
    <m/>
    <m/>
    <m/>
    <m/>
    <m/>
  </r>
  <r>
    <x v="14"/>
    <m/>
    <x v="14"/>
    <x v="8"/>
    <x v="2"/>
    <x v="1"/>
    <m/>
    <m/>
    <m/>
    <m/>
    <m/>
    <m/>
  </r>
  <r>
    <x v="15"/>
    <m/>
    <x v="15"/>
    <x v="11"/>
    <x v="1"/>
    <x v="2"/>
    <m/>
    <m/>
    <m/>
    <m/>
    <m/>
    <m/>
  </r>
  <r>
    <x v="16"/>
    <s v="Buture"/>
    <x v="16"/>
    <x v="12"/>
    <x v="0"/>
    <x v="0"/>
    <m/>
    <m/>
    <m/>
    <m/>
    <m/>
    <m/>
  </r>
  <r>
    <x v="17"/>
    <s v="Autônomo"/>
    <x v="17"/>
    <x v="8"/>
    <x v="2"/>
    <x v="1"/>
    <m/>
    <m/>
    <m/>
    <m/>
    <m/>
    <m/>
  </r>
  <r>
    <x v="18"/>
    <s v="Potencial"/>
    <x v="18"/>
    <x v="13"/>
    <x v="0"/>
    <x v="0"/>
    <m/>
    <m/>
    <m/>
    <m/>
    <m/>
    <m/>
  </r>
  <r>
    <x v="19"/>
    <m/>
    <x v="19"/>
    <x v="14"/>
    <x v="2"/>
    <x v="1"/>
    <m/>
    <m/>
    <m/>
    <m/>
    <m/>
    <m/>
  </r>
  <r>
    <x v="20"/>
    <m/>
    <x v="20"/>
    <x v="15"/>
    <x v="0"/>
    <x v="2"/>
    <m/>
    <m/>
    <m/>
    <m/>
    <m/>
    <m/>
  </r>
  <r>
    <x v="21"/>
    <s v="Esmeralda"/>
    <x v="21"/>
    <x v="16"/>
    <x v="2"/>
    <x v="0"/>
    <m/>
    <m/>
    <m/>
    <m/>
    <m/>
    <m/>
  </r>
  <r>
    <x v="22"/>
    <s v="Ohmega"/>
    <x v="22"/>
    <x v="17"/>
    <x v="0"/>
    <x v="2"/>
    <m/>
    <m/>
    <m/>
    <m/>
    <m/>
    <m/>
  </r>
  <r>
    <x v="23"/>
    <s v="Esmeralda"/>
    <x v="6"/>
    <x v="6"/>
    <x v="0"/>
    <x v="2"/>
    <m/>
    <m/>
    <m/>
    <m/>
    <m/>
    <m/>
  </r>
  <r>
    <x v="24"/>
    <s v="Ranquer Imóveis"/>
    <x v="23"/>
    <x v="18"/>
    <x v="2"/>
    <x v="1"/>
    <m/>
    <m/>
    <m/>
    <m/>
    <m/>
    <m/>
  </r>
  <r>
    <x v="25"/>
    <s v="Natalie Ribas"/>
    <x v="24"/>
    <x v="19"/>
    <x v="0"/>
    <x v="0"/>
    <m/>
    <m/>
    <m/>
    <m/>
    <m/>
    <m/>
  </r>
  <r>
    <x v="26"/>
    <m/>
    <x v="25"/>
    <x v="20"/>
    <x v="2"/>
    <x v="1"/>
    <m/>
    <m/>
    <m/>
    <m/>
    <m/>
    <m/>
  </r>
  <r>
    <x v="27"/>
    <s v="Ohmega"/>
    <x v="26"/>
    <x v="21"/>
    <x v="0"/>
    <x v="1"/>
    <m/>
    <m/>
    <m/>
    <m/>
    <m/>
    <m/>
  </r>
  <r>
    <x v="28"/>
    <s v="Otimizza Imóveis"/>
    <x v="27"/>
    <x v="22"/>
    <x v="0"/>
    <x v="1"/>
    <m/>
    <m/>
    <m/>
    <m/>
    <m/>
    <m/>
  </r>
  <r>
    <x v="29"/>
    <m/>
    <x v="28"/>
    <x v="23"/>
    <x v="2"/>
    <x v="2"/>
    <m/>
    <m/>
    <m/>
    <m/>
    <m/>
    <m/>
  </r>
  <r>
    <x v="30"/>
    <s v="Ohmega"/>
    <x v="2"/>
    <x v="8"/>
    <x v="2"/>
    <x v="1"/>
    <m/>
    <m/>
    <m/>
    <m/>
    <m/>
    <m/>
  </r>
  <r>
    <x v="31"/>
    <s v="Oppo Imóveis"/>
    <x v="29"/>
    <x v="24"/>
    <x v="2"/>
    <x v="0"/>
    <m/>
    <m/>
    <m/>
    <m/>
    <m/>
    <m/>
  </r>
  <r>
    <x v="32"/>
    <s v="Potencial"/>
    <x v="12"/>
    <x v="25"/>
    <x v="0"/>
    <x v="0"/>
    <m/>
    <m/>
    <m/>
    <m/>
    <m/>
    <m/>
  </r>
  <r>
    <x v="33"/>
    <s v="Ohmega"/>
    <x v="30"/>
    <x v="26"/>
    <x v="1"/>
    <x v="1"/>
    <m/>
    <m/>
    <m/>
    <m/>
    <m/>
    <m/>
  </r>
  <r>
    <x v="34"/>
    <s v="Esmeralda"/>
    <x v="31"/>
    <x v="8"/>
    <x v="2"/>
    <x v="1"/>
    <m/>
    <m/>
    <m/>
    <m/>
    <m/>
    <m/>
  </r>
  <r>
    <x v="35"/>
    <m/>
    <x v="32"/>
    <x v="27"/>
    <x v="0"/>
    <x v="2"/>
    <m/>
    <m/>
    <m/>
    <m/>
    <m/>
    <m/>
  </r>
  <r>
    <x v="36"/>
    <s v="Cleiton Farias"/>
    <x v="33"/>
    <x v="5"/>
    <x v="2"/>
    <x v="0"/>
    <m/>
    <m/>
    <m/>
    <m/>
    <m/>
    <m/>
  </r>
  <r>
    <x v="37"/>
    <s v="Leão Imóveis"/>
    <x v="25"/>
    <x v="8"/>
    <x v="2"/>
    <x v="1"/>
    <m/>
    <m/>
    <m/>
    <m/>
    <m/>
    <m/>
  </r>
  <r>
    <x v="38"/>
    <m/>
    <x v="34"/>
    <x v="28"/>
    <x v="1"/>
    <x v="2"/>
    <m/>
    <m/>
    <m/>
    <m/>
    <m/>
    <m/>
  </r>
  <r>
    <x v="39"/>
    <s v="Ohmega"/>
    <x v="35"/>
    <x v="29"/>
    <x v="2"/>
    <x v="1"/>
    <m/>
    <m/>
    <m/>
    <m/>
    <m/>
    <m/>
  </r>
  <r>
    <x v="40"/>
    <m/>
    <x v="36"/>
    <x v="30"/>
    <x v="2"/>
    <x v="2"/>
    <m/>
    <m/>
    <m/>
    <m/>
    <m/>
    <m/>
  </r>
  <r>
    <x v="41"/>
    <s v="Esmeralda"/>
    <x v="14"/>
    <x v="31"/>
    <x v="0"/>
    <x v="1"/>
    <m/>
    <m/>
    <m/>
    <m/>
    <m/>
    <m/>
  </r>
  <r>
    <x v="42"/>
    <s v="Buture"/>
    <x v="37"/>
    <x v="14"/>
    <x v="1"/>
    <x v="0"/>
    <m/>
    <m/>
    <m/>
    <m/>
    <m/>
    <m/>
  </r>
  <r>
    <x v="43"/>
    <s v="Ohmega"/>
    <x v="38"/>
    <x v="8"/>
    <x v="0"/>
    <x v="1"/>
    <m/>
    <m/>
    <m/>
    <m/>
    <m/>
    <m/>
  </r>
  <r>
    <x v="44"/>
    <s v="Esmeralda"/>
    <x v="14"/>
    <x v="2"/>
    <x v="2"/>
    <x v="1"/>
    <m/>
    <m/>
    <m/>
    <m/>
    <m/>
    <m/>
  </r>
  <r>
    <x v="45"/>
    <m/>
    <x v="25"/>
    <x v="32"/>
    <x v="0"/>
    <x v="1"/>
    <m/>
    <m/>
    <m/>
    <m/>
    <m/>
    <m/>
  </r>
  <r>
    <x v="46"/>
    <m/>
    <x v="29"/>
    <x v="9"/>
    <x v="1"/>
    <x v="0"/>
    <m/>
    <m/>
    <m/>
    <m/>
    <m/>
    <m/>
  </r>
  <r>
    <x v="47"/>
    <s v="Simone Duarte"/>
    <x v="39"/>
    <x v="33"/>
    <x v="1"/>
    <x v="0"/>
    <m/>
    <m/>
    <m/>
    <m/>
    <m/>
    <m/>
  </r>
  <r>
    <x v="48"/>
    <m/>
    <x v="35"/>
    <x v="26"/>
    <x v="0"/>
    <x v="1"/>
    <m/>
    <m/>
    <m/>
    <m/>
    <m/>
    <m/>
  </r>
  <r>
    <x v="49"/>
    <m/>
    <x v="29"/>
    <x v="34"/>
    <x v="1"/>
    <x v="0"/>
    <m/>
    <m/>
    <m/>
    <m/>
    <m/>
    <m/>
  </r>
  <r>
    <x v="50"/>
    <s v="Ohmega"/>
    <x v="35"/>
    <x v="8"/>
    <x v="2"/>
    <x v="1"/>
    <m/>
    <m/>
    <m/>
    <m/>
    <m/>
    <m/>
  </r>
  <r>
    <x v="51"/>
    <m/>
    <x v="26"/>
    <x v="9"/>
    <x v="0"/>
    <x v="2"/>
    <m/>
    <m/>
    <m/>
    <m/>
    <m/>
    <m/>
  </r>
  <r>
    <x v="52"/>
    <s v="Josi Tomasi"/>
    <x v="5"/>
    <x v="35"/>
    <x v="2"/>
    <x v="0"/>
    <m/>
    <m/>
    <m/>
    <m/>
    <m/>
    <m/>
  </r>
  <r>
    <x v="53"/>
    <s v="Anna Vargas"/>
    <x v="4"/>
    <x v="36"/>
    <x v="2"/>
    <x v="0"/>
    <m/>
    <m/>
    <m/>
    <m/>
    <m/>
    <m/>
  </r>
  <r>
    <x v="54"/>
    <s v="Ohmega"/>
    <x v="35"/>
    <x v="37"/>
    <x v="0"/>
    <x v="1"/>
    <m/>
    <m/>
    <m/>
    <m/>
    <m/>
    <m/>
  </r>
  <r>
    <x v="55"/>
    <s v="Play Negócios Imobiliários"/>
    <x v="0"/>
    <x v="38"/>
    <x v="2"/>
    <x v="0"/>
    <m/>
    <m/>
    <m/>
    <m/>
    <m/>
    <m/>
  </r>
  <r>
    <x v="56"/>
    <m/>
    <x v="40"/>
    <x v="39"/>
    <x v="0"/>
    <x v="1"/>
    <m/>
    <m/>
    <m/>
    <m/>
    <m/>
    <m/>
  </r>
  <r>
    <x v="6"/>
    <s v="Esmeralda"/>
    <x v="6"/>
    <x v="6"/>
    <x v="1"/>
    <x v="1"/>
    <m/>
    <m/>
    <m/>
    <m/>
    <m/>
    <m/>
  </r>
  <r>
    <x v="57"/>
    <m/>
    <x v="4"/>
    <x v="11"/>
    <x v="1"/>
    <x v="0"/>
    <m/>
    <m/>
    <m/>
    <m/>
    <m/>
    <m/>
  </r>
  <r>
    <x v="58"/>
    <m/>
    <x v="41"/>
    <x v="40"/>
    <x v="1"/>
    <x v="1"/>
    <m/>
    <m/>
    <m/>
    <m/>
    <m/>
    <m/>
  </r>
  <r>
    <x v="59"/>
    <m/>
    <x v="42"/>
    <x v="41"/>
    <x v="1"/>
    <x v="2"/>
    <m/>
    <m/>
    <m/>
    <m/>
    <m/>
    <m/>
  </r>
  <r>
    <x v="60"/>
    <m/>
    <x v="5"/>
    <x v="40"/>
    <x v="1"/>
    <x v="0"/>
    <m/>
    <m/>
    <m/>
    <m/>
    <m/>
    <m/>
  </r>
  <r>
    <x v="61"/>
    <m/>
    <x v="43"/>
    <x v="34"/>
    <x v="1"/>
    <x v="0"/>
    <m/>
    <m/>
    <m/>
    <m/>
    <m/>
    <m/>
  </r>
  <r>
    <x v="62"/>
    <m/>
    <x v="44"/>
    <x v="42"/>
    <x v="3"/>
    <x v="2"/>
    <m/>
    <m/>
    <m/>
    <m/>
    <m/>
    <m/>
  </r>
  <r>
    <x v="63"/>
    <s v="Anna Vargas"/>
    <x v="4"/>
    <x v="43"/>
    <x v="3"/>
    <x v="0"/>
    <m/>
    <m/>
    <m/>
    <m/>
    <m/>
    <m/>
  </r>
  <r>
    <x v="64"/>
    <s v="Buture"/>
    <x v="37"/>
    <x v="43"/>
    <x v="3"/>
    <x v="0"/>
    <m/>
    <m/>
    <m/>
    <m/>
    <m/>
    <m/>
  </r>
  <r>
    <x v="65"/>
    <s v="Mercatto"/>
    <x v="45"/>
    <x v="44"/>
    <x v="3"/>
    <x v="0"/>
    <m/>
    <m/>
    <m/>
    <m/>
    <m/>
    <m/>
  </r>
  <r>
    <x v="66"/>
    <s v="Zaiden"/>
    <x v="46"/>
    <x v="45"/>
    <x v="3"/>
    <x v="0"/>
    <m/>
    <m/>
    <m/>
    <m/>
    <m/>
    <m/>
  </r>
  <r>
    <x v="67"/>
    <s v="Buture"/>
    <x v="47"/>
    <x v="43"/>
    <x v="3"/>
    <x v="0"/>
    <m/>
    <m/>
    <m/>
    <m/>
    <m/>
    <m/>
  </r>
  <r>
    <x v="68"/>
    <s v="Esmeralda"/>
    <x v="48"/>
    <x v="46"/>
    <x v="3"/>
    <x v="0"/>
    <m/>
    <m/>
    <m/>
    <m/>
    <m/>
    <m/>
  </r>
  <r>
    <x v="69"/>
    <m/>
    <x v="49"/>
    <x v="8"/>
    <x v="3"/>
    <x v="3"/>
    <m/>
    <m/>
    <m/>
    <m/>
    <m/>
    <m/>
  </r>
  <r>
    <x v="70"/>
    <m/>
    <x v="50"/>
    <x v="6"/>
    <x v="3"/>
    <x v="2"/>
    <m/>
    <m/>
    <m/>
    <m/>
    <m/>
    <m/>
  </r>
  <r>
    <x v="71"/>
    <m/>
    <x v="51"/>
    <x v="47"/>
    <x v="3"/>
    <x v="1"/>
    <m/>
    <m/>
    <m/>
    <m/>
    <m/>
    <m/>
  </r>
  <r>
    <x v="72"/>
    <m/>
    <x v="52"/>
    <x v="43"/>
    <x v="3"/>
    <x v="0"/>
    <m/>
    <m/>
    <m/>
    <m/>
    <m/>
    <m/>
  </r>
  <r>
    <x v="73"/>
    <s v="Renovare Imóveis"/>
    <x v="53"/>
    <x v="48"/>
    <x v="3"/>
    <x v="1"/>
    <m/>
    <m/>
    <m/>
    <m/>
    <m/>
    <m/>
  </r>
  <r>
    <x v="74"/>
    <m/>
    <x v="54"/>
    <x v="49"/>
    <x v="3"/>
    <x v="0"/>
    <m/>
    <m/>
    <m/>
    <m/>
    <m/>
    <m/>
  </r>
  <r>
    <x v="75"/>
    <s v="Buture"/>
    <x v="55"/>
    <x v="50"/>
    <x v="3"/>
    <x v="1"/>
    <m/>
    <m/>
    <m/>
    <m/>
    <m/>
    <m/>
  </r>
  <r>
    <x v="76"/>
    <m/>
    <x v="15"/>
    <x v="51"/>
    <x v="3"/>
    <x v="2"/>
    <m/>
    <m/>
    <m/>
    <m/>
    <m/>
    <m/>
  </r>
  <r>
    <x v="77"/>
    <m/>
    <x v="56"/>
    <x v="52"/>
    <x v="3"/>
    <x v="2"/>
    <m/>
    <m/>
    <m/>
    <m/>
    <m/>
    <m/>
  </r>
  <r>
    <x v="78"/>
    <s v="Play Negócios Imobiliários"/>
    <x v="57"/>
    <x v="53"/>
    <x v="3"/>
    <x v="0"/>
    <m/>
    <m/>
    <m/>
    <m/>
    <m/>
    <m/>
  </r>
  <r>
    <x v="79"/>
    <s v="Ohmega"/>
    <x v="30"/>
    <x v="54"/>
    <x v="3"/>
    <x v="1"/>
    <m/>
    <m/>
    <m/>
    <m/>
    <m/>
    <m/>
  </r>
  <r>
    <x v="80"/>
    <m/>
    <x v="58"/>
    <x v="8"/>
    <x v="3"/>
    <x v="2"/>
    <m/>
    <m/>
    <m/>
    <m/>
    <m/>
    <m/>
  </r>
  <r>
    <x v="81"/>
    <s v="Simone Duarte"/>
    <x v="39"/>
    <x v="44"/>
    <x v="3"/>
    <x v="0"/>
    <m/>
    <m/>
    <m/>
    <m/>
    <m/>
    <m/>
  </r>
  <r>
    <x v="82"/>
    <m/>
    <x v="59"/>
    <x v="55"/>
    <x v="3"/>
    <x v="2"/>
    <m/>
    <m/>
    <m/>
    <m/>
    <m/>
    <m/>
  </r>
  <r>
    <x v="83"/>
    <m/>
    <x v="2"/>
    <x v="56"/>
    <x v="3"/>
    <x v="2"/>
    <m/>
    <m/>
    <m/>
    <m/>
    <m/>
    <m/>
  </r>
  <r>
    <x v="84"/>
    <s v="Anna Vargas"/>
    <x v="4"/>
    <x v="43"/>
    <x v="3"/>
    <x v="0"/>
    <m/>
    <m/>
    <m/>
    <m/>
    <m/>
    <m/>
  </r>
  <r>
    <x v="85"/>
    <m/>
    <x v="56"/>
    <x v="6"/>
    <x v="4"/>
    <x v="2"/>
    <m/>
    <m/>
    <m/>
    <m/>
    <m/>
    <m/>
  </r>
  <r>
    <x v="86"/>
    <m/>
    <x v="56"/>
    <x v="57"/>
    <x v="4"/>
    <x v="2"/>
    <m/>
    <m/>
    <m/>
    <m/>
    <m/>
    <m/>
  </r>
  <r>
    <x v="87"/>
    <m/>
    <x v="56"/>
    <x v="8"/>
    <x v="4"/>
    <x v="2"/>
    <m/>
    <m/>
    <m/>
    <m/>
    <m/>
    <m/>
  </r>
  <r>
    <x v="88"/>
    <m/>
    <x v="60"/>
    <x v="52"/>
    <x v="4"/>
    <x v="2"/>
    <m/>
    <m/>
    <m/>
    <m/>
    <m/>
    <m/>
  </r>
  <r>
    <x v="89"/>
    <m/>
    <x v="44"/>
    <x v="8"/>
    <x v="4"/>
    <x v="2"/>
    <m/>
    <m/>
    <m/>
    <m/>
    <m/>
    <m/>
  </r>
  <r>
    <x v="90"/>
    <s v="Potencial"/>
    <x v="12"/>
    <x v="43"/>
    <x v="4"/>
    <x v="0"/>
    <m/>
    <m/>
    <m/>
    <m/>
    <m/>
    <m/>
  </r>
  <r>
    <x v="1"/>
    <m/>
    <x v="61"/>
    <x v="58"/>
    <x v="4"/>
    <x v="0"/>
    <m/>
    <m/>
    <m/>
    <m/>
    <m/>
    <m/>
  </r>
  <r>
    <x v="91"/>
    <m/>
    <x v="60"/>
    <x v="59"/>
    <x v="4"/>
    <x v="2"/>
    <m/>
    <m/>
    <m/>
    <m/>
    <m/>
    <m/>
  </r>
  <r>
    <x v="92"/>
    <s v="Ohmega"/>
    <x v="62"/>
    <x v="43"/>
    <x v="4"/>
    <x v="1"/>
    <m/>
    <m/>
    <m/>
    <m/>
    <m/>
    <m/>
  </r>
  <r>
    <x v="93"/>
    <m/>
    <x v="63"/>
    <x v="57"/>
    <x v="4"/>
    <x v="1"/>
    <m/>
    <m/>
    <m/>
    <m/>
    <m/>
    <m/>
  </r>
  <r>
    <x v="94"/>
    <s v="Zaiden"/>
    <x v="46"/>
    <x v="60"/>
    <x v="5"/>
    <x v="0"/>
    <m/>
    <m/>
    <m/>
    <m/>
    <m/>
    <m/>
  </r>
  <r>
    <x v="95"/>
    <m/>
    <x v="64"/>
    <x v="61"/>
    <x v="5"/>
    <x v="2"/>
    <m/>
    <m/>
    <m/>
    <m/>
    <m/>
    <m/>
  </r>
  <r>
    <x v="96"/>
    <m/>
    <x v="65"/>
    <x v="62"/>
    <x v="5"/>
    <x v="2"/>
    <m/>
    <m/>
    <m/>
    <m/>
    <m/>
    <m/>
  </r>
  <r>
    <x v="97"/>
    <m/>
    <x v="64"/>
    <x v="63"/>
    <x v="5"/>
    <x v="2"/>
    <m/>
    <m/>
    <m/>
    <m/>
    <m/>
    <m/>
  </r>
  <r>
    <x v="98"/>
    <s v="Dias Imóveis"/>
    <x v="66"/>
    <x v="43"/>
    <x v="5"/>
    <x v="0"/>
    <m/>
    <m/>
    <m/>
    <m/>
    <m/>
    <m/>
  </r>
  <r>
    <x v="99"/>
    <s v="Bruxo (Alisson Rosset)"/>
    <x v="67"/>
    <x v="64"/>
    <x v="5"/>
    <x v="0"/>
    <m/>
    <m/>
    <m/>
    <m/>
    <m/>
    <m/>
  </r>
  <r>
    <x v="100"/>
    <s v="Zaiden"/>
    <x v="46"/>
    <x v="14"/>
    <x v="5"/>
    <x v="0"/>
    <m/>
    <m/>
    <m/>
    <m/>
    <m/>
    <m/>
  </r>
  <r>
    <x v="101"/>
    <m/>
    <x v="68"/>
    <x v="65"/>
    <x v="5"/>
    <x v="0"/>
    <m/>
    <m/>
    <m/>
    <m/>
    <m/>
    <m/>
  </r>
  <r>
    <x v="102"/>
    <s v="Palauro e Benfica"/>
    <x v="69"/>
    <x v="14"/>
    <x v="5"/>
    <x v="1"/>
    <m/>
    <m/>
    <m/>
    <m/>
    <m/>
    <m/>
  </r>
  <r>
    <x v="103"/>
    <s v="Everaldo Marcos"/>
    <x v="70"/>
    <x v="66"/>
    <x v="5"/>
    <x v="1"/>
    <m/>
    <m/>
    <m/>
    <m/>
    <m/>
    <m/>
  </r>
  <r>
    <x v="104"/>
    <s v="Gessele"/>
    <x v="49"/>
    <x v="43"/>
    <x v="5"/>
    <x v="0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  <r>
    <x v="105"/>
    <m/>
    <x v="71"/>
    <x v="67"/>
    <x v="6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Ranking Visita Qualificada 2" cacheId="8" applyNumberFormats="0" applyBorderFormats="0" applyFontFormats="0" applyPatternFormats="0" applyAlignmentFormats="0" applyWidthHeightFormats="0" dataCaption="" updatedVersion="8" compact="0" compactData="0">
  <location ref="G19:I43" firstHeaderRow="1" firstDataRow="1" firstDataCol="2"/>
  <pivotFields count="12">
    <pivotField name="Nome" compact="0" outline="0" multipleItemSelectionAllowed="1" showAll="0"/>
    <pivotField name="Empresa" compact="0" outline="0" multipleItemSelectionAllowed="1" showAll="0"/>
    <pivotField name=". Nome Corretor (VP)" compact="0" outline="0" multipleItemSelectionAllowed="1" showAll="0"/>
    <pivotField name="Valor Único" compact="0" outline="0" multipleItemSelectionAllowed="1" showAll="0"/>
    <pivotField name=". Visita Qualificada" axis="axisRow" dataField="1" compact="0" outline="0" multipleItemSelectionAllowed="1" showAll="0" sortType="ascending">
      <items count="8">
        <item x="0"/>
        <item x="2"/>
        <item x="1"/>
        <item x="3"/>
        <item x="4"/>
        <item x="5"/>
        <item h="1" x="6"/>
        <item t="default"/>
      </items>
    </pivotField>
    <pivotField name="Responsável" axis="axisRow" compact="0" outline="0" multipleItemSelectionAllowed="1" showAll="0" sortType="ascending">
      <items count="6">
        <item x="3"/>
        <item x="2"/>
        <item x="1"/>
        <item x="0"/>
        <item h="1" x="4"/>
        <item t="default"/>
      </items>
    </pivotField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</pivotFields>
  <rowFields count="2">
    <field x="5"/>
    <field x="4"/>
  </rowFields>
  <rowItems count="24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 t="grand">
      <x/>
    </i>
  </rowItems>
  <colItems count="1">
    <i/>
  </colItems>
  <dataFields count="1">
    <dataField name="COUNTA of . Visita Qualificada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Ranking Visita Qualificada" cacheId="8" applyNumberFormats="0" applyBorderFormats="0" applyFontFormats="0" applyPatternFormats="0" applyAlignmentFormats="0" applyWidthHeightFormats="0" dataCaption="" updatedVersion="8" rowGrandTotals="0" compact="0" compactData="0">
  <location ref="A1:D86" firstHeaderRow="1" firstDataRow="1" firstDataCol="3"/>
  <pivotFields count="12">
    <pivotField name="Nome" axis="axisRow" compact="0" outline="0" multipleItemSelectionAllowed="1" showAll="0" sortType="ascending" defaultSubtotal="0">
      <items count="106">
        <item x="101"/>
        <item x="0"/>
        <item x="1"/>
        <item x="62"/>
        <item x="2"/>
        <item x="90"/>
        <item x="100"/>
        <item x="4"/>
        <item x="3"/>
        <item x="63"/>
        <item x="5"/>
        <item x="6"/>
        <item x="7"/>
        <item x="98"/>
        <item x="8"/>
        <item x="104"/>
        <item x="61"/>
        <item x="64"/>
        <item x="65"/>
        <item x="9"/>
        <item x="10"/>
        <item x="11"/>
        <item x="12"/>
        <item x="66"/>
        <item x="13"/>
        <item x="96"/>
        <item x="14"/>
        <item x="15"/>
        <item x="103"/>
        <item x="16"/>
        <item x="67"/>
        <item x="17"/>
        <item x="18"/>
        <item x="19"/>
        <item x="68"/>
        <item x="20"/>
        <item x="59"/>
        <item x="21"/>
        <item x="58"/>
        <item x="69"/>
        <item x="70"/>
        <item x="22"/>
        <item x="71"/>
        <item x="23"/>
        <item x="24"/>
        <item x="25"/>
        <item x="26"/>
        <item x="27"/>
        <item x="72"/>
        <item x="28"/>
        <item x="29"/>
        <item x="30"/>
        <item x="99"/>
        <item x="31"/>
        <item x="32"/>
        <item x="102"/>
        <item x="33"/>
        <item x="73"/>
        <item x="74"/>
        <item x="87"/>
        <item x="34"/>
        <item x="35"/>
        <item x="36"/>
        <item x="37"/>
        <item x="38"/>
        <item x="39"/>
        <item x="57"/>
        <item x="75"/>
        <item x="76"/>
        <item x="40"/>
        <item x="41"/>
        <item x="42"/>
        <item x="77"/>
        <item x="43"/>
        <item x="89"/>
        <item x="44"/>
        <item x="78"/>
        <item x="45"/>
        <item x="46"/>
        <item x="94"/>
        <item x="93"/>
        <item x="47"/>
        <item x="91"/>
        <item x="79"/>
        <item x="48"/>
        <item x="49"/>
        <item x="88"/>
        <item x="97"/>
        <item x="95"/>
        <item x="50"/>
        <item x="80"/>
        <item x="81"/>
        <item x="92"/>
        <item x="51"/>
        <item x="52"/>
        <item x="53"/>
        <item x="82"/>
        <item x="54"/>
        <item x="83"/>
        <item x="86"/>
        <item x="85"/>
        <item x="55"/>
        <item x="56"/>
        <item x="84"/>
        <item x="60"/>
        <item x="105"/>
      </items>
    </pivotField>
    <pivotField name="Empresa" compact="0" outline="0" multipleItemSelectionAllowed="1" showAll="0"/>
    <pivotField name=". Nome Corretor (VP)" axis="axisRow" dataField="1" compact="0" outline="0" multipleItemSelectionAllowed="1" showAll="0" sortType="descending" defaultSubtotal="0">
      <items count="72">
        <item x="0"/>
        <item x="1"/>
        <item sd="0" x="2"/>
        <item x="3"/>
        <item sd="0" x="4"/>
        <item sd="0" x="5"/>
        <item sd="0" x="6"/>
        <item x="7"/>
        <item x="8"/>
        <item x="9"/>
        <item x="10"/>
        <item x="11"/>
        <item x="12"/>
        <item x="13"/>
        <item sd="0" x="14"/>
        <item x="15"/>
        <item x="16"/>
        <item x="17"/>
        <item x="18"/>
        <item x="19"/>
        <item x="20"/>
        <item x="21"/>
        <item x="22"/>
        <item x="23"/>
        <item x="24"/>
        <item sd="0" x="25"/>
        <item x="26"/>
        <item x="27"/>
        <item x="28"/>
        <item x="29"/>
        <item x="30"/>
        <item sd="0" x="31"/>
        <item x="32"/>
        <item x="33"/>
        <item x="34"/>
        <item sd="0" x="35"/>
        <item x="36"/>
        <item sd="0" x="37"/>
        <item x="38"/>
        <item x="39"/>
        <item sd="0" x="40"/>
        <item x="41"/>
        <item sd="0" x="42"/>
        <item x="43"/>
        <item x="44"/>
        <item x="45"/>
        <item sd="0" x="46"/>
        <item x="47"/>
        <item x="48"/>
        <item x="49"/>
        <item x="50"/>
        <item sd="0" x="51"/>
        <item x="52"/>
        <item x="53"/>
        <item x="54"/>
        <item x="55"/>
        <item sd="0"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sd="0" x="71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Valor Único" axis="axisRow" compact="0" outline="0" multipleItemSelectionAllowed="1" showAll="0" sortType="descending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. Visita Qualificada" compact="0" outline="0" multipleItemSelectionAllowed="1" showAll="0"/>
    <pivotField name="Responsável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</pivotFields>
  <rowFields count="3">
    <field x="2"/>
    <field x="0"/>
    <field x="3"/>
  </rowFields>
  <rowItems count="85">
    <i>
      <x v="4"/>
    </i>
    <i>
      <x v="56"/>
    </i>
    <i>
      <x v="35"/>
    </i>
    <i>
      <x v="2"/>
    </i>
    <i>
      <x v="25"/>
    </i>
    <i>
      <x v="14"/>
    </i>
    <i>
      <x v="5"/>
    </i>
    <i>
      <x v="46"/>
    </i>
    <i>
      <x v="6"/>
    </i>
    <i>
      <x v="12"/>
      <x v="5"/>
      <x v="43"/>
    </i>
    <i r="1">
      <x v="22"/>
      <x v="1"/>
    </i>
    <i r="1">
      <x v="54"/>
      <x v="25"/>
    </i>
    <i>
      <x v="29"/>
      <x v="53"/>
      <x v="24"/>
    </i>
    <i r="1">
      <x v="78"/>
      <x v="9"/>
    </i>
    <i r="1">
      <x v="85"/>
      <x v="34"/>
    </i>
    <i>
      <x v="26"/>
      <x v="47"/>
      <x v="21"/>
    </i>
    <i r="1">
      <x v="93"/>
      <x v="9"/>
    </i>
    <i>
      <x v="15"/>
      <x v="27"/>
      <x v="11"/>
    </i>
    <i r="1">
      <x v="68"/>
      <x v="51"/>
    </i>
    <i>
      <x v="64"/>
      <x v="87"/>
      <x v="63"/>
    </i>
    <i r="1">
      <x v="88"/>
      <x v="61"/>
    </i>
    <i>
      <x v="30"/>
      <x v="56"/>
      <x v="26"/>
    </i>
    <i r="1">
      <x v="83"/>
      <x v="54"/>
    </i>
    <i>
      <x v="49"/>
      <x v="15"/>
      <x v="43"/>
    </i>
    <i r="1">
      <x v="39"/>
      <x v="8"/>
    </i>
    <i>
      <x/>
      <x v="1"/>
      <x/>
    </i>
    <i r="1">
      <x v="101"/>
      <x v="38"/>
    </i>
    <i>
      <x v="60"/>
      <x v="82"/>
      <x v="59"/>
    </i>
    <i r="1">
      <x v="86"/>
      <x v="52"/>
    </i>
    <i>
      <x v="39"/>
      <x v="81"/>
      <x v="33"/>
    </i>
    <i r="1">
      <x v="91"/>
      <x v="44"/>
    </i>
    <i>
      <x v="44"/>
      <x v="3"/>
      <x v="42"/>
    </i>
    <i r="1">
      <x v="74"/>
      <x v="8"/>
    </i>
    <i>
      <x v="37"/>
    </i>
    <i>
      <x v="52"/>
      <x v="48"/>
      <x v="43"/>
    </i>
    <i>
      <x v="68"/>
      <x/>
      <x v="65"/>
    </i>
    <i>
      <x v="19"/>
      <x v="33"/>
      <x v="14"/>
    </i>
    <i>
      <x v="22"/>
      <x v="41"/>
      <x v="17"/>
    </i>
    <i>
      <x v="48"/>
      <x v="34"/>
      <x v="46"/>
    </i>
    <i>
      <x v="23"/>
      <x v="44"/>
      <x v="18"/>
    </i>
    <i>
      <x v="18"/>
      <x v="32"/>
      <x v="13"/>
    </i>
    <i>
      <x v="24"/>
      <x v="45"/>
      <x v="19"/>
    </i>
    <i>
      <x v="20"/>
      <x v="35"/>
      <x v="15"/>
    </i>
    <i>
      <x v="9"/>
      <x v="19"/>
      <x v="9"/>
    </i>
    <i>
      <x v="21"/>
      <x v="37"/>
      <x v="16"/>
    </i>
    <i>
      <x v="10"/>
      <x v="20"/>
      <x v="10"/>
    </i>
    <i>
      <x v="50"/>
      <x v="40"/>
      <x v="6"/>
    </i>
    <i>
      <x v="27"/>
      <x v="49"/>
      <x v="22"/>
    </i>
    <i>
      <x v="54"/>
      <x v="58"/>
      <x v="49"/>
    </i>
    <i>
      <x v="28"/>
      <x v="50"/>
      <x v="23"/>
    </i>
    <i>
      <x v="58"/>
      <x v="90"/>
      <x v="8"/>
    </i>
    <i>
      <x v="11"/>
      <x v="21"/>
      <x v="11"/>
    </i>
    <i>
      <x v="62"/>
      <x v="92"/>
      <x v="43"/>
    </i>
    <i>
      <x v="1"/>
      <x v="2"/>
      <x v="1"/>
    </i>
    <i>
      <x v="66"/>
      <x v="13"/>
      <x v="43"/>
    </i>
    <i>
      <x v="31"/>
    </i>
    <i>
      <x v="70"/>
      <x v="28"/>
      <x v="66"/>
    </i>
    <i>
      <x v="32"/>
      <x v="61"/>
      <x v="27"/>
    </i>
    <i>
      <x v="47"/>
      <x v="30"/>
      <x v="43"/>
    </i>
    <i>
      <x v="33"/>
      <x v="62"/>
      <x v="5"/>
    </i>
    <i>
      <x v="17"/>
      <x v="31"/>
      <x v="8"/>
    </i>
    <i>
      <x v="34"/>
      <x v="64"/>
      <x v="28"/>
    </i>
    <i>
      <x v="51"/>
    </i>
    <i>
      <x v="13"/>
      <x v="24"/>
      <x v="12"/>
    </i>
    <i>
      <x v="53"/>
      <x v="57"/>
      <x v="48"/>
    </i>
    <i>
      <x v="36"/>
      <x v="69"/>
      <x v="30"/>
    </i>
    <i>
      <x v="55"/>
      <x v="67"/>
      <x v="50"/>
    </i>
    <i>
      <x v="3"/>
      <x v="8"/>
      <x v="3"/>
    </i>
    <i>
      <x v="57"/>
      <x v="76"/>
      <x v="53"/>
    </i>
    <i>
      <x v="38"/>
      <x v="73"/>
      <x v="8"/>
    </i>
    <i>
      <x v="59"/>
      <x v="96"/>
      <x v="55"/>
    </i>
    <i>
      <x v="7"/>
      <x v="12"/>
      <x v="7"/>
    </i>
    <i>
      <x v="61"/>
      <x v="2"/>
      <x v="58"/>
    </i>
    <i>
      <x v="40"/>
    </i>
    <i>
      <x v="63"/>
      <x v="80"/>
      <x v="57"/>
    </i>
    <i>
      <x v="41"/>
      <x v="38"/>
      <x v="40"/>
    </i>
    <i>
      <x v="65"/>
      <x v="25"/>
      <x v="62"/>
    </i>
    <i>
      <x v="42"/>
    </i>
    <i>
      <x v="67"/>
      <x v="52"/>
      <x v="64"/>
    </i>
    <i>
      <x v="43"/>
      <x v="16"/>
      <x v="34"/>
    </i>
    <i>
      <x v="69"/>
      <x v="55"/>
      <x v="14"/>
    </i>
    <i>
      <x v="8"/>
      <x v="14"/>
      <x v="8"/>
    </i>
    <i>
      <x v="45"/>
      <x v="18"/>
      <x v="44"/>
    </i>
    <i>
      <x v="16"/>
      <x v="29"/>
      <x v="12"/>
    </i>
    <i>
      <x v="71"/>
    </i>
  </rowItems>
  <colItems count="1">
    <i/>
  </colItems>
  <dataFields count="1">
    <dataField name="COUNTA of . Nome Corretor (VP)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O103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7.33203125" customWidth="1"/>
  </cols>
  <sheetData>
    <row r="1" spans="1:11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3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>
      <c r="A2" s="1" t="s">
        <v>119</v>
      </c>
      <c r="B2" s="4"/>
      <c r="C2" s="1">
        <v>1</v>
      </c>
      <c r="D2" s="1" t="s">
        <v>120</v>
      </c>
      <c r="E2" s="1" t="s">
        <v>121</v>
      </c>
      <c r="F2" s="1" t="s">
        <v>122</v>
      </c>
      <c r="G2" s="1" t="s">
        <v>123</v>
      </c>
      <c r="H2" s="2" t="s">
        <v>124</v>
      </c>
      <c r="I2" s="1" t="s">
        <v>125</v>
      </c>
      <c r="J2" s="1" t="s">
        <v>126</v>
      </c>
      <c r="K2" s="5">
        <v>46051</v>
      </c>
      <c r="L2" s="6">
        <v>0.41666666666666669</v>
      </c>
      <c r="T2" s="5">
        <v>46055</v>
      </c>
      <c r="U2" s="6">
        <v>0.41805555555555557</v>
      </c>
      <c r="V2" s="1" t="s">
        <v>127</v>
      </c>
      <c r="X2" s="2" t="s">
        <v>128</v>
      </c>
      <c r="Y2" s="1" t="s">
        <v>129</v>
      </c>
      <c r="AA2" s="1" t="s">
        <v>130</v>
      </c>
      <c r="AF2" s="2" t="s">
        <v>131</v>
      </c>
      <c r="AG2" s="1" t="s">
        <v>132</v>
      </c>
      <c r="AZ2" s="1" t="s">
        <v>133</v>
      </c>
      <c r="BG2" s="1" t="s">
        <v>134</v>
      </c>
      <c r="BS2" s="3">
        <v>3588000</v>
      </c>
      <c r="CC2" s="1" t="s">
        <v>135</v>
      </c>
      <c r="CE2" s="1" t="s">
        <v>136</v>
      </c>
      <c r="CF2" s="1" t="s">
        <v>137</v>
      </c>
      <c r="CJ2" s="1" t="s">
        <v>138</v>
      </c>
      <c r="DC2" s="1" t="s">
        <v>139</v>
      </c>
      <c r="DF2" s="2" t="s">
        <v>139</v>
      </c>
    </row>
    <row r="3" spans="1:119">
      <c r="A3" s="1" t="s">
        <v>140</v>
      </c>
      <c r="B3" s="2" t="s">
        <v>141</v>
      </c>
      <c r="C3" s="1">
        <v>3</v>
      </c>
      <c r="D3" s="1" t="s">
        <v>120</v>
      </c>
      <c r="E3" s="1" t="s">
        <v>121</v>
      </c>
      <c r="F3" s="1" t="s">
        <v>122</v>
      </c>
      <c r="H3" s="2" t="s">
        <v>142</v>
      </c>
      <c r="I3" s="1" t="s">
        <v>125</v>
      </c>
      <c r="J3" s="1" t="s">
        <v>126</v>
      </c>
      <c r="K3" s="5">
        <v>46048</v>
      </c>
      <c r="L3" s="6">
        <v>0.4201388888888889</v>
      </c>
      <c r="T3" s="5">
        <v>46048</v>
      </c>
      <c r="U3" s="6">
        <v>0.45902777777777776</v>
      </c>
      <c r="V3" s="1" t="s">
        <v>143</v>
      </c>
      <c r="X3" s="2" t="s">
        <v>144</v>
      </c>
      <c r="Y3" s="1" t="s">
        <v>145</v>
      </c>
      <c r="AA3" s="1" t="s">
        <v>146</v>
      </c>
      <c r="AF3" s="2" t="s">
        <v>147</v>
      </c>
      <c r="AG3" s="1" t="s">
        <v>132</v>
      </c>
      <c r="AZ3" s="1" t="s">
        <v>144</v>
      </c>
      <c r="BG3" s="1" t="s">
        <v>148</v>
      </c>
      <c r="BS3" s="3">
        <v>2900000</v>
      </c>
      <c r="CC3" s="1" t="s">
        <v>135</v>
      </c>
      <c r="CE3" s="1" t="s">
        <v>149</v>
      </c>
      <c r="CF3" s="1" t="s">
        <v>150</v>
      </c>
      <c r="DF3" s="2" t="s">
        <v>139</v>
      </c>
    </row>
    <row r="4" spans="1:119">
      <c r="A4" s="1" t="s">
        <v>151</v>
      </c>
      <c r="B4" s="2" t="s">
        <v>152</v>
      </c>
      <c r="C4" s="1">
        <v>3</v>
      </c>
      <c r="D4" s="1" t="s">
        <v>120</v>
      </c>
      <c r="E4" s="1" t="s">
        <v>153</v>
      </c>
      <c r="F4" s="1" t="s">
        <v>122</v>
      </c>
      <c r="G4" s="1" t="s">
        <v>154</v>
      </c>
      <c r="H4" s="7" t="s">
        <v>155</v>
      </c>
      <c r="I4" s="1" t="s">
        <v>125</v>
      </c>
      <c r="J4" s="1" t="s">
        <v>126</v>
      </c>
      <c r="K4" s="5">
        <v>46046</v>
      </c>
      <c r="L4" s="6">
        <v>0.3840277777777778</v>
      </c>
      <c r="T4" s="5">
        <v>46050</v>
      </c>
      <c r="U4" s="6">
        <v>0.68333333333333335</v>
      </c>
      <c r="V4" s="1" t="s">
        <v>143</v>
      </c>
      <c r="X4" s="2" t="s">
        <v>156</v>
      </c>
      <c r="Y4" s="1" t="s">
        <v>145</v>
      </c>
      <c r="AA4" s="1" t="s">
        <v>157</v>
      </c>
      <c r="AF4" s="2" t="s">
        <v>152</v>
      </c>
      <c r="AG4" s="1" t="s">
        <v>132</v>
      </c>
      <c r="AM4" s="1" t="s">
        <v>158</v>
      </c>
      <c r="AZ4" s="1" t="s">
        <v>159</v>
      </c>
      <c r="BG4" s="1" t="s">
        <v>148</v>
      </c>
      <c r="BS4" s="8"/>
      <c r="CC4" s="1" t="s">
        <v>135</v>
      </c>
      <c r="CD4" s="1" t="s">
        <v>160</v>
      </c>
      <c r="CE4" s="1" t="s">
        <v>136</v>
      </c>
      <c r="CF4" s="1" t="s">
        <v>161</v>
      </c>
      <c r="CG4" s="1" t="s">
        <v>162</v>
      </c>
      <c r="CJ4" s="1" t="s">
        <v>138</v>
      </c>
      <c r="DC4" s="1" t="s">
        <v>139</v>
      </c>
      <c r="DF4" s="2" t="s">
        <v>139</v>
      </c>
    </row>
    <row r="5" spans="1:119">
      <c r="A5" s="1" t="s">
        <v>163</v>
      </c>
      <c r="B5" s="2" t="s">
        <v>164</v>
      </c>
      <c r="C5" s="1">
        <v>1</v>
      </c>
      <c r="D5" s="1" t="s">
        <v>120</v>
      </c>
      <c r="E5" s="1" t="s">
        <v>165</v>
      </c>
      <c r="F5" s="1" t="s">
        <v>122</v>
      </c>
      <c r="G5" s="1" t="s">
        <v>166</v>
      </c>
      <c r="H5" s="2" t="s">
        <v>167</v>
      </c>
      <c r="I5" s="1" t="s">
        <v>125</v>
      </c>
      <c r="J5" s="1" t="s">
        <v>126</v>
      </c>
      <c r="K5" s="5">
        <v>46026</v>
      </c>
      <c r="L5" s="6">
        <v>0.96458333333333335</v>
      </c>
      <c r="T5" s="5">
        <v>46057</v>
      </c>
      <c r="U5" s="6">
        <v>0.46805555555555556</v>
      </c>
      <c r="V5" s="1" t="s">
        <v>168</v>
      </c>
      <c r="X5" s="2" t="s">
        <v>128</v>
      </c>
      <c r="Y5" s="1" t="s">
        <v>169</v>
      </c>
      <c r="AA5" s="1" t="s">
        <v>170</v>
      </c>
      <c r="AF5" s="2" t="s">
        <v>171</v>
      </c>
      <c r="AG5" s="1" t="s">
        <v>132</v>
      </c>
      <c r="AM5" s="1" t="s">
        <v>172</v>
      </c>
      <c r="BG5" s="1" t="s">
        <v>173</v>
      </c>
      <c r="BS5" s="3">
        <v>7578000</v>
      </c>
      <c r="BU5" s="1" t="s">
        <v>174</v>
      </c>
      <c r="CC5" s="1" t="s">
        <v>135</v>
      </c>
      <c r="CD5" s="1">
        <v>5702</v>
      </c>
      <c r="CE5" s="1" t="s">
        <v>136</v>
      </c>
      <c r="CF5" s="1" t="s">
        <v>175</v>
      </c>
      <c r="CJ5" s="1" t="s">
        <v>176</v>
      </c>
      <c r="DC5" s="1" t="s">
        <v>139</v>
      </c>
      <c r="DF5" s="2" t="s">
        <v>139</v>
      </c>
    </row>
    <row r="6" spans="1:119">
      <c r="A6" s="1" t="s">
        <v>177</v>
      </c>
      <c r="B6" s="2" t="s">
        <v>178</v>
      </c>
      <c r="C6" s="1">
        <v>2</v>
      </c>
      <c r="D6" s="1" t="s">
        <v>120</v>
      </c>
      <c r="E6" s="1" t="s">
        <v>179</v>
      </c>
      <c r="F6" s="1" t="s">
        <v>122</v>
      </c>
      <c r="G6" s="1" t="s">
        <v>166</v>
      </c>
      <c r="H6" s="2" t="s">
        <v>180</v>
      </c>
      <c r="I6" s="1" t="s">
        <v>125</v>
      </c>
      <c r="J6" s="1" t="s">
        <v>126</v>
      </c>
      <c r="K6" s="5">
        <v>45887</v>
      </c>
      <c r="L6" s="6">
        <v>0.44027777777777777</v>
      </c>
      <c r="T6" s="5">
        <v>46042</v>
      </c>
      <c r="U6" s="6">
        <v>0.41180555555555554</v>
      </c>
      <c r="V6" s="1" t="s">
        <v>143</v>
      </c>
      <c r="X6" s="2" t="s">
        <v>156</v>
      </c>
      <c r="Y6" s="1" t="s">
        <v>173</v>
      </c>
      <c r="AF6" s="2" t="s">
        <v>181</v>
      </c>
      <c r="AG6" s="1" t="s">
        <v>132</v>
      </c>
      <c r="AS6" s="1" t="s">
        <v>182</v>
      </c>
      <c r="AZ6" s="1" t="s">
        <v>159</v>
      </c>
      <c r="BG6" s="1" t="s">
        <v>183</v>
      </c>
      <c r="BH6" s="1" t="s">
        <v>184</v>
      </c>
      <c r="BK6" s="1" t="s">
        <v>182</v>
      </c>
      <c r="BS6" s="3" t="s">
        <v>185</v>
      </c>
      <c r="CC6" s="1" t="s">
        <v>135</v>
      </c>
      <c r="CD6" s="1" t="s">
        <v>184</v>
      </c>
      <c r="CE6" s="1" t="s">
        <v>136</v>
      </c>
      <c r="CF6" s="1" t="s">
        <v>186</v>
      </c>
      <c r="CH6" s="1" t="s">
        <v>182</v>
      </c>
      <c r="CJ6" s="1" t="s">
        <v>138</v>
      </c>
      <c r="CO6" s="1" t="s">
        <v>139</v>
      </c>
      <c r="DF6" s="2" t="s">
        <v>139</v>
      </c>
      <c r="DL6" s="1" t="s">
        <v>187</v>
      </c>
      <c r="DM6" s="1" t="s">
        <v>188</v>
      </c>
      <c r="DO6" s="1">
        <v>47991558144</v>
      </c>
    </row>
    <row r="7" spans="1:119">
      <c r="A7" s="1" t="s">
        <v>189</v>
      </c>
      <c r="B7" s="2" t="s">
        <v>164</v>
      </c>
      <c r="C7" s="1">
        <v>3</v>
      </c>
      <c r="D7" s="1" t="s">
        <v>120</v>
      </c>
      <c r="E7" s="1" t="s">
        <v>165</v>
      </c>
      <c r="F7" s="1" t="s">
        <v>190</v>
      </c>
      <c r="G7" s="1" t="s">
        <v>191</v>
      </c>
      <c r="H7" s="2" t="s">
        <v>192</v>
      </c>
      <c r="I7" s="1" t="s">
        <v>125</v>
      </c>
      <c r="J7" s="1" t="s">
        <v>126</v>
      </c>
      <c r="K7" s="5">
        <v>46038</v>
      </c>
      <c r="L7" s="6">
        <v>0.39305555555555555</v>
      </c>
      <c r="Q7" s="5">
        <v>46052</v>
      </c>
      <c r="R7" s="6">
        <v>0.5625</v>
      </c>
      <c r="V7" s="1" t="s">
        <v>143</v>
      </c>
      <c r="X7" s="2" t="s">
        <v>144</v>
      </c>
      <c r="Y7" s="1" t="s">
        <v>193</v>
      </c>
      <c r="AF7" s="2" t="s">
        <v>194</v>
      </c>
      <c r="AG7" s="1" t="s">
        <v>132</v>
      </c>
      <c r="AZ7" s="1" t="s">
        <v>144</v>
      </c>
      <c r="BG7" s="1" t="s">
        <v>193</v>
      </c>
      <c r="BS7" s="3">
        <v>7788000</v>
      </c>
      <c r="CC7" s="1" t="s">
        <v>135</v>
      </c>
      <c r="CE7" s="1" t="s">
        <v>136</v>
      </c>
      <c r="CF7" s="1" t="s">
        <v>195</v>
      </c>
      <c r="CI7" s="1" t="s">
        <v>196</v>
      </c>
      <c r="CJ7" s="1" t="s">
        <v>197</v>
      </c>
      <c r="DF7" s="2" t="s">
        <v>139</v>
      </c>
    </row>
    <row r="8" spans="1:119">
      <c r="A8" s="1" t="s">
        <v>198</v>
      </c>
      <c r="B8" s="4"/>
      <c r="C8" s="1">
        <v>4</v>
      </c>
      <c r="D8" s="1" t="s">
        <v>120</v>
      </c>
      <c r="E8" s="1" t="s">
        <v>153</v>
      </c>
      <c r="F8" s="1" t="s">
        <v>190</v>
      </c>
      <c r="G8" s="1" t="s">
        <v>191</v>
      </c>
      <c r="H8" s="2" t="s">
        <v>199</v>
      </c>
      <c r="I8" s="1" t="s">
        <v>125</v>
      </c>
      <c r="J8" s="1" t="s">
        <v>126</v>
      </c>
      <c r="K8" s="5">
        <v>46034</v>
      </c>
      <c r="L8" s="6">
        <v>0.38333333333333336</v>
      </c>
      <c r="Q8" s="5">
        <v>46052</v>
      </c>
      <c r="R8" s="6">
        <v>0.60416666666666663</v>
      </c>
      <c r="V8" s="1" t="s">
        <v>143</v>
      </c>
      <c r="X8" s="2" t="s">
        <v>144</v>
      </c>
      <c r="Y8" s="1" t="s">
        <v>169</v>
      </c>
      <c r="AF8" s="2" t="s">
        <v>200</v>
      </c>
      <c r="AG8" s="1" t="s">
        <v>201</v>
      </c>
      <c r="AM8" s="1" t="s">
        <v>202</v>
      </c>
      <c r="AZ8" s="1" t="s">
        <v>144</v>
      </c>
      <c r="BG8" s="1" t="s">
        <v>169</v>
      </c>
      <c r="BS8" s="8"/>
      <c r="CC8" s="1" t="s">
        <v>135</v>
      </c>
      <c r="CE8" s="1" t="s">
        <v>136</v>
      </c>
      <c r="CF8" s="1" t="s">
        <v>203</v>
      </c>
      <c r="CJ8" s="1" t="s">
        <v>176</v>
      </c>
      <c r="DC8" s="1" t="s">
        <v>139</v>
      </c>
      <c r="DF8" s="2" t="s">
        <v>139</v>
      </c>
    </row>
    <row r="9" spans="1:119">
      <c r="A9" s="1" t="s">
        <v>204</v>
      </c>
      <c r="B9" s="2" t="s">
        <v>205</v>
      </c>
      <c r="C9" s="1">
        <v>3</v>
      </c>
      <c r="D9" s="1" t="s">
        <v>120</v>
      </c>
      <c r="E9" s="1" t="s">
        <v>165</v>
      </c>
      <c r="F9" s="1" t="s">
        <v>190</v>
      </c>
      <c r="G9" s="1" t="s">
        <v>191</v>
      </c>
      <c r="H9" s="2" t="s">
        <v>206</v>
      </c>
      <c r="I9" s="1" t="s">
        <v>125</v>
      </c>
      <c r="J9" s="1" t="s">
        <v>126</v>
      </c>
      <c r="K9" s="5">
        <v>46034</v>
      </c>
      <c r="L9" s="6">
        <v>0.42638888888888887</v>
      </c>
      <c r="Q9" s="5">
        <v>46053</v>
      </c>
      <c r="R9" s="6">
        <v>0.43680555555555556</v>
      </c>
      <c r="V9" s="1" t="s">
        <v>143</v>
      </c>
      <c r="X9" s="2" t="s">
        <v>144</v>
      </c>
      <c r="Y9" s="1" t="s">
        <v>169</v>
      </c>
      <c r="AF9" s="2" t="s">
        <v>207</v>
      </c>
      <c r="AG9" s="1" t="s">
        <v>201</v>
      </c>
      <c r="BG9" s="1" t="s">
        <v>169</v>
      </c>
      <c r="BS9" s="3">
        <v>8438000</v>
      </c>
      <c r="CC9" s="1" t="s">
        <v>135</v>
      </c>
      <c r="CE9" s="1" t="s">
        <v>136</v>
      </c>
      <c r="CF9" s="1" t="s">
        <v>203</v>
      </c>
      <c r="CJ9" s="1" t="s">
        <v>176</v>
      </c>
      <c r="DF9" s="2" t="s">
        <v>139</v>
      </c>
    </row>
    <row r="10" spans="1:119">
      <c r="A10" s="1" t="s">
        <v>208</v>
      </c>
      <c r="B10" s="2" t="s">
        <v>164</v>
      </c>
      <c r="C10" s="1">
        <v>3</v>
      </c>
      <c r="D10" s="1" t="s">
        <v>120</v>
      </c>
      <c r="E10" s="1" t="s">
        <v>153</v>
      </c>
      <c r="F10" s="1" t="s">
        <v>190</v>
      </c>
      <c r="G10" s="1" t="s">
        <v>191</v>
      </c>
      <c r="H10" s="2" t="s">
        <v>209</v>
      </c>
      <c r="I10" s="1" t="s">
        <v>125</v>
      </c>
      <c r="J10" s="1" t="s">
        <v>126</v>
      </c>
      <c r="K10" s="5">
        <v>46051</v>
      </c>
      <c r="L10" s="6">
        <v>0.72569444444444442</v>
      </c>
      <c r="Q10" s="5">
        <v>46055</v>
      </c>
      <c r="R10" s="6">
        <v>0.72638888888888886</v>
      </c>
      <c r="V10" s="1" t="s">
        <v>143</v>
      </c>
      <c r="X10" s="2" t="s">
        <v>144</v>
      </c>
      <c r="Y10" s="1" t="s">
        <v>173</v>
      </c>
      <c r="AF10" s="2" t="s">
        <v>210</v>
      </c>
      <c r="AG10" s="1" t="s">
        <v>132</v>
      </c>
      <c r="BG10" s="1" t="s">
        <v>173</v>
      </c>
      <c r="BS10" s="3">
        <v>6591000</v>
      </c>
      <c r="BU10" s="1" t="s">
        <v>211</v>
      </c>
      <c r="CC10" s="1" t="s">
        <v>135</v>
      </c>
      <c r="CE10" s="1" t="s">
        <v>136</v>
      </c>
      <c r="CF10" s="1" t="s">
        <v>212</v>
      </c>
      <c r="CJ10" s="1" t="s">
        <v>213</v>
      </c>
      <c r="DF10" s="2" t="s">
        <v>139</v>
      </c>
    </row>
    <row r="11" spans="1:119">
      <c r="A11" s="1" t="s">
        <v>214</v>
      </c>
      <c r="B11" s="2" t="s">
        <v>164</v>
      </c>
      <c r="C11" s="1">
        <v>3</v>
      </c>
      <c r="D11" s="1" t="s">
        <v>120</v>
      </c>
      <c r="E11" s="1" t="s">
        <v>165</v>
      </c>
      <c r="F11" s="1" t="s">
        <v>190</v>
      </c>
      <c r="G11" s="1" t="s">
        <v>191</v>
      </c>
      <c r="H11" s="2" t="s">
        <v>215</v>
      </c>
      <c r="I11" s="1" t="s">
        <v>125</v>
      </c>
      <c r="J11" s="1" t="s">
        <v>126</v>
      </c>
      <c r="K11" s="5">
        <v>46048</v>
      </c>
      <c r="L11" s="6">
        <v>0.38680555555555557</v>
      </c>
      <c r="Q11" s="5">
        <v>46056</v>
      </c>
      <c r="R11" s="6">
        <v>0.46805555555555556</v>
      </c>
      <c r="V11" s="1" t="s">
        <v>127</v>
      </c>
      <c r="X11" s="2" t="s">
        <v>144</v>
      </c>
      <c r="Y11" s="1" t="s">
        <v>216</v>
      </c>
      <c r="AF11" s="2" t="s">
        <v>200</v>
      </c>
      <c r="AG11" s="1" t="s">
        <v>132</v>
      </c>
      <c r="AZ11" s="1" t="s">
        <v>144</v>
      </c>
      <c r="BG11" s="1" t="s">
        <v>169</v>
      </c>
      <c r="BS11" s="3">
        <v>7838000</v>
      </c>
      <c r="CC11" s="1" t="s">
        <v>135</v>
      </c>
      <c r="CE11" s="1" t="s">
        <v>136</v>
      </c>
      <c r="CF11" s="1" t="s">
        <v>203</v>
      </c>
      <c r="CJ11" s="1" t="s">
        <v>176</v>
      </c>
      <c r="DF11" s="2" t="s">
        <v>139</v>
      </c>
    </row>
    <row r="12" spans="1:119">
      <c r="A12" s="1" t="s">
        <v>217</v>
      </c>
      <c r="B12" s="4"/>
      <c r="C12" s="1">
        <v>3</v>
      </c>
      <c r="D12" s="1" t="s">
        <v>120</v>
      </c>
      <c r="E12" s="1" t="s">
        <v>153</v>
      </c>
      <c r="F12" s="1" t="s">
        <v>190</v>
      </c>
      <c r="G12" s="1" t="s">
        <v>191</v>
      </c>
      <c r="H12" s="2" t="s">
        <v>218</v>
      </c>
      <c r="I12" s="1" t="s">
        <v>125</v>
      </c>
      <c r="J12" s="1" t="s">
        <v>126</v>
      </c>
      <c r="K12" s="5">
        <v>46035</v>
      </c>
      <c r="L12" s="6">
        <v>0.68888888888888888</v>
      </c>
      <c r="Q12" s="5">
        <v>46059</v>
      </c>
      <c r="R12" s="6">
        <v>0.38541666666666669</v>
      </c>
      <c r="V12" s="1" t="s">
        <v>219</v>
      </c>
      <c r="X12" s="2" t="s">
        <v>144</v>
      </c>
      <c r="Y12" s="1" t="s">
        <v>216</v>
      </c>
      <c r="AF12" s="2" t="s">
        <v>220</v>
      </c>
      <c r="AG12" s="1" t="s">
        <v>132</v>
      </c>
      <c r="AM12" s="1" t="s">
        <v>221</v>
      </c>
      <c r="BG12" s="1" t="s">
        <v>169</v>
      </c>
      <c r="BS12" s="3">
        <v>7738000</v>
      </c>
      <c r="CC12" s="1" t="s">
        <v>135</v>
      </c>
      <c r="CE12" s="1" t="s">
        <v>136</v>
      </c>
      <c r="CF12" s="1" t="s">
        <v>161</v>
      </c>
      <c r="CJ12" s="1" t="s">
        <v>138</v>
      </c>
      <c r="DC12" s="1" t="s">
        <v>139</v>
      </c>
      <c r="DF12" s="2" t="s">
        <v>139</v>
      </c>
    </row>
    <row r="13" spans="1:119">
      <c r="A13" s="1" t="s">
        <v>222</v>
      </c>
      <c r="B13" s="2" t="s">
        <v>223</v>
      </c>
      <c r="C13" s="1">
        <v>3</v>
      </c>
      <c r="D13" s="1" t="s">
        <v>120</v>
      </c>
      <c r="E13" s="1" t="s">
        <v>121</v>
      </c>
      <c r="F13" s="1" t="s">
        <v>190</v>
      </c>
      <c r="G13" s="1" t="s">
        <v>191</v>
      </c>
      <c r="H13" s="2" t="s">
        <v>224</v>
      </c>
      <c r="I13" s="1" t="s">
        <v>125</v>
      </c>
      <c r="J13" s="1" t="s">
        <v>126</v>
      </c>
      <c r="K13" s="5">
        <v>46041</v>
      </c>
      <c r="L13" s="6">
        <v>0.37847222222222221</v>
      </c>
      <c r="Q13" s="5">
        <v>46059</v>
      </c>
      <c r="R13" s="6">
        <v>0.69027777777777777</v>
      </c>
      <c r="V13" s="1" t="s">
        <v>143</v>
      </c>
      <c r="X13" s="2" t="s">
        <v>156</v>
      </c>
      <c r="Y13" s="1" t="s">
        <v>225</v>
      </c>
      <c r="AF13" s="2" t="s">
        <v>226</v>
      </c>
      <c r="AG13" s="1" t="s">
        <v>132</v>
      </c>
      <c r="AZ13" s="1" t="s">
        <v>159</v>
      </c>
      <c r="BG13" s="1" t="s">
        <v>227</v>
      </c>
      <c r="BS13" s="8"/>
      <c r="CC13" s="1" t="s">
        <v>135</v>
      </c>
      <c r="CE13" s="1" t="s">
        <v>136</v>
      </c>
      <c r="CF13" s="1" t="s">
        <v>228</v>
      </c>
      <c r="CJ13" s="1" t="s">
        <v>176</v>
      </c>
      <c r="DF13" s="2" t="s">
        <v>139</v>
      </c>
    </row>
    <row r="14" spans="1:119">
      <c r="A14" s="1" t="s">
        <v>229</v>
      </c>
      <c r="B14" s="2" t="s">
        <v>223</v>
      </c>
      <c r="C14" s="1">
        <v>2</v>
      </c>
      <c r="D14" s="1" t="s">
        <v>120</v>
      </c>
      <c r="E14" s="1" t="s">
        <v>165</v>
      </c>
      <c r="F14" s="1" t="s">
        <v>190</v>
      </c>
      <c r="G14" s="1" t="s">
        <v>191</v>
      </c>
      <c r="H14" s="2" t="s">
        <v>230</v>
      </c>
      <c r="I14" s="1" t="s">
        <v>125</v>
      </c>
      <c r="J14" s="1" t="s">
        <v>126</v>
      </c>
      <c r="K14" s="5">
        <v>46031</v>
      </c>
      <c r="L14" s="6">
        <v>0.46875</v>
      </c>
      <c r="Q14" s="5">
        <v>46059</v>
      </c>
      <c r="R14" s="6">
        <v>0.75069444444444444</v>
      </c>
      <c r="V14" s="1" t="s">
        <v>143</v>
      </c>
      <c r="X14" s="2" t="s">
        <v>156</v>
      </c>
      <c r="Y14" s="1" t="s">
        <v>169</v>
      </c>
      <c r="AF14" s="2" t="s">
        <v>226</v>
      </c>
      <c r="AG14" s="1" t="s">
        <v>132</v>
      </c>
      <c r="AM14" s="1" t="s">
        <v>172</v>
      </c>
      <c r="AZ14" s="1" t="s">
        <v>159</v>
      </c>
      <c r="BG14" s="1" t="s">
        <v>169</v>
      </c>
      <c r="BS14" s="8"/>
      <c r="CC14" s="1" t="s">
        <v>135</v>
      </c>
      <c r="CE14" s="1" t="s">
        <v>231</v>
      </c>
      <c r="CF14" s="1" t="s">
        <v>232</v>
      </c>
      <c r="CJ14" s="1" t="s">
        <v>138</v>
      </c>
      <c r="DC14" s="1" t="s">
        <v>139</v>
      </c>
      <c r="DF14" s="2" t="s">
        <v>139</v>
      </c>
    </row>
    <row r="15" spans="1:119">
      <c r="A15" s="1" t="s">
        <v>233</v>
      </c>
      <c r="B15" s="2" t="s">
        <v>234</v>
      </c>
      <c r="C15" s="1">
        <v>2</v>
      </c>
      <c r="D15" s="1" t="s">
        <v>120</v>
      </c>
      <c r="E15" s="1" t="s">
        <v>153</v>
      </c>
      <c r="F15" s="1" t="s">
        <v>190</v>
      </c>
      <c r="G15" s="1" t="s">
        <v>191</v>
      </c>
      <c r="H15" s="2" t="s">
        <v>235</v>
      </c>
      <c r="I15" s="1" t="s">
        <v>125</v>
      </c>
      <c r="J15" s="1" t="s">
        <v>126</v>
      </c>
      <c r="K15" s="5">
        <v>45852</v>
      </c>
      <c r="L15" s="6">
        <v>0.6958333333333333</v>
      </c>
      <c r="Q15" s="5">
        <v>46062</v>
      </c>
      <c r="R15" s="6">
        <v>0.3840277777777778</v>
      </c>
      <c r="V15" s="1" t="s">
        <v>143</v>
      </c>
      <c r="X15" s="2" t="s">
        <v>156</v>
      </c>
      <c r="Y15" s="1" t="s">
        <v>193</v>
      </c>
      <c r="AF15" s="2" t="s">
        <v>236</v>
      </c>
      <c r="AG15" s="1" t="s">
        <v>132</v>
      </c>
      <c r="AM15" s="1" t="s">
        <v>172</v>
      </c>
      <c r="AZ15" s="1" t="s">
        <v>159</v>
      </c>
      <c r="BG15" s="1" t="s">
        <v>193</v>
      </c>
      <c r="BS15" s="3" t="s">
        <v>185</v>
      </c>
      <c r="CC15" s="1" t="s">
        <v>135</v>
      </c>
      <c r="CE15" s="1" t="s">
        <v>161</v>
      </c>
      <c r="CF15" s="1" t="s">
        <v>161</v>
      </c>
      <c r="CG15" s="1" t="s">
        <v>162</v>
      </c>
      <c r="CJ15" s="1" t="s">
        <v>138</v>
      </c>
      <c r="DC15" s="1" t="s">
        <v>139</v>
      </c>
      <c r="DF15" s="2" t="s">
        <v>139</v>
      </c>
    </row>
    <row r="16" spans="1:119">
      <c r="A16" s="1" t="s">
        <v>237</v>
      </c>
      <c r="B16" s="2" t="s">
        <v>141</v>
      </c>
      <c r="C16" s="1">
        <v>2</v>
      </c>
      <c r="D16" s="1" t="s">
        <v>120</v>
      </c>
      <c r="E16" s="1" t="s">
        <v>165</v>
      </c>
      <c r="F16" s="1" t="s">
        <v>190</v>
      </c>
      <c r="G16" s="1" t="s">
        <v>191</v>
      </c>
      <c r="H16" s="2" t="s">
        <v>238</v>
      </c>
      <c r="I16" s="1" t="s">
        <v>125</v>
      </c>
      <c r="J16" s="1" t="s">
        <v>126</v>
      </c>
      <c r="K16" s="5">
        <v>46024</v>
      </c>
      <c r="L16" s="6">
        <v>0.86111111111111116</v>
      </c>
      <c r="Q16" s="5">
        <v>46063</v>
      </c>
      <c r="R16" s="6">
        <v>0.94930555555555551</v>
      </c>
      <c r="V16" s="1" t="s">
        <v>239</v>
      </c>
      <c r="X16" s="2" t="s">
        <v>128</v>
      </c>
      <c r="Y16" s="1" t="s">
        <v>169</v>
      </c>
      <c r="AF16" s="2" t="s">
        <v>240</v>
      </c>
      <c r="AG16" s="1" t="s">
        <v>132</v>
      </c>
      <c r="AM16" s="1" t="s">
        <v>172</v>
      </c>
      <c r="AZ16" s="1" t="s">
        <v>133</v>
      </c>
      <c r="BG16" s="1" t="s">
        <v>169</v>
      </c>
      <c r="BS16" s="3">
        <v>8138000</v>
      </c>
      <c r="CC16" s="1" t="s">
        <v>135</v>
      </c>
      <c r="CD16" s="1">
        <v>3101</v>
      </c>
      <c r="CE16" s="1" t="s">
        <v>136</v>
      </c>
      <c r="CF16" s="1" t="s">
        <v>241</v>
      </c>
      <c r="CJ16" s="1" t="s">
        <v>176</v>
      </c>
      <c r="DC16" s="1" t="s">
        <v>139</v>
      </c>
      <c r="DF16" s="2" t="s">
        <v>139</v>
      </c>
    </row>
    <row r="17" spans="1:119">
      <c r="A17" s="1" t="s">
        <v>242</v>
      </c>
      <c r="B17" s="2" t="s">
        <v>164</v>
      </c>
      <c r="C17" s="1">
        <v>1</v>
      </c>
      <c r="D17" s="1" t="s">
        <v>120</v>
      </c>
      <c r="E17" s="1" t="s">
        <v>121</v>
      </c>
      <c r="F17" s="1" t="s">
        <v>190</v>
      </c>
      <c r="G17" s="1" t="s">
        <v>191</v>
      </c>
      <c r="H17" s="2" t="s">
        <v>243</v>
      </c>
      <c r="I17" s="1" t="s">
        <v>125</v>
      </c>
      <c r="J17" s="1" t="s">
        <v>126</v>
      </c>
      <c r="K17" s="5">
        <v>46051</v>
      </c>
      <c r="L17" s="6">
        <v>0.75694444444444442</v>
      </c>
      <c r="Q17" s="5">
        <v>46064</v>
      </c>
      <c r="R17" s="6">
        <v>0.40347222222222223</v>
      </c>
      <c r="V17" s="1" t="s">
        <v>143</v>
      </c>
      <c r="X17" s="2" t="s">
        <v>144</v>
      </c>
      <c r="Y17" s="1" t="s">
        <v>145</v>
      </c>
      <c r="AF17" s="2" t="s">
        <v>244</v>
      </c>
      <c r="AG17" s="1" t="s">
        <v>132</v>
      </c>
      <c r="AM17" s="1" t="s">
        <v>172</v>
      </c>
      <c r="AZ17" s="1" t="s">
        <v>144</v>
      </c>
      <c r="BG17" s="1" t="s">
        <v>148</v>
      </c>
      <c r="BS17" s="8"/>
      <c r="CC17" s="1" t="s">
        <v>135</v>
      </c>
      <c r="DC17" s="1" t="s">
        <v>139</v>
      </c>
      <c r="DF17" s="2" t="s">
        <v>139</v>
      </c>
    </row>
    <row r="18" spans="1:119">
      <c r="A18" s="1" t="s">
        <v>245</v>
      </c>
      <c r="B18" s="4"/>
      <c r="C18" s="1">
        <v>1</v>
      </c>
      <c r="D18" s="1" t="s">
        <v>120</v>
      </c>
      <c r="E18" s="1" t="s">
        <v>165</v>
      </c>
      <c r="F18" s="1" t="s">
        <v>190</v>
      </c>
      <c r="G18" s="1" t="s">
        <v>191</v>
      </c>
      <c r="H18" s="2" t="s">
        <v>246</v>
      </c>
      <c r="I18" s="1" t="s">
        <v>125</v>
      </c>
      <c r="J18" s="1" t="s">
        <v>126</v>
      </c>
      <c r="K18" s="9">
        <v>46013</v>
      </c>
      <c r="L18" s="6">
        <v>0.44930555555555557</v>
      </c>
      <c r="Q18" s="5">
        <v>46065</v>
      </c>
      <c r="R18" s="6">
        <v>0.77083333333333337</v>
      </c>
      <c r="V18" s="1" t="s">
        <v>143</v>
      </c>
      <c r="X18" s="2" t="s">
        <v>156</v>
      </c>
      <c r="Y18" s="1" t="s">
        <v>225</v>
      </c>
      <c r="AF18" s="2" t="s">
        <v>247</v>
      </c>
      <c r="AG18" s="1" t="s">
        <v>132</v>
      </c>
      <c r="AM18" s="1" t="s">
        <v>248</v>
      </c>
      <c r="AY18" s="1" t="s">
        <v>249</v>
      </c>
      <c r="AZ18" s="1" t="s">
        <v>159</v>
      </c>
      <c r="BG18" s="1" t="s">
        <v>227</v>
      </c>
      <c r="BS18" s="8"/>
      <c r="CC18" s="1" t="s">
        <v>135</v>
      </c>
      <c r="CD18" s="1" t="s">
        <v>250</v>
      </c>
      <c r="CE18" s="1" t="s">
        <v>231</v>
      </c>
      <c r="CF18" s="1" t="s">
        <v>251</v>
      </c>
      <c r="CG18" s="1" t="s">
        <v>252</v>
      </c>
      <c r="CJ18" s="1" t="s">
        <v>138</v>
      </c>
      <c r="DC18" s="1" t="s">
        <v>253</v>
      </c>
      <c r="DF18" s="2" t="s">
        <v>139</v>
      </c>
    </row>
    <row r="19" spans="1:119">
      <c r="A19" s="1" t="s">
        <v>254</v>
      </c>
      <c r="B19" s="2" t="s">
        <v>141</v>
      </c>
      <c r="C19" s="1">
        <v>3</v>
      </c>
      <c r="D19" s="1" t="s">
        <v>120</v>
      </c>
      <c r="E19" s="1" t="s">
        <v>121</v>
      </c>
      <c r="F19" s="1" t="s">
        <v>190</v>
      </c>
      <c r="G19" s="1" t="s">
        <v>191</v>
      </c>
      <c r="H19" s="2" t="s">
        <v>238</v>
      </c>
      <c r="I19" s="1" t="s">
        <v>125</v>
      </c>
      <c r="J19" s="1" t="s">
        <v>126</v>
      </c>
      <c r="K19" s="5">
        <v>46034</v>
      </c>
      <c r="L19" s="6">
        <v>0.64027777777777772</v>
      </c>
      <c r="Q19" s="5">
        <v>46066</v>
      </c>
      <c r="R19" s="6">
        <v>0.40416666666666667</v>
      </c>
      <c r="V19" s="1" t="s">
        <v>255</v>
      </c>
      <c r="X19" s="2" t="s">
        <v>144</v>
      </c>
      <c r="Y19" s="1" t="s">
        <v>169</v>
      </c>
      <c r="AF19" s="2" t="s">
        <v>240</v>
      </c>
      <c r="AG19" s="1" t="s">
        <v>132</v>
      </c>
      <c r="AM19" s="1" t="s">
        <v>221</v>
      </c>
      <c r="AZ19" s="1" t="s">
        <v>144</v>
      </c>
      <c r="BG19" s="1" t="s">
        <v>169</v>
      </c>
      <c r="BS19" s="8"/>
      <c r="BU19" s="1" t="s">
        <v>256</v>
      </c>
      <c r="CC19" s="1" t="s">
        <v>135</v>
      </c>
      <c r="CE19" s="1" t="s">
        <v>136</v>
      </c>
      <c r="CF19" s="1" t="s">
        <v>257</v>
      </c>
      <c r="CJ19" s="1" t="s">
        <v>258</v>
      </c>
      <c r="DC19" s="1" t="s">
        <v>139</v>
      </c>
      <c r="DF19" s="2" t="s">
        <v>139</v>
      </c>
    </row>
    <row r="20" spans="1:119">
      <c r="A20" s="1" t="s">
        <v>259</v>
      </c>
      <c r="B20" s="2" t="s">
        <v>141</v>
      </c>
      <c r="C20" s="1">
        <v>2</v>
      </c>
      <c r="D20" s="1" t="s">
        <v>120</v>
      </c>
      <c r="E20" s="1" t="s">
        <v>121</v>
      </c>
      <c r="F20" s="1" t="s">
        <v>190</v>
      </c>
      <c r="G20" s="1" t="s">
        <v>191</v>
      </c>
      <c r="H20" s="2" t="s">
        <v>260</v>
      </c>
      <c r="I20" s="1" t="s">
        <v>125</v>
      </c>
      <c r="J20" s="1" t="s">
        <v>126</v>
      </c>
      <c r="K20" s="5">
        <v>46044</v>
      </c>
      <c r="L20" s="6">
        <v>0.73333333333333328</v>
      </c>
      <c r="Q20" s="5">
        <v>46069</v>
      </c>
      <c r="R20" s="6">
        <v>0.72916666666666663</v>
      </c>
      <c r="V20" s="1" t="s">
        <v>143</v>
      </c>
      <c r="X20" s="2" t="s">
        <v>156</v>
      </c>
      <c r="Y20" s="1" t="s">
        <v>261</v>
      </c>
      <c r="AF20" s="2" t="s">
        <v>262</v>
      </c>
      <c r="AG20" s="1" t="s">
        <v>201</v>
      </c>
      <c r="AM20" s="1" t="s">
        <v>263</v>
      </c>
      <c r="AZ20" s="1" t="s">
        <v>159</v>
      </c>
      <c r="BG20" s="1" t="s">
        <v>261</v>
      </c>
      <c r="BS20" s="3" t="s">
        <v>182</v>
      </c>
      <c r="CC20" s="1" t="s">
        <v>135</v>
      </c>
      <c r="CE20" s="1" t="s">
        <v>136</v>
      </c>
      <c r="DC20" s="1" t="s">
        <v>139</v>
      </c>
      <c r="DF20" s="2" t="s">
        <v>139</v>
      </c>
    </row>
    <row r="21" spans="1:119">
      <c r="A21" s="1" t="s">
        <v>264</v>
      </c>
      <c r="B21" s="2" t="s">
        <v>164</v>
      </c>
      <c r="C21" s="1">
        <v>2</v>
      </c>
      <c r="D21" s="1" t="s">
        <v>120</v>
      </c>
      <c r="E21" s="1" t="s">
        <v>121</v>
      </c>
      <c r="F21" s="1" t="s">
        <v>190</v>
      </c>
      <c r="G21" s="1" t="s">
        <v>191</v>
      </c>
      <c r="H21" s="2" t="s">
        <v>125</v>
      </c>
      <c r="I21" s="1" t="s">
        <v>125</v>
      </c>
      <c r="J21" s="1" t="s">
        <v>126</v>
      </c>
      <c r="K21" s="5">
        <v>46045</v>
      </c>
      <c r="L21" s="6">
        <v>0.69652777777777775</v>
      </c>
      <c r="Q21" s="5">
        <v>46070</v>
      </c>
      <c r="R21" s="6">
        <v>0.41666666666666669</v>
      </c>
      <c r="V21" s="1" t="s">
        <v>143</v>
      </c>
      <c r="X21" s="2" t="s">
        <v>144</v>
      </c>
      <c r="Y21" s="1" t="s">
        <v>169</v>
      </c>
      <c r="AF21" s="2" t="s">
        <v>265</v>
      </c>
      <c r="AG21" s="1" t="s">
        <v>132</v>
      </c>
      <c r="BG21" s="1" t="s">
        <v>169</v>
      </c>
      <c r="BS21" s="8"/>
      <c r="CC21" s="1" t="s">
        <v>135</v>
      </c>
      <c r="DF21" s="2" t="s">
        <v>139</v>
      </c>
    </row>
    <row r="22" spans="1:119">
      <c r="A22" s="1" t="s">
        <v>266</v>
      </c>
      <c r="B22" s="4"/>
      <c r="C22" s="1">
        <v>3</v>
      </c>
      <c r="D22" s="1" t="s">
        <v>120</v>
      </c>
      <c r="E22" s="1" t="s">
        <v>165</v>
      </c>
      <c r="F22" s="1" t="s">
        <v>190</v>
      </c>
      <c r="G22" s="1" t="s">
        <v>191</v>
      </c>
      <c r="H22" s="2" t="s">
        <v>267</v>
      </c>
      <c r="I22" s="1" t="s">
        <v>125</v>
      </c>
      <c r="J22" s="1" t="s">
        <v>126</v>
      </c>
      <c r="K22" s="5">
        <v>46036</v>
      </c>
      <c r="L22" s="6">
        <v>0.64166666666666672</v>
      </c>
      <c r="Q22" s="5">
        <v>46071</v>
      </c>
      <c r="R22" s="6">
        <v>0.46666666666666667</v>
      </c>
      <c r="V22" s="1" t="s">
        <v>143</v>
      </c>
      <c r="X22" s="2" t="s">
        <v>128</v>
      </c>
      <c r="Y22" s="1" t="s">
        <v>169</v>
      </c>
      <c r="AF22" s="2" t="s">
        <v>210</v>
      </c>
      <c r="AG22" s="1" t="s">
        <v>132</v>
      </c>
      <c r="AM22" s="1" t="s">
        <v>172</v>
      </c>
      <c r="BG22" s="1" t="s">
        <v>169</v>
      </c>
      <c r="BS22" s="3">
        <v>7838000</v>
      </c>
      <c r="CC22" s="1" t="s">
        <v>135</v>
      </c>
      <c r="CE22" s="1" t="s">
        <v>136</v>
      </c>
      <c r="CF22" s="1" t="s">
        <v>212</v>
      </c>
      <c r="CJ22" s="1" t="s">
        <v>213</v>
      </c>
      <c r="DC22" s="1" t="s">
        <v>139</v>
      </c>
      <c r="DF22" s="2" t="s">
        <v>139</v>
      </c>
    </row>
    <row r="23" spans="1:119">
      <c r="A23" s="1" t="s">
        <v>268</v>
      </c>
      <c r="B23" s="2" t="s">
        <v>223</v>
      </c>
      <c r="C23" s="1">
        <v>4</v>
      </c>
      <c r="D23" s="1" t="s">
        <v>120</v>
      </c>
      <c r="E23" s="1" t="s">
        <v>153</v>
      </c>
      <c r="F23" s="1" t="s">
        <v>190</v>
      </c>
      <c r="G23" s="1" t="s">
        <v>191</v>
      </c>
      <c r="H23" s="2" t="s">
        <v>269</v>
      </c>
      <c r="I23" s="1" t="s">
        <v>125</v>
      </c>
      <c r="J23" s="1" t="s">
        <v>126</v>
      </c>
      <c r="K23" s="5">
        <v>46036</v>
      </c>
      <c r="L23" s="6">
        <v>0.63055555555555554</v>
      </c>
      <c r="Q23" s="5">
        <v>46083</v>
      </c>
      <c r="R23" s="6">
        <v>0.63194444444444442</v>
      </c>
      <c r="V23" s="1" t="s">
        <v>143</v>
      </c>
      <c r="X23" s="2" t="s">
        <v>156</v>
      </c>
      <c r="Y23" s="1" t="s">
        <v>173</v>
      </c>
      <c r="AF23" s="2" t="s">
        <v>270</v>
      </c>
      <c r="AG23" s="1" t="s">
        <v>132</v>
      </c>
      <c r="AS23" s="1" t="s">
        <v>271</v>
      </c>
      <c r="AZ23" s="1" t="s">
        <v>159</v>
      </c>
      <c r="BG23" s="1" t="s">
        <v>173</v>
      </c>
      <c r="BH23" s="1" t="s">
        <v>182</v>
      </c>
      <c r="BK23" s="1" t="s">
        <v>182</v>
      </c>
      <c r="BS23" s="3" t="s">
        <v>182</v>
      </c>
      <c r="BU23" s="1" t="s">
        <v>211</v>
      </c>
      <c r="CC23" s="1" t="s">
        <v>135</v>
      </c>
      <c r="CD23" s="1" t="s">
        <v>184</v>
      </c>
      <c r="CE23" s="1" t="s">
        <v>272</v>
      </c>
      <c r="CF23" s="1" t="s">
        <v>273</v>
      </c>
      <c r="CH23" s="1" t="s">
        <v>182</v>
      </c>
      <c r="CJ23" s="1" t="s">
        <v>138</v>
      </c>
      <c r="CO23" s="1" t="s">
        <v>274</v>
      </c>
      <c r="DF23" s="2" t="s">
        <v>139</v>
      </c>
    </row>
    <row r="24" spans="1:119">
      <c r="A24" s="1" t="s">
        <v>275</v>
      </c>
      <c r="B24" s="4"/>
      <c r="C24" s="1">
        <v>5</v>
      </c>
      <c r="D24" s="1" t="s">
        <v>120</v>
      </c>
      <c r="E24" s="1" t="s">
        <v>276</v>
      </c>
      <c r="F24" s="1" t="s">
        <v>190</v>
      </c>
      <c r="G24" s="1" t="s">
        <v>191</v>
      </c>
      <c r="H24" s="2" t="s">
        <v>277</v>
      </c>
      <c r="I24" s="1" t="s">
        <v>125</v>
      </c>
      <c r="J24" s="1" t="s">
        <v>126</v>
      </c>
      <c r="K24" s="5">
        <v>46027</v>
      </c>
      <c r="L24" s="6">
        <v>0.55972222222222223</v>
      </c>
      <c r="Q24" s="5">
        <v>46090</v>
      </c>
      <c r="R24" s="6">
        <v>0.71597222222222223</v>
      </c>
      <c r="V24" s="1" t="s">
        <v>143</v>
      </c>
      <c r="X24" s="2" t="s">
        <v>144</v>
      </c>
      <c r="Y24" s="1" t="s">
        <v>225</v>
      </c>
      <c r="AF24" s="2" t="s">
        <v>278</v>
      </c>
      <c r="AG24" s="1" t="s">
        <v>201</v>
      </c>
      <c r="AS24" s="1" t="s">
        <v>195</v>
      </c>
      <c r="AZ24" s="1" t="s">
        <v>144</v>
      </c>
      <c r="BG24" s="1" t="s">
        <v>227</v>
      </c>
      <c r="BH24" s="1" t="s">
        <v>195</v>
      </c>
      <c r="BK24" s="1" t="s">
        <v>195</v>
      </c>
      <c r="BS24" s="3">
        <v>8398000</v>
      </c>
      <c r="CC24" s="1" t="s">
        <v>135</v>
      </c>
      <c r="CD24" s="1">
        <v>2701</v>
      </c>
      <c r="CE24" s="1" t="s">
        <v>136</v>
      </c>
      <c r="CF24" s="1" t="s">
        <v>279</v>
      </c>
      <c r="CH24" s="1" t="s">
        <v>195</v>
      </c>
      <c r="CI24" s="1" t="s">
        <v>196</v>
      </c>
      <c r="CJ24" s="1" t="s">
        <v>280</v>
      </c>
      <c r="DF24" s="2" t="s">
        <v>139</v>
      </c>
    </row>
    <row r="25" spans="1:119">
      <c r="A25" s="1" t="s">
        <v>281</v>
      </c>
      <c r="B25" s="2" t="s">
        <v>282</v>
      </c>
      <c r="C25" s="1">
        <v>3</v>
      </c>
      <c r="D25" s="1" t="s">
        <v>120</v>
      </c>
      <c r="E25" s="1" t="s">
        <v>153</v>
      </c>
      <c r="F25" s="1" t="s">
        <v>190</v>
      </c>
      <c r="G25" s="1" t="s">
        <v>191</v>
      </c>
      <c r="H25" s="2" t="s">
        <v>180</v>
      </c>
      <c r="I25" s="1" t="s">
        <v>125</v>
      </c>
      <c r="J25" s="1" t="s">
        <v>126</v>
      </c>
      <c r="K25" s="5">
        <v>45888</v>
      </c>
      <c r="L25" s="6">
        <v>0.40694444444444444</v>
      </c>
      <c r="Q25" s="5">
        <v>46097</v>
      </c>
      <c r="R25" s="6">
        <v>0.625</v>
      </c>
      <c r="V25" s="1" t="s">
        <v>143</v>
      </c>
      <c r="X25" s="2" t="s">
        <v>156</v>
      </c>
      <c r="Y25" s="1" t="s">
        <v>173</v>
      </c>
      <c r="AF25" s="2" t="s">
        <v>283</v>
      </c>
      <c r="AG25" s="1" t="s">
        <v>132</v>
      </c>
      <c r="AS25" s="1" t="s">
        <v>182</v>
      </c>
      <c r="AZ25" s="1" t="s">
        <v>159</v>
      </c>
      <c r="BG25" s="1" t="s">
        <v>183</v>
      </c>
      <c r="BH25" s="1" t="s">
        <v>184</v>
      </c>
      <c r="BK25" s="1" t="s">
        <v>182</v>
      </c>
      <c r="BS25" s="3" t="s">
        <v>185</v>
      </c>
      <c r="BU25" s="1" t="s">
        <v>211</v>
      </c>
      <c r="CC25" s="1" t="s">
        <v>135</v>
      </c>
      <c r="CD25" s="1" t="s">
        <v>184</v>
      </c>
      <c r="CE25" s="1" t="s">
        <v>136</v>
      </c>
      <c r="CF25" s="1" t="s">
        <v>284</v>
      </c>
      <c r="CH25" s="1" t="s">
        <v>182</v>
      </c>
      <c r="CJ25" s="1" t="s">
        <v>138</v>
      </c>
      <c r="CO25" s="1" t="s">
        <v>139</v>
      </c>
      <c r="DF25" s="2" t="s">
        <v>139</v>
      </c>
      <c r="DL25" s="1" t="s">
        <v>285</v>
      </c>
      <c r="DM25" s="1" t="s">
        <v>286</v>
      </c>
      <c r="DN25" s="1" t="s">
        <v>287</v>
      </c>
      <c r="DO25" s="1">
        <v>48996053794</v>
      </c>
    </row>
    <row r="26" spans="1:119">
      <c r="A26" s="1" t="s">
        <v>288</v>
      </c>
      <c r="B26" s="4"/>
      <c r="C26" s="1">
        <v>1</v>
      </c>
      <c r="D26" s="1" t="s">
        <v>120</v>
      </c>
      <c r="E26" s="1" t="s">
        <v>179</v>
      </c>
      <c r="F26" s="1" t="s">
        <v>190</v>
      </c>
      <c r="G26" s="1" t="s">
        <v>191</v>
      </c>
      <c r="H26" s="2" t="s">
        <v>289</v>
      </c>
      <c r="I26" s="1" t="s">
        <v>125</v>
      </c>
      <c r="J26" s="1" t="s">
        <v>126</v>
      </c>
      <c r="K26" s="5">
        <v>46042</v>
      </c>
      <c r="L26" s="6">
        <v>0.48541666666666666</v>
      </c>
      <c r="Q26" s="5">
        <v>46127</v>
      </c>
      <c r="R26" s="6">
        <v>0.46875</v>
      </c>
      <c r="V26" s="1" t="s">
        <v>143</v>
      </c>
      <c r="X26" s="2" t="s">
        <v>128</v>
      </c>
      <c r="Y26" s="1" t="s">
        <v>193</v>
      </c>
      <c r="AF26" s="2" t="s">
        <v>290</v>
      </c>
      <c r="AG26" s="1" t="s">
        <v>132</v>
      </c>
      <c r="AS26" s="1" t="s">
        <v>182</v>
      </c>
      <c r="BG26" s="1" t="s">
        <v>193</v>
      </c>
      <c r="BH26" s="1" t="s">
        <v>182</v>
      </c>
      <c r="BK26" s="1" t="s">
        <v>291</v>
      </c>
      <c r="BS26" s="3">
        <v>7888000</v>
      </c>
      <c r="CC26" s="1" t="s">
        <v>135</v>
      </c>
      <c r="CD26" s="1" t="s">
        <v>182</v>
      </c>
      <c r="CE26" s="1" t="s">
        <v>136</v>
      </c>
      <c r="CF26" s="1" t="s">
        <v>292</v>
      </c>
      <c r="CH26" s="1" t="s">
        <v>182</v>
      </c>
      <c r="CJ26" s="1" t="s">
        <v>197</v>
      </c>
      <c r="CO26" s="1" t="s">
        <v>139</v>
      </c>
      <c r="DF26" s="2" t="s">
        <v>139</v>
      </c>
    </row>
    <row r="27" spans="1:119">
      <c r="A27" s="1" t="s">
        <v>293</v>
      </c>
      <c r="B27" s="2" t="s">
        <v>234</v>
      </c>
      <c r="C27" s="1">
        <v>2</v>
      </c>
      <c r="D27" s="1" t="s">
        <v>120</v>
      </c>
      <c r="E27" s="1" t="s">
        <v>153</v>
      </c>
      <c r="F27" s="1" t="s">
        <v>122</v>
      </c>
      <c r="G27" s="1" t="s">
        <v>166</v>
      </c>
      <c r="H27" s="2" t="s">
        <v>294</v>
      </c>
      <c r="I27" s="1" t="s">
        <v>125</v>
      </c>
      <c r="J27" s="1" t="s">
        <v>126</v>
      </c>
      <c r="K27" s="5">
        <v>46076</v>
      </c>
      <c r="L27" s="6">
        <v>0.43333333333333335</v>
      </c>
      <c r="Q27" s="5"/>
      <c r="R27" s="6"/>
      <c r="T27" s="5">
        <v>46094</v>
      </c>
      <c r="U27" s="6">
        <v>0.58263888888888893</v>
      </c>
      <c r="V27" s="1" t="s">
        <v>143</v>
      </c>
      <c r="X27" s="2" t="s">
        <v>156</v>
      </c>
      <c r="Y27" s="1" t="s">
        <v>169</v>
      </c>
      <c r="AA27" s="1" t="s">
        <v>295</v>
      </c>
      <c r="AF27" s="2" t="s">
        <v>236</v>
      </c>
      <c r="AG27" s="1" t="s">
        <v>132</v>
      </c>
      <c r="AZ27" s="1" t="s">
        <v>159</v>
      </c>
      <c r="BG27" s="1" t="s">
        <v>169</v>
      </c>
      <c r="BS27" s="3">
        <v>5948000</v>
      </c>
      <c r="CC27" s="1" t="s">
        <v>135</v>
      </c>
      <c r="CD27" s="1">
        <v>3701</v>
      </c>
      <c r="CE27" s="1" t="s">
        <v>136</v>
      </c>
      <c r="CF27" s="1" t="s">
        <v>296</v>
      </c>
      <c r="CJ27" s="1" t="s">
        <v>176</v>
      </c>
      <c r="DC27" s="1" t="s">
        <v>297</v>
      </c>
      <c r="DF27" s="2" t="s">
        <v>297</v>
      </c>
    </row>
    <row r="28" spans="1:119">
      <c r="A28" s="1" t="s">
        <v>298</v>
      </c>
      <c r="B28" s="2" t="s">
        <v>141</v>
      </c>
      <c r="C28" s="1">
        <v>5</v>
      </c>
      <c r="D28" s="1" t="s">
        <v>120</v>
      </c>
      <c r="E28" s="1" t="s">
        <v>299</v>
      </c>
      <c r="F28" s="1" t="s">
        <v>300</v>
      </c>
      <c r="G28" s="1" t="s">
        <v>191</v>
      </c>
      <c r="H28" s="2" t="s">
        <v>243</v>
      </c>
      <c r="I28" s="1" t="s">
        <v>125</v>
      </c>
      <c r="J28" s="1" t="s">
        <v>126</v>
      </c>
      <c r="K28" s="5">
        <v>46069</v>
      </c>
      <c r="L28" s="6">
        <v>0.38194444444444442</v>
      </c>
      <c r="Q28" s="5"/>
      <c r="R28" s="6"/>
      <c r="T28" s="5">
        <v>46070</v>
      </c>
      <c r="U28" s="6">
        <v>0.71597222222222223</v>
      </c>
      <c r="V28" s="1" t="s">
        <v>143</v>
      </c>
      <c r="X28" s="2" t="s">
        <v>144</v>
      </c>
      <c r="Y28" s="1" t="s">
        <v>145</v>
      </c>
      <c r="AF28" s="2" t="s">
        <v>301</v>
      </c>
      <c r="AG28" s="1" t="s">
        <v>132</v>
      </c>
      <c r="AS28" s="1" t="s">
        <v>302</v>
      </c>
      <c r="BG28" s="1" t="s">
        <v>148</v>
      </c>
      <c r="BH28" s="5">
        <v>14697</v>
      </c>
      <c r="BK28" s="1" t="s">
        <v>303</v>
      </c>
      <c r="BS28" s="3" t="s">
        <v>304</v>
      </c>
      <c r="CC28" s="1" t="s">
        <v>135</v>
      </c>
      <c r="CD28" s="1" t="s">
        <v>160</v>
      </c>
      <c r="CE28" s="1" t="s">
        <v>136</v>
      </c>
      <c r="CF28" s="1" t="s">
        <v>305</v>
      </c>
      <c r="CH28" s="1" t="s">
        <v>195</v>
      </c>
      <c r="CJ28" s="1" t="s">
        <v>258</v>
      </c>
      <c r="DF28" s="2" t="s">
        <v>297</v>
      </c>
    </row>
    <row r="29" spans="1:119">
      <c r="A29" s="1" t="s">
        <v>306</v>
      </c>
      <c r="B29" s="2" t="s">
        <v>141</v>
      </c>
      <c r="C29" s="1">
        <v>3</v>
      </c>
      <c r="D29" s="1" t="s">
        <v>120</v>
      </c>
      <c r="E29" s="1" t="s">
        <v>121</v>
      </c>
      <c r="F29" s="1" t="s">
        <v>122</v>
      </c>
      <c r="G29" s="1" t="s">
        <v>166</v>
      </c>
      <c r="H29" s="2" t="s">
        <v>307</v>
      </c>
      <c r="I29" s="1" t="s">
        <v>125</v>
      </c>
      <c r="J29" s="1" t="s">
        <v>126</v>
      </c>
      <c r="K29" s="5">
        <v>46065</v>
      </c>
      <c r="L29" s="6">
        <v>0.59375</v>
      </c>
      <c r="Q29" s="5"/>
      <c r="R29" s="6"/>
      <c r="T29" s="5">
        <v>46075</v>
      </c>
      <c r="U29" s="6">
        <v>0.58611111111111114</v>
      </c>
      <c r="V29" s="1" t="s">
        <v>143</v>
      </c>
      <c r="X29" s="2" t="s">
        <v>156</v>
      </c>
      <c r="Y29" s="1" t="s">
        <v>225</v>
      </c>
      <c r="AA29" s="1" t="s">
        <v>308</v>
      </c>
      <c r="AF29" s="2" t="s">
        <v>309</v>
      </c>
      <c r="AG29" s="1" t="s">
        <v>132</v>
      </c>
      <c r="AZ29" s="1" t="s">
        <v>159</v>
      </c>
      <c r="BG29" s="1" t="s">
        <v>227</v>
      </c>
      <c r="BS29" s="3"/>
      <c r="CC29" s="1" t="s">
        <v>135</v>
      </c>
      <c r="CE29" s="1" t="s">
        <v>136</v>
      </c>
      <c r="CF29" s="1" t="s">
        <v>310</v>
      </c>
      <c r="CJ29" s="1" t="s">
        <v>138</v>
      </c>
      <c r="DC29" s="1" t="s">
        <v>297</v>
      </c>
      <c r="DF29" s="2" t="s">
        <v>297</v>
      </c>
    </row>
    <row r="30" spans="1:119">
      <c r="A30" s="1" t="s">
        <v>311</v>
      </c>
      <c r="B30" s="2" t="s">
        <v>312</v>
      </c>
      <c r="C30" s="1">
        <v>3</v>
      </c>
      <c r="D30" s="1" t="s">
        <v>120</v>
      </c>
      <c r="E30" s="1" t="s">
        <v>121</v>
      </c>
      <c r="F30" s="1" t="s">
        <v>122</v>
      </c>
      <c r="G30" s="1" t="s">
        <v>166</v>
      </c>
      <c r="H30" s="2" t="s">
        <v>313</v>
      </c>
      <c r="I30" s="1" t="s">
        <v>125</v>
      </c>
      <c r="J30" s="1" t="s">
        <v>126</v>
      </c>
      <c r="K30" s="5">
        <v>46064</v>
      </c>
      <c r="L30" s="6">
        <v>0.68333333333333335</v>
      </c>
      <c r="Q30" s="5"/>
      <c r="R30" s="6"/>
      <c r="T30" s="5">
        <v>46073</v>
      </c>
      <c r="U30" s="6">
        <v>0.78541666666666665</v>
      </c>
      <c r="V30" s="1" t="s">
        <v>143</v>
      </c>
      <c r="X30" s="2" t="s">
        <v>156</v>
      </c>
      <c r="Y30" s="1" t="s">
        <v>261</v>
      </c>
      <c r="AA30" s="1" t="s">
        <v>314</v>
      </c>
      <c r="AF30" s="2" t="s">
        <v>312</v>
      </c>
      <c r="AG30" s="1" t="s">
        <v>132</v>
      </c>
      <c r="AZ30" s="1" t="s">
        <v>159</v>
      </c>
      <c r="BG30" s="1" t="s">
        <v>261</v>
      </c>
      <c r="BS30" s="3"/>
      <c r="CC30" s="1" t="s">
        <v>135</v>
      </c>
      <c r="CD30" s="1" t="s">
        <v>184</v>
      </c>
      <c r="CE30" s="1" t="s">
        <v>136</v>
      </c>
      <c r="CF30" s="1"/>
      <c r="CJ30" s="1"/>
      <c r="DC30" s="1" t="s">
        <v>297</v>
      </c>
      <c r="DF30" s="2" t="s">
        <v>297</v>
      </c>
    </row>
    <row r="31" spans="1:119">
      <c r="A31" s="1" t="s">
        <v>315</v>
      </c>
      <c r="B31" s="2" t="s">
        <v>316</v>
      </c>
      <c r="C31" s="1">
        <v>3</v>
      </c>
      <c r="D31" s="1" t="s">
        <v>120</v>
      </c>
      <c r="E31" s="1" t="s">
        <v>153</v>
      </c>
      <c r="F31" s="1" t="s">
        <v>122</v>
      </c>
      <c r="G31" s="1" t="s">
        <v>166</v>
      </c>
      <c r="H31" s="2" t="s">
        <v>317</v>
      </c>
      <c r="I31" s="1" t="s">
        <v>125</v>
      </c>
      <c r="J31" s="1" t="s">
        <v>126</v>
      </c>
      <c r="K31" s="5">
        <v>46063</v>
      </c>
      <c r="L31" s="6">
        <v>0.46250000000000002</v>
      </c>
      <c r="Q31" s="5"/>
      <c r="R31" s="6"/>
      <c r="T31" s="5">
        <v>46077</v>
      </c>
      <c r="U31" s="6">
        <v>0.73055555555555551</v>
      </c>
      <c r="V31" s="1" t="s">
        <v>143</v>
      </c>
      <c r="X31" s="2" t="s">
        <v>156</v>
      </c>
      <c r="Y31" s="1" t="s">
        <v>173</v>
      </c>
      <c r="AA31" s="1" t="s">
        <v>318</v>
      </c>
      <c r="AF31" s="2" t="s">
        <v>319</v>
      </c>
      <c r="AG31" s="1" t="s">
        <v>132</v>
      </c>
      <c r="AZ31" s="1" t="s">
        <v>159</v>
      </c>
      <c r="BG31" s="1" t="s">
        <v>173</v>
      </c>
      <c r="BS31" s="3"/>
      <c r="BU31" s="1" t="s">
        <v>211</v>
      </c>
      <c r="CC31" s="1" t="s">
        <v>135</v>
      </c>
      <c r="CE31" s="1" t="s">
        <v>136</v>
      </c>
      <c r="CF31" s="1" t="s">
        <v>161</v>
      </c>
      <c r="CG31" s="1" t="s">
        <v>162</v>
      </c>
      <c r="CJ31" s="1" t="s">
        <v>138</v>
      </c>
      <c r="DC31" s="1" t="s">
        <v>297</v>
      </c>
      <c r="DF31" s="2" t="s">
        <v>297</v>
      </c>
    </row>
    <row r="32" spans="1:119">
      <c r="A32" s="1" t="s">
        <v>320</v>
      </c>
      <c r="B32" s="2" t="s">
        <v>164</v>
      </c>
      <c r="C32" s="1">
        <v>5</v>
      </c>
      <c r="D32" s="1" t="s">
        <v>120</v>
      </c>
      <c r="E32" s="1" t="s">
        <v>299</v>
      </c>
      <c r="F32" s="1" t="s">
        <v>300</v>
      </c>
      <c r="G32" s="1" t="s">
        <v>191</v>
      </c>
      <c r="H32" s="2" t="s">
        <v>321</v>
      </c>
      <c r="I32" s="1" t="s">
        <v>125</v>
      </c>
      <c r="J32" s="1" t="s">
        <v>126</v>
      </c>
      <c r="K32" s="5">
        <v>46062</v>
      </c>
      <c r="L32" s="6">
        <v>0.62291666666666667</v>
      </c>
      <c r="Q32" s="5"/>
      <c r="R32" s="6"/>
      <c r="T32" s="5">
        <v>46080</v>
      </c>
      <c r="U32" s="6">
        <v>0.38541666666666669</v>
      </c>
      <c r="X32" s="2" t="s">
        <v>144</v>
      </c>
      <c r="Y32" s="1" t="s">
        <v>322</v>
      </c>
      <c r="AF32" s="2" t="s">
        <v>323</v>
      </c>
      <c r="AG32" s="1" t="s">
        <v>201</v>
      </c>
      <c r="AS32" s="1" t="s">
        <v>195</v>
      </c>
      <c r="AZ32" s="1" t="s">
        <v>144</v>
      </c>
      <c r="BG32" s="1" t="s">
        <v>324</v>
      </c>
      <c r="BH32" s="1" t="s">
        <v>195</v>
      </c>
      <c r="BK32" s="1" t="s">
        <v>195</v>
      </c>
      <c r="BS32" s="3" t="s">
        <v>325</v>
      </c>
      <c r="CC32" s="1" t="s">
        <v>135</v>
      </c>
      <c r="CD32" s="1">
        <v>2101</v>
      </c>
      <c r="CE32" s="1" t="s">
        <v>136</v>
      </c>
      <c r="CF32" s="1" t="s">
        <v>161</v>
      </c>
      <c r="CH32" s="1" t="s">
        <v>195</v>
      </c>
      <c r="CJ32" s="1" t="s">
        <v>138</v>
      </c>
      <c r="DF32" s="2" t="s">
        <v>297</v>
      </c>
    </row>
    <row r="33" spans="1:110">
      <c r="A33" s="1" t="s">
        <v>326</v>
      </c>
      <c r="B33" s="2" t="s">
        <v>164</v>
      </c>
      <c r="C33" s="1">
        <v>1</v>
      </c>
      <c r="D33" s="1" t="s">
        <v>120</v>
      </c>
      <c r="E33" s="1" t="s">
        <v>121</v>
      </c>
      <c r="F33" s="1" t="s">
        <v>122</v>
      </c>
      <c r="G33" s="1" t="s">
        <v>123</v>
      </c>
      <c r="H33" s="2" t="s">
        <v>125</v>
      </c>
      <c r="I33" s="1" t="s">
        <v>125</v>
      </c>
      <c r="J33" s="1" t="s">
        <v>126</v>
      </c>
      <c r="K33" s="5">
        <v>46062</v>
      </c>
      <c r="L33" s="6">
        <v>0.41805555555555557</v>
      </c>
      <c r="Q33" s="5"/>
      <c r="R33" s="6"/>
      <c r="T33" s="5">
        <v>46065</v>
      </c>
      <c r="U33" s="6">
        <v>0.77638888888888891</v>
      </c>
      <c r="V33" s="1" t="s">
        <v>143</v>
      </c>
      <c r="X33" s="2" t="s">
        <v>144</v>
      </c>
      <c r="Y33" s="1" t="s">
        <v>225</v>
      </c>
      <c r="AA33" s="1" t="s">
        <v>327</v>
      </c>
      <c r="AF33" s="2" t="s">
        <v>200</v>
      </c>
      <c r="AG33" s="1" t="s">
        <v>132</v>
      </c>
      <c r="BG33" s="1" t="s">
        <v>227</v>
      </c>
      <c r="BS33" s="3"/>
      <c r="CC33" s="1" t="s">
        <v>135</v>
      </c>
      <c r="CE33" s="1"/>
      <c r="CF33" s="1"/>
      <c r="CJ33" s="1"/>
      <c r="DF33" s="2" t="s">
        <v>297</v>
      </c>
    </row>
    <row r="34" spans="1:110">
      <c r="A34" s="1" t="s">
        <v>328</v>
      </c>
      <c r="B34" s="2" t="s">
        <v>141</v>
      </c>
      <c r="C34" s="1">
        <v>1</v>
      </c>
      <c r="D34" s="1" t="s">
        <v>120</v>
      </c>
      <c r="E34" s="1" t="s">
        <v>121</v>
      </c>
      <c r="F34" s="1" t="s">
        <v>122</v>
      </c>
      <c r="G34" s="1" t="s">
        <v>329</v>
      </c>
      <c r="H34" s="2" t="s">
        <v>125</v>
      </c>
      <c r="I34" s="1" t="s">
        <v>125</v>
      </c>
      <c r="J34" s="1" t="s">
        <v>126</v>
      </c>
      <c r="K34" s="5">
        <v>46062</v>
      </c>
      <c r="L34" s="6">
        <v>0.41111111111111109</v>
      </c>
      <c r="Q34" s="5"/>
      <c r="R34" s="6"/>
      <c r="T34" s="5">
        <v>46065</v>
      </c>
      <c r="U34" s="6">
        <v>0.77986111111111112</v>
      </c>
      <c r="V34" s="1" t="s">
        <v>143</v>
      </c>
      <c r="X34" s="2" t="s">
        <v>144</v>
      </c>
      <c r="Y34" s="1" t="s">
        <v>169</v>
      </c>
      <c r="AA34" s="1" t="s">
        <v>330</v>
      </c>
      <c r="AF34" s="2" t="s">
        <v>331</v>
      </c>
      <c r="AG34" s="1" t="s">
        <v>132</v>
      </c>
      <c r="AZ34" s="1" t="s">
        <v>144</v>
      </c>
      <c r="BG34" s="1" t="s">
        <v>169</v>
      </c>
      <c r="BS34" s="3"/>
      <c r="CC34" s="1" t="s">
        <v>135</v>
      </c>
      <c r="CE34" s="1" t="s">
        <v>136</v>
      </c>
      <c r="CF34" s="1" t="s">
        <v>332</v>
      </c>
      <c r="CJ34" s="1" t="s">
        <v>138</v>
      </c>
      <c r="DF34" s="2" t="s">
        <v>297</v>
      </c>
    </row>
    <row r="35" spans="1:110">
      <c r="A35" s="1" t="s">
        <v>333</v>
      </c>
      <c r="B35" s="4"/>
      <c r="C35" s="1">
        <v>5</v>
      </c>
      <c r="D35" s="1" t="s">
        <v>120</v>
      </c>
      <c r="E35" s="1" t="s">
        <v>299</v>
      </c>
      <c r="F35" s="1" t="s">
        <v>300</v>
      </c>
      <c r="G35" s="1" t="s">
        <v>191</v>
      </c>
      <c r="H35" s="2" t="s">
        <v>334</v>
      </c>
      <c r="I35" s="1" t="s">
        <v>125</v>
      </c>
      <c r="J35" s="1" t="s">
        <v>126</v>
      </c>
      <c r="K35" s="5">
        <v>46061</v>
      </c>
      <c r="L35" s="6">
        <v>0.69444444444444442</v>
      </c>
      <c r="Q35" s="5"/>
      <c r="R35" s="6"/>
      <c r="T35" s="5">
        <v>46063</v>
      </c>
      <c r="U35" s="6">
        <v>0.75902777777777775</v>
      </c>
      <c r="V35" s="1" t="s">
        <v>143</v>
      </c>
      <c r="X35" s="2" t="s">
        <v>144</v>
      </c>
      <c r="Y35" s="1" t="s">
        <v>335</v>
      </c>
      <c r="AF35" s="2" t="s">
        <v>220</v>
      </c>
      <c r="AG35" s="1" t="s">
        <v>132</v>
      </c>
      <c r="AS35" s="1" t="s">
        <v>195</v>
      </c>
      <c r="AZ35" s="1" t="s">
        <v>144</v>
      </c>
      <c r="BG35" s="1" t="s">
        <v>173</v>
      </c>
      <c r="BH35" s="1" t="s">
        <v>195</v>
      </c>
      <c r="BK35" s="1" t="s">
        <v>195</v>
      </c>
      <c r="BS35" s="3" t="s">
        <v>336</v>
      </c>
      <c r="BU35" s="1" t="s">
        <v>211</v>
      </c>
      <c r="CC35" s="1" t="s">
        <v>135</v>
      </c>
      <c r="CD35" s="1" t="s">
        <v>337</v>
      </c>
      <c r="CE35" s="1" t="s">
        <v>136</v>
      </c>
      <c r="CF35" s="1" t="s">
        <v>203</v>
      </c>
      <c r="CG35" s="1" t="s">
        <v>338</v>
      </c>
      <c r="CH35" s="1" t="s">
        <v>195</v>
      </c>
      <c r="CJ35" s="1" t="s">
        <v>176</v>
      </c>
      <c r="DF35" s="2" t="s">
        <v>297</v>
      </c>
    </row>
    <row r="36" spans="1:110">
      <c r="A36" s="1" t="s">
        <v>339</v>
      </c>
      <c r="B36" s="4"/>
      <c r="C36" s="1">
        <v>3</v>
      </c>
      <c r="D36" s="1" t="s">
        <v>120</v>
      </c>
      <c r="E36" s="1" t="s">
        <v>165</v>
      </c>
      <c r="F36" s="1" t="s">
        <v>122</v>
      </c>
      <c r="G36" s="1" t="s">
        <v>166</v>
      </c>
      <c r="H36" s="2" t="s">
        <v>340</v>
      </c>
      <c r="I36" s="1" t="s">
        <v>125</v>
      </c>
      <c r="J36" s="1" t="s">
        <v>126</v>
      </c>
      <c r="K36" s="5">
        <v>46059</v>
      </c>
      <c r="L36" s="6">
        <v>0.47569444444444442</v>
      </c>
      <c r="Q36" s="5"/>
      <c r="R36" s="6"/>
      <c r="T36" s="5">
        <v>46069</v>
      </c>
      <c r="U36" s="6">
        <v>0.41944444444444445</v>
      </c>
      <c r="V36" s="1" t="s">
        <v>127</v>
      </c>
      <c r="X36" s="2" t="s">
        <v>128</v>
      </c>
      <c r="Y36" s="1" t="s">
        <v>173</v>
      </c>
      <c r="AA36" s="1" t="s">
        <v>341</v>
      </c>
      <c r="AF36" s="2" t="s">
        <v>342</v>
      </c>
      <c r="AG36" s="1" t="s">
        <v>132</v>
      </c>
      <c r="BG36" s="1" t="s">
        <v>173</v>
      </c>
      <c r="BS36" s="3" t="s">
        <v>343</v>
      </c>
      <c r="CC36" s="1" t="s">
        <v>135</v>
      </c>
      <c r="CE36" s="1" t="s">
        <v>136</v>
      </c>
      <c r="CF36" s="1" t="s">
        <v>203</v>
      </c>
      <c r="CJ36" s="1" t="s">
        <v>176</v>
      </c>
      <c r="DF36" s="2" t="s">
        <v>297</v>
      </c>
    </row>
    <row r="37" spans="1:110">
      <c r="A37" s="1" t="s">
        <v>344</v>
      </c>
      <c r="B37" s="2" t="s">
        <v>316</v>
      </c>
      <c r="C37" s="1">
        <v>3</v>
      </c>
      <c r="D37" s="1" t="s">
        <v>120</v>
      </c>
      <c r="E37" s="1" t="s">
        <v>153</v>
      </c>
      <c r="F37" s="1" t="s">
        <v>122</v>
      </c>
      <c r="G37" s="1" t="s">
        <v>166</v>
      </c>
      <c r="H37" s="2" t="s">
        <v>345</v>
      </c>
      <c r="I37" s="1" t="s">
        <v>125</v>
      </c>
      <c r="J37" s="1" t="s">
        <v>126</v>
      </c>
      <c r="K37" s="5">
        <v>46058</v>
      </c>
      <c r="L37" s="6">
        <v>0.76736111111111116</v>
      </c>
      <c r="Q37" s="5"/>
      <c r="R37" s="6"/>
      <c r="T37" s="5">
        <v>46085</v>
      </c>
      <c r="U37" s="6">
        <v>0.58194444444444449</v>
      </c>
      <c r="V37" s="1" t="s">
        <v>143</v>
      </c>
      <c r="X37" s="2" t="s">
        <v>156</v>
      </c>
      <c r="Y37" s="1" t="s">
        <v>173</v>
      </c>
      <c r="AA37" s="1" t="s">
        <v>346</v>
      </c>
      <c r="AF37" s="2" t="s">
        <v>319</v>
      </c>
      <c r="AG37" s="1" t="s">
        <v>132</v>
      </c>
      <c r="AZ37" s="1" t="s">
        <v>159</v>
      </c>
      <c r="BG37" s="1" t="s">
        <v>173</v>
      </c>
      <c r="BS37" s="3" t="s">
        <v>182</v>
      </c>
      <c r="CC37" s="1" t="s">
        <v>135</v>
      </c>
      <c r="CD37" s="1" t="s">
        <v>184</v>
      </c>
      <c r="CE37" s="1" t="s">
        <v>136</v>
      </c>
      <c r="CF37" s="1" t="s">
        <v>182</v>
      </c>
      <c r="CJ37" s="1" t="s">
        <v>213</v>
      </c>
      <c r="DF37" s="2" t="s">
        <v>297</v>
      </c>
    </row>
    <row r="38" spans="1:110">
      <c r="A38" s="1" t="s">
        <v>347</v>
      </c>
      <c r="B38" s="2" t="s">
        <v>348</v>
      </c>
      <c r="C38" s="1">
        <v>1</v>
      </c>
      <c r="D38" s="1" t="s">
        <v>120</v>
      </c>
      <c r="E38" s="1" t="s">
        <v>165</v>
      </c>
      <c r="F38" s="1" t="s">
        <v>122</v>
      </c>
      <c r="G38" s="1" t="s">
        <v>349</v>
      </c>
      <c r="H38" s="2" t="s">
        <v>317</v>
      </c>
      <c r="I38" s="1" t="s">
        <v>125</v>
      </c>
      <c r="J38" s="1" t="s">
        <v>126</v>
      </c>
      <c r="K38" s="5">
        <v>46058</v>
      </c>
      <c r="L38" s="6">
        <v>0.40138888888888891</v>
      </c>
      <c r="Q38" s="5"/>
      <c r="R38" s="6"/>
      <c r="T38" s="5">
        <v>46058</v>
      </c>
      <c r="U38" s="6">
        <v>0.40486111111111112</v>
      </c>
      <c r="V38" s="1" t="s">
        <v>143</v>
      </c>
      <c r="X38" s="2" t="s">
        <v>156</v>
      </c>
      <c r="Y38" s="1" t="s">
        <v>173</v>
      </c>
      <c r="AA38" s="1" t="s">
        <v>350</v>
      </c>
      <c r="AF38" s="2" t="s">
        <v>348</v>
      </c>
      <c r="AG38" s="1" t="s">
        <v>201</v>
      </c>
      <c r="AZ38" s="1" t="s">
        <v>159</v>
      </c>
      <c r="BG38" s="1" t="s">
        <v>173</v>
      </c>
      <c r="BS38" s="3"/>
      <c r="BU38" s="1" t="s">
        <v>174</v>
      </c>
      <c r="CC38" s="1" t="s">
        <v>135</v>
      </c>
      <c r="CE38" s="1" t="s">
        <v>136</v>
      </c>
      <c r="CF38" s="1" t="s">
        <v>351</v>
      </c>
      <c r="CJ38" s="1" t="s">
        <v>352</v>
      </c>
      <c r="DC38" s="1" t="s">
        <v>297</v>
      </c>
      <c r="DF38" s="2" t="s">
        <v>297</v>
      </c>
    </row>
    <row r="39" spans="1:110">
      <c r="A39" s="1" t="s">
        <v>353</v>
      </c>
      <c r="B39" s="4"/>
      <c r="C39" s="1">
        <v>1</v>
      </c>
      <c r="D39" s="1" t="s">
        <v>120</v>
      </c>
      <c r="E39" s="1" t="s">
        <v>121</v>
      </c>
      <c r="F39" s="1" t="s">
        <v>122</v>
      </c>
      <c r="G39" s="1" t="s">
        <v>123</v>
      </c>
      <c r="H39" s="2" t="s">
        <v>354</v>
      </c>
      <c r="I39" s="1" t="s">
        <v>125</v>
      </c>
      <c r="J39" s="1" t="s">
        <v>126</v>
      </c>
      <c r="K39" s="5">
        <v>46057</v>
      </c>
      <c r="L39" s="6">
        <v>0.79305555555555551</v>
      </c>
      <c r="Q39" s="5"/>
      <c r="R39" s="6"/>
      <c r="T39" s="5">
        <v>46057</v>
      </c>
      <c r="U39" s="6">
        <v>0.79583333333333328</v>
      </c>
      <c r="X39" s="2" t="s">
        <v>128</v>
      </c>
      <c r="Y39" s="1" t="s">
        <v>129</v>
      </c>
      <c r="AA39" s="1" t="s">
        <v>355</v>
      </c>
      <c r="AF39" s="2" t="s">
        <v>356</v>
      </c>
      <c r="AG39" s="1" t="s">
        <v>132</v>
      </c>
      <c r="BG39" s="1" t="s">
        <v>134</v>
      </c>
      <c r="BS39" s="3" t="s">
        <v>357</v>
      </c>
      <c r="CC39" s="1" t="s">
        <v>135</v>
      </c>
      <c r="CE39" s="1" t="s">
        <v>136</v>
      </c>
      <c r="CF39" s="1" t="s">
        <v>358</v>
      </c>
      <c r="CJ39" s="1" t="s">
        <v>138</v>
      </c>
      <c r="DF39" s="2" t="s">
        <v>297</v>
      </c>
    </row>
    <row r="40" spans="1:110">
      <c r="A40" s="1" t="s">
        <v>359</v>
      </c>
      <c r="B40" s="2" t="s">
        <v>164</v>
      </c>
      <c r="C40" s="1">
        <v>1</v>
      </c>
      <c r="D40" s="1" t="s">
        <v>120</v>
      </c>
      <c r="E40" s="1" t="s">
        <v>121</v>
      </c>
      <c r="F40" s="1" t="s">
        <v>190</v>
      </c>
      <c r="G40" s="1" t="s">
        <v>191</v>
      </c>
      <c r="H40" s="2" t="s">
        <v>125</v>
      </c>
      <c r="I40" s="1" t="s">
        <v>125</v>
      </c>
      <c r="J40" s="1" t="s">
        <v>126</v>
      </c>
      <c r="K40" s="5">
        <v>46080</v>
      </c>
      <c r="L40" s="6">
        <v>0.4465277777777778</v>
      </c>
      <c r="Q40" s="5">
        <v>46091</v>
      </c>
      <c r="R40" s="6">
        <v>0.64236111111111116</v>
      </c>
      <c r="V40" s="1" t="s">
        <v>143</v>
      </c>
      <c r="X40" s="2" t="s">
        <v>144</v>
      </c>
      <c r="Y40" s="1" t="s">
        <v>360</v>
      </c>
      <c r="AF40" s="2" t="s">
        <v>244</v>
      </c>
      <c r="AG40" s="1" t="s">
        <v>201</v>
      </c>
      <c r="BG40" s="1" t="s">
        <v>361</v>
      </c>
      <c r="BS40" s="3"/>
      <c r="CC40" s="1" t="s">
        <v>135</v>
      </c>
      <c r="CE40" s="1"/>
      <c r="CF40" s="1"/>
      <c r="CJ40" s="1"/>
      <c r="DF40" s="2" t="s">
        <v>297</v>
      </c>
    </row>
    <row r="41" spans="1:110">
      <c r="A41" s="1" t="s">
        <v>362</v>
      </c>
      <c r="B41" s="4"/>
      <c r="C41" s="1">
        <v>1</v>
      </c>
      <c r="D41" s="1" t="s">
        <v>120</v>
      </c>
      <c r="E41" s="1" t="s">
        <v>121</v>
      </c>
      <c r="F41" s="1" t="s">
        <v>190</v>
      </c>
      <c r="G41" s="1" t="s">
        <v>191</v>
      </c>
      <c r="H41" s="2" t="s">
        <v>125</v>
      </c>
      <c r="I41" s="1" t="s">
        <v>125</v>
      </c>
      <c r="J41" s="1" t="s">
        <v>126</v>
      </c>
      <c r="K41" s="5">
        <v>46075</v>
      </c>
      <c r="L41" s="6">
        <v>0.97083333333333333</v>
      </c>
      <c r="Q41" s="5">
        <v>46091</v>
      </c>
      <c r="R41" s="6">
        <v>0.67847222222222225</v>
      </c>
      <c r="X41" s="2" t="s">
        <v>144</v>
      </c>
      <c r="Y41" s="1"/>
      <c r="AF41" s="2" t="s">
        <v>147</v>
      </c>
      <c r="AG41" s="1" t="s">
        <v>201</v>
      </c>
      <c r="BG41" s="1" t="s">
        <v>363</v>
      </c>
      <c r="BS41" s="3"/>
      <c r="CC41" s="1" t="s">
        <v>135</v>
      </c>
      <c r="CE41" s="1"/>
      <c r="CF41" s="1"/>
      <c r="CJ41" s="1"/>
      <c r="DF41" s="2" t="s">
        <v>297</v>
      </c>
    </row>
    <row r="42" spans="1:110">
      <c r="A42" s="1" t="s">
        <v>364</v>
      </c>
      <c r="B42" s="2" t="s">
        <v>365</v>
      </c>
      <c r="C42" s="1">
        <v>2</v>
      </c>
      <c r="D42" s="1" t="s">
        <v>120</v>
      </c>
      <c r="E42" s="1" t="s">
        <v>165</v>
      </c>
      <c r="F42" s="1" t="s">
        <v>190</v>
      </c>
      <c r="G42" s="1" t="s">
        <v>191</v>
      </c>
      <c r="H42" s="2" t="s">
        <v>125</v>
      </c>
      <c r="I42" s="1" t="s">
        <v>125</v>
      </c>
      <c r="J42" s="1" t="s">
        <v>126</v>
      </c>
      <c r="K42" s="5">
        <v>46066</v>
      </c>
      <c r="L42" s="6">
        <v>0.41041666666666665</v>
      </c>
      <c r="Q42" s="5">
        <v>46092</v>
      </c>
      <c r="R42" s="6">
        <v>0.41388888888888886</v>
      </c>
      <c r="X42" s="2" t="s">
        <v>144</v>
      </c>
      <c r="Y42" s="1"/>
      <c r="AF42" s="2" t="s">
        <v>220</v>
      </c>
      <c r="AG42" s="1" t="s">
        <v>132</v>
      </c>
      <c r="AZ42" s="1" t="s">
        <v>144</v>
      </c>
      <c r="BG42" s="1" t="s">
        <v>173</v>
      </c>
      <c r="BS42" s="3"/>
      <c r="BU42" s="1" t="s">
        <v>211</v>
      </c>
      <c r="CC42" s="1" t="s">
        <v>135</v>
      </c>
      <c r="CE42" s="1" t="s">
        <v>136</v>
      </c>
      <c r="CF42" s="1" t="s">
        <v>366</v>
      </c>
      <c r="CJ42" s="1" t="s">
        <v>176</v>
      </c>
      <c r="DF42" s="2" t="s">
        <v>297</v>
      </c>
    </row>
    <row r="43" spans="1:110">
      <c r="A43" s="1" t="s">
        <v>367</v>
      </c>
      <c r="B43" s="2" t="s">
        <v>141</v>
      </c>
      <c r="C43" s="1">
        <v>2</v>
      </c>
      <c r="D43" s="1" t="s">
        <v>120</v>
      </c>
      <c r="E43" s="1" t="s">
        <v>121</v>
      </c>
      <c r="F43" s="1" t="s">
        <v>190</v>
      </c>
      <c r="G43" s="1" t="s">
        <v>191</v>
      </c>
      <c r="H43" s="2" t="s">
        <v>125</v>
      </c>
      <c r="I43" s="1" t="s">
        <v>125</v>
      </c>
      <c r="J43" s="1" t="s">
        <v>126</v>
      </c>
      <c r="K43" s="5">
        <v>46056</v>
      </c>
      <c r="L43" s="6">
        <v>0.8</v>
      </c>
      <c r="Q43" s="5">
        <v>46093</v>
      </c>
      <c r="R43" s="6">
        <v>0.38333333333333336</v>
      </c>
      <c r="V43" s="1" t="s">
        <v>143</v>
      </c>
      <c r="X43" s="2" t="s">
        <v>144</v>
      </c>
      <c r="Y43" s="1" t="s">
        <v>169</v>
      </c>
      <c r="AF43" s="2" t="s">
        <v>368</v>
      </c>
      <c r="AG43" s="1" t="s">
        <v>132</v>
      </c>
      <c r="BG43" s="1" t="s">
        <v>169</v>
      </c>
      <c r="BS43" s="3"/>
      <c r="BU43" s="1" t="s">
        <v>369</v>
      </c>
      <c r="CC43" s="1" t="s">
        <v>135</v>
      </c>
      <c r="CE43" s="1" t="s">
        <v>136</v>
      </c>
      <c r="CF43" s="1" t="s">
        <v>332</v>
      </c>
      <c r="CJ43" s="1" t="s">
        <v>138</v>
      </c>
      <c r="DF43" s="2" t="s">
        <v>297</v>
      </c>
    </row>
    <row r="44" spans="1:110">
      <c r="A44" s="1" t="s">
        <v>370</v>
      </c>
      <c r="B44" s="2" t="s">
        <v>371</v>
      </c>
      <c r="C44" s="1">
        <v>2</v>
      </c>
      <c r="D44" s="1" t="s">
        <v>120</v>
      </c>
      <c r="E44" s="1" t="s">
        <v>153</v>
      </c>
      <c r="F44" s="1" t="s">
        <v>190</v>
      </c>
      <c r="G44" s="1" t="s">
        <v>191</v>
      </c>
      <c r="H44" s="2" t="s">
        <v>372</v>
      </c>
      <c r="I44" s="1" t="s">
        <v>125</v>
      </c>
      <c r="J44" s="1" t="s">
        <v>126</v>
      </c>
      <c r="K44" s="5">
        <v>46034</v>
      </c>
      <c r="L44" s="6">
        <v>0.41666666666666669</v>
      </c>
      <c r="Q44" s="5">
        <v>46094</v>
      </c>
      <c r="R44" s="6">
        <v>0.60416666666666663</v>
      </c>
      <c r="V44" s="1" t="s">
        <v>143</v>
      </c>
      <c r="X44" s="2" t="s">
        <v>144</v>
      </c>
      <c r="Y44" s="1" t="s">
        <v>225</v>
      </c>
      <c r="AF44" s="2" t="s">
        <v>373</v>
      </c>
      <c r="AG44" s="1" t="s">
        <v>201</v>
      </c>
      <c r="AZ44" s="1" t="s">
        <v>144</v>
      </c>
      <c r="BG44" s="1" t="s">
        <v>227</v>
      </c>
      <c r="BS44" s="3" t="s">
        <v>374</v>
      </c>
      <c r="CC44" s="1" t="s">
        <v>135</v>
      </c>
      <c r="CE44" s="1" t="s">
        <v>136</v>
      </c>
      <c r="CF44" s="1" t="s">
        <v>203</v>
      </c>
      <c r="CJ44" s="1" t="s">
        <v>176</v>
      </c>
      <c r="DF44" s="2" t="s">
        <v>297</v>
      </c>
    </row>
    <row r="45" spans="1:110">
      <c r="A45" s="1" t="s">
        <v>375</v>
      </c>
      <c r="B45" s="2" t="s">
        <v>376</v>
      </c>
      <c r="C45" s="1">
        <v>3</v>
      </c>
      <c r="D45" s="1" t="s">
        <v>120</v>
      </c>
      <c r="E45" s="1" t="s">
        <v>153</v>
      </c>
      <c r="F45" s="1" t="s">
        <v>190</v>
      </c>
      <c r="G45" s="1" t="s">
        <v>191</v>
      </c>
      <c r="H45" s="2" t="s">
        <v>267</v>
      </c>
      <c r="I45" s="1" t="s">
        <v>125</v>
      </c>
      <c r="J45" s="1" t="s">
        <v>126</v>
      </c>
      <c r="K45" s="5">
        <v>46062</v>
      </c>
      <c r="L45" s="6">
        <v>0.37916666666666665</v>
      </c>
      <c r="Q45" s="5">
        <v>46094</v>
      </c>
      <c r="R45" s="6">
        <v>0.62361111111111112</v>
      </c>
      <c r="V45" s="1" t="s">
        <v>143</v>
      </c>
      <c r="X45" s="2" t="s">
        <v>156</v>
      </c>
      <c r="Y45" s="1" t="s">
        <v>169</v>
      </c>
      <c r="AF45" s="2" t="s">
        <v>377</v>
      </c>
      <c r="AG45" s="1" t="s">
        <v>132</v>
      </c>
      <c r="AM45" s="1" t="s">
        <v>248</v>
      </c>
      <c r="AS45" s="1" t="s">
        <v>378</v>
      </c>
      <c r="AZ45" s="1" t="s">
        <v>159</v>
      </c>
      <c r="BG45" s="1" t="s">
        <v>169</v>
      </c>
      <c r="BH45" s="1" t="s">
        <v>184</v>
      </c>
      <c r="BK45" s="1" t="s">
        <v>182</v>
      </c>
      <c r="BS45" s="3" t="s">
        <v>182</v>
      </c>
      <c r="CC45" s="1" t="s">
        <v>135</v>
      </c>
      <c r="CD45" s="1">
        <v>4502</v>
      </c>
      <c r="CE45" s="1" t="s">
        <v>136</v>
      </c>
      <c r="CF45" s="1" t="s">
        <v>379</v>
      </c>
      <c r="CH45" s="1" t="s">
        <v>182</v>
      </c>
      <c r="CJ45" s="1" t="s">
        <v>380</v>
      </c>
      <c r="CO45" s="1" t="s">
        <v>381</v>
      </c>
      <c r="DF45" s="2" t="s">
        <v>297</v>
      </c>
    </row>
    <row r="46" spans="1:110">
      <c r="A46" s="1" t="s">
        <v>382</v>
      </c>
      <c r="B46" s="2" t="s">
        <v>312</v>
      </c>
      <c r="C46" s="1">
        <v>4</v>
      </c>
      <c r="D46" s="1" t="s">
        <v>120</v>
      </c>
      <c r="E46" s="1" t="s">
        <v>153</v>
      </c>
      <c r="F46" s="1" t="s">
        <v>190</v>
      </c>
      <c r="G46" s="1" t="s">
        <v>191</v>
      </c>
      <c r="H46" s="2" t="s">
        <v>383</v>
      </c>
      <c r="I46" s="1" t="s">
        <v>125</v>
      </c>
      <c r="J46" s="1" t="s">
        <v>126</v>
      </c>
      <c r="K46" s="5">
        <v>46069</v>
      </c>
      <c r="L46" s="6">
        <v>0.5854166666666667</v>
      </c>
      <c r="Q46" s="5">
        <v>46094</v>
      </c>
      <c r="R46" s="6">
        <v>0.6381944444444444</v>
      </c>
      <c r="V46" s="1" t="s">
        <v>143</v>
      </c>
      <c r="X46" s="2" t="s">
        <v>156</v>
      </c>
      <c r="Y46" s="1" t="s">
        <v>169</v>
      </c>
      <c r="AF46" s="2" t="s">
        <v>312</v>
      </c>
      <c r="AG46" s="1" t="s">
        <v>132</v>
      </c>
      <c r="AZ46" s="1" t="s">
        <v>159</v>
      </c>
      <c r="BG46" s="1" t="s">
        <v>169</v>
      </c>
      <c r="BS46" s="3" t="s">
        <v>384</v>
      </c>
      <c r="CC46" s="1" t="s">
        <v>135</v>
      </c>
      <c r="CD46" s="1">
        <v>2901</v>
      </c>
      <c r="CE46" s="1" t="s">
        <v>136</v>
      </c>
      <c r="CF46" s="1" t="s">
        <v>385</v>
      </c>
      <c r="CJ46" s="1" t="s">
        <v>138</v>
      </c>
      <c r="DF46" s="2" t="s">
        <v>297</v>
      </c>
    </row>
    <row r="47" spans="1:110">
      <c r="A47" s="1" t="s">
        <v>386</v>
      </c>
      <c r="B47" s="4"/>
      <c r="C47" s="1">
        <v>3</v>
      </c>
      <c r="D47" s="1" t="s">
        <v>120</v>
      </c>
      <c r="E47" s="1" t="s">
        <v>153</v>
      </c>
      <c r="F47" s="1" t="s">
        <v>190</v>
      </c>
      <c r="G47" s="1" t="s">
        <v>191</v>
      </c>
      <c r="H47" s="2" t="s">
        <v>387</v>
      </c>
      <c r="I47" s="1" t="s">
        <v>125</v>
      </c>
      <c r="J47" s="1" t="s">
        <v>126</v>
      </c>
      <c r="K47" s="5">
        <v>46075</v>
      </c>
      <c r="L47" s="6">
        <v>0.96458333333333335</v>
      </c>
      <c r="Q47" s="5">
        <v>46095</v>
      </c>
      <c r="R47" s="6">
        <v>0.41666666666666669</v>
      </c>
      <c r="V47" s="1" t="s">
        <v>143</v>
      </c>
      <c r="X47" s="2" t="s">
        <v>144</v>
      </c>
      <c r="Y47" s="1" t="s">
        <v>169</v>
      </c>
      <c r="AF47" s="2" t="s">
        <v>388</v>
      </c>
      <c r="AG47" s="1" t="s">
        <v>132</v>
      </c>
      <c r="BG47" s="1" t="s">
        <v>169</v>
      </c>
      <c r="BS47" s="3"/>
      <c r="CC47" s="1" t="s">
        <v>135</v>
      </c>
      <c r="CE47" s="1" t="s">
        <v>136</v>
      </c>
      <c r="CF47" s="1" t="s">
        <v>389</v>
      </c>
      <c r="CJ47" s="1" t="s">
        <v>138</v>
      </c>
      <c r="DF47" s="2" t="s">
        <v>297</v>
      </c>
    </row>
    <row r="48" spans="1:110">
      <c r="A48" s="1" t="s">
        <v>390</v>
      </c>
      <c r="B48" s="2" t="s">
        <v>391</v>
      </c>
      <c r="C48" s="1">
        <v>2</v>
      </c>
      <c r="D48" s="1" t="s">
        <v>120</v>
      </c>
      <c r="E48" s="1" t="s">
        <v>153</v>
      </c>
      <c r="F48" s="1" t="s">
        <v>190</v>
      </c>
      <c r="G48" s="1" t="s">
        <v>191</v>
      </c>
      <c r="H48" s="2" t="s">
        <v>392</v>
      </c>
      <c r="I48" s="1" t="s">
        <v>125</v>
      </c>
      <c r="J48" s="1" t="s">
        <v>126</v>
      </c>
      <c r="K48" s="5">
        <v>46059</v>
      </c>
      <c r="L48" s="6">
        <v>0.76180555555555551</v>
      </c>
      <c r="Q48" s="5">
        <v>46095</v>
      </c>
      <c r="R48" s="6">
        <v>0.57986111111111116</v>
      </c>
      <c r="V48" s="1" t="s">
        <v>143</v>
      </c>
      <c r="X48" s="2" t="s">
        <v>156</v>
      </c>
      <c r="Y48" s="1" t="s">
        <v>169</v>
      </c>
      <c r="AF48" s="2" t="s">
        <v>393</v>
      </c>
      <c r="AG48" s="1" t="s">
        <v>132</v>
      </c>
      <c r="AM48" s="1" t="s">
        <v>263</v>
      </c>
      <c r="AZ48" s="1" t="s">
        <v>159</v>
      </c>
      <c r="BG48" s="1" t="s">
        <v>169</v>
      </c>
      <c r="BS48" s="3"/>
      <c r="CC48" s="1" t="s">
        <v>135</v>
      </c>
      <c r="CE48" s="1" t="s">
        <v>136</v>
      </c>
      <c r="CF48" s="1" t="s">
        <v>394</v>
      </c>
      <c r="CJ48" s="1" t="s">
        <v>258</v>
      </c>
      <c r="DF48" s="2" t="s">
        <v>297</v>
      </c>
    </row>
    <row r="49" spans="1:110">
      <c r="A49" s="1" t="s">
        <v>395</v>
      </c>
      <c r="B49" s="2" t="s">
        <v>396</v>
      </c>
      <c r="C49" s="1">
        <v>1</v>
      </c>
      <c r="D49" s="1" t="s">
        <v>120</v>
      </c>
      <c r="E49" s="1" t="s">
        <v>121</v>
      </c>
      <c r="F49" s="1" t="s">
        <v>190</v>
      </c>
      <c r="G49" s="1" t="s">
        <v>191</v>
      </c>
      <c r="H49" s="2" t="s">
        <v>125</v>
      </c>
      <c r="I49" s="1" t="s">
        <v>125</v>
      </c>
      <c r="J49" s="1" t="s">
        <v>126</v>
      </c>
      <c r="K49" s="5">
        <v>46073</v>
      </c>
      <c r="L49" s="6">
        <v>0.46875</v>
      </c>
      <c r="Q49" s="5">
        <v>46147</v>
      </c>
      <c r="R49" s="6">
        <v>0.3840277777777778</v>
      </c>
      <c r="X49" s="2" t="s">
        <v>144</v>
      </c>
      <c r="Y49" s="1" t="s">
        <v>173</v>
      </c>
      <c r="AF49" s="2" t="s">
        <v>397</v>
      </c>
      <c r="AG49" s="1" t="s">
        <v>132</v>
      </c>
      <c r="BG49" s="1" t="s">
        <v>173</v>
      </c>
      <c r="BS49" s="3"/>
      <c r="BU49" s="1" t="s">
        <v>211</v>
      </c>
      <c r="CC49" s="1" t="s">
        <v>135</v>
      </c>
      <c r="CE49" s="1"/>
      <c r="CF49" s="1"/>
      <c r="CJ49" s="1"/>
      <c r="DF49" s="2" t="s">
        <v>297</v>
      </c>
    </row>
    <row r="50" spans="1:110">
      <c r="A50" s="1" t="s">
        <v>398</v>
      </c>
      <c r="B50" s="4"/>
      <c r="C50" s="1">
        <v>1</v>
      </c>
      <c r="D50" s="1" t="s">
        <v>120</v>
      </c>
      <c r="E50" s="1" t="s">
        <v>165</v>
      </c>
      <c r="F50" s="1" t="s">
        <v>190</v>
      </c>
      <c r="G50" s="1" t="s">
        <v>191</v>
      </c>
      <c r="H50" s="2" t="s">
        <v>192</v>
      </c>
      <c r="I50" s="1" t="s">
        <v>125</v>
      </c>
      <c r="J50" s="1" t="s">
        <v>126</v>
      </c>
      <c r="K50" s="5">
        <v>46094</v>
      </c>
      <c r="L50" s="6">
        <v>0.4826388888888889</v>
      </c>
      <c r="V50" s="1" t="s">
        <v>127</v>
      </c>
      <c r="X50" s="2" t="s">
        <v>128</v>
      </c>
      <c r="Y50" s="1" t="s">
        <v>193</v>
      </c>
      <c r="AF50" s="2" t="s">
        <v>399</v>
      </c>
      <c r="AG50" s="1" t="s">
        <v>201</v>
      </c>
      <c r="BG50" s="1" t="s">
        <v>193</v>
      </c>
      <c r="BS50" s="3" t="s">
        <v>400</v>
      </c>
      <c r="CC50" s="1" t="s">
        <v>135</v>
      </c>
      <c r="CE50" s="1" t="s">
        <v>136</v>
      </c>
      <c r="CF50" s="1" t="s">
        <v>401</v>
      </c>
      <c r="CJ50" s="1" t="s">
        <v>258</v>
      </c>
      <c r="DF50" s="2" t="s">
        <v>274</v>
      </c>
    </row>
    <row r="51" spans="1:110">
      <c r="A51" s="1" t="s">
        <v>402</v>
      </c>
      <c r="B51" s="2" t="s">
        <v>403</v>
      </c>
      <c r="C51" s="1">
        <v>3</v>
      </c>
      <c r="D51" s="1" t="s">
        <v>120</v>
      </c>
      <c r="E51" s="1" t="s">
        <v>153</v>
      </c>
      <c r="F51" s="1" t="s">
        <v>122</v>
      </c>
      <c r="G51" s="1" t="s">
        <v>404</v>
      </c>
      <c r="H51" s="2" t="s">
        <v>224</v>
      </c>
      <c r="I51" s="1" t="s">
        <v>125</v>
      </c>
      <c r="J51" s="1" t="s">
        <v>126</v>
      </c>
      <c r="K51" s="5">
        <v>46051</v>
      </c>
      <c r="L51" s="6">
        <v>0.80555555555555558</v>
      </c>
      <c r="T51" s="5">
        <v>46093</v>
      </c>
      <c r="U51" s="6">
        <v>0.61944444444444446</v>
      </c>
      <c r="V51" s="1" t="s">
        <v>143</v>
      </c>
      <c r="X51" s="2" t="s">
        <v>156</v>
      </c>
      <c r="Y51" s="1" t="s">
        <v>169</v>
      </c>
      <c r="AA51" s="1" t="s">
        <v>405</v>
      </c>
      <c r="AF51" s="2" t="s">
        <v>406</v>
      </c>
      <c r="AG51" s="1" t="s">
        <v>132</v>
      </c>
      <c r="AM51" s="1" t="s">
        <v>407</v>
      </c>
      <c r="AS51" s="1" t="s">
        <v>182</v>
      </c>
      <c r="AZ51" s="1" t="s">
        <v>159</v>
      </c>
      <c r="BG51" s="1" t="s">
        <v>169</v>
      </c>
      <c r="BH51" s="1" t="s">
        <v>184</v>
      </c>
      <c r="BK51" s="1" t="s">
        <v>182</v>
      </c>
      <c r="BS51" s="3" t="s">
        <v>182</v>
      </c>
      <c r="CC51" s="1" t="s">
        <v>135</v>
      </c>
      <c r="CD51" s="1">
        <v>5501</v>
      </c>
      <c r="CE51" s="1" t="s">
        <v>136</v>
      </c>
      <c r="CF51" s="1" t="s">
        <v>408</v>
      </c>
      <c r="CH51" s="1" t="s">
        <v>182</v>
      </c>
      <c r="CJ51" s="1" t="s">
        <v>258</v>
      </c>
      <c r="CO51" s="1" t="s">
        <v>139</v>
      </c>
      <c r="DF51" s="2" t="s">
        <v>274</v>
      </c>
    </row>
    <row r="52" spans="1:110">
      <c r="A52" s="1" t="s">
        <v>409</v>
      </c>
      <c r="B52" s="2" t="s">
        <v>410</v>
      </c>
      <c r="C52" s="1">
        <v>3</v>
      </c>
      <c r="D52" s="1" t="s">
        <v>120</v>
      </c>
      <c r="E52" s="1" t="s">
        <v>165</v>
      </c>
      <c r="F52" s="1" t="s">
        <v>190</v>
      </c>
      <c r="G52" s="1" t="s">
        <v>191</v>
      </c>
      <c r="H52" s="2" t="s">
        <v>411</v>
      </c>
      <c r="I52" s="1" t="s">
        <v>125</v>
      </c>
      <c r="J52" s="1" t="s">
        <v>126</v>
      </c>
      <c r="K52" s="5">
        <v>46091</v>
      </c>
      <c r="L52" s="6">
        <v>0.56458333333333333</v>
      </c>
      <c r="Q52" s="5">
        <v>46094</v>
      </c>
      <c r="R52" s="6">
        <v>0.66319444444444442</v>
      </c>
      <c r="V52" s="1" t="s">
        <v>143</v>
      </c>
      <c r="X52" s="2" t="s">
        <v>156</v>
      </c>
      <c r="Y52" s="1" t="s">
        <v>225</v>
      </c>
      <c r="AF52" s="2" t="s">
        <v>410</v>
      </c>
      <c r="AG52" s="1" t="s">
        <v>132</v>
      </c>
      <c r="AZ52" s="1" t="s">
        <v>159</v>
      </c>
      <c r="BG52" s="1" t="s">
        <v>412</v>
      </c>
      <c r="BS52" s="8"/>
      <c r="CC52" s="1" t="s">
        <v>135</v>
      </c>
      <c r="CD52" s="1">
        <v>1901</v>
      </c>
      <c r="CE52" s="1" t="s">
        <v>136</v>
      </c>
      <c r="CF52" s="1" t="s">
        <v>413</v>
      </c>
      <c r="CJ52" s="1" t="s">
        <v>414</v>
      </c>
      <c r="DF52" s="2" t="s">
        <v>274</v>
      </c>
    </row>
    <row r="53" spans="1:110">
      <c r="A53" s="1" t="s">
        <v>415</v>
      </c>
      <c r="B53" s="2" t="s">
        <v>164</v>
      </c>
      <c r="C53" s="1">
        <v>2</v>
      </c>
      <c r="D53" s="1" t="s">
        <v>120</v>
      </c>
      <c r="E53" s="1" t="s">
        <v>165</v>
      </c>
      <c r="F53" s="1" t="s">
        <v>190</v>
      </c>
      <c r="G53" s="1" t="s">
        <v>191</v>
      </c>
      <c r="H53" s="2" t="s">
        <v>199</v>
      </c>
      <c r="I53" s="1" t="s">
        <v>125</v>
      </c>
      <c r="J53" s="1" t="s">
        <v>126</v>
      </c>
      <c r="K53" s="5">
        <v>46091</v>
      </c>
      <c r="L53" s="6">
        <v>0.76666666666666672</v>
      </c>
      <c r="Q53" s="5">
        <v>46095</v>
      </c>
      <c r="R53" s="6">
        <v>0.39583333333333331</v>
      </c>
      <c r="V53" s="1" t="s">
        <v>143</v>
      </c>
      <c r="X53" s="2" t="s">
        <v>144</v>
      </c>
      <c r="Y53" s="1" t="s">
        <v>169</v>
      </c>
      <c r="AF53" s="2" t="s">
        <v>416</v>
      </c>
      <c r="AG53" s="1" t="s">
        <v>132</v>
      </c>
      <c r="BG53" s="1" t="s">
        <v>169</v>
      </c>
      <c r="BS53" s="8"/>
      <c r="CC53" s="1" t="s">
        <v>135</v>
      </c>
      <c r="CD53" s="1">
        <v>5501</v>
      </c>
      <c r="CE53" s="1" t="s">
        <v>417</v>
      </c>
      <c r="CF53" s="1" t="s">
        <v>418</v>
      </c>
      <c r="CJ53" s="1" t="s">
        <v>182</v>
      </c>
      <c r="DF53" s="2" t="s">
        <v>274</v>
      </c>
    </row>
    <row r="54" spans="1:110">
      <c r="A54" s="1" t="s">
        <v>419</v>
      </c>
      <c r="B54" s="4"/>
      <c r="C54" s="1">
        <v>3</v>
      </c>
      <c r="D54" s="1" t="s">
        <v>120</v>
      </c>
      <c r="E54" s="1" t="s">
        <v>153</v>
      </c>
      <c r="F54" s="1" t="s">
        <v>190</v>
      </c>
      <c r="G54" s="1" t="s">
        <v>191</v>
      </c>
      <c r="H54" s="2" t="s">
        <v>267</v>
      </c>
      <c r="I54" s="1" t="s">
        <v>125</v>
      </c>
      <c r="J54" s="1" t="s">
        <v>126</v>
      </c>
      <c r="K54" s="5">
        <v>46080</v>
      </c>
      <c r="L54" s="6">
        <v>0.7319444444444444</v>
      </c>
      <c r="Q54" s="5">
        <v>46096</v>
      </c>
      <c r="R54" s="6">
        <v>0.57986111111111116</v>
      </c>
      <c r="V54" s="1" t="s">
        <v>143</v>
      </c>
      <c r="X54" s="2" t="s">
        <v>156</v>
      </c>
      <c r="Y54" s="1" t="s">
        <v>420</v>
      </c>
      <c r="AF54" s="2" t="s">
        <v>393</v>
      </c>
      <c r="AG54" s="1" t="s">
        <v>132</v>
      </c>
      <c r="AZ54" s="1" t="s">
        <v>159</v>
      </c>
      <c r="BG54" s="1" t="s">
        <v>169</v>
      </c>
      <c r="BS54" s="3" t="s">
        <v>182</v>
      </c>
      <c r="CC54" s="1" t="s">
        <v>135</v>
      </c>
      <c r="CD54" s="1">
        <v>4502</v>
      </c>
      <c r="CE54" s="1" t="s">
        <v>136</v>
      </c>
      <c r="CF54" s="1" t="s">
        <v>421</v>
      </c>
      <c r="CJ54" s="1" t="s">
        <v>138</v>
      </c>
      <c r="DF54" s="2" t="s">
        <v>274</v>
      </c>
    </row>
    <row r="55" spans="1:110">
      <c r="A55" s="1" t="s">
        <v>422</v>
      </c>
      <c r="B55" s="4"/>
      <c r="C55" s="1">
        <v>3</v>
      </c>
      <c r="D55" s="1" t="s">
        <v>120</v>
      </c>
      <c r="E55" s="1" t="s">
        <v>165</v>
      </c>
      <c r="F55" s="1" t="s">
        <v>190</v>
      </c>
      <c r="G55" s="1" t="s">
        <v>191</v>
      </c>
      <c r="H55" s="2" t="s">
        <v>423</v>
      </c>
      <c r="I55" s="1" t="s">
        <v>125</v>
      </c>
      <c r="J55" s="1" t="s">
        <v>126</v>
      </c>
      <c r="K55" s="5">
        <v>46090</v>
      </c>
      <c r="L55" s="6">
        <v>0.57152777777777775</v>
      </c>
      <c r="Q55" s="5">
        <v>46097</v>
      </c>
      <c r="R55" s="6">
        <v>0.57430555555555551</v>
      </c>
      <c r="X55" s="2" t="s">
        <v>128</v>
      </c>
      <c r="Y55" s="1" t="s">
        <v>424</v>
      </c>
      <c r="AF55" s="2" t="s">
        <v>425</v>
      </c>
      <c r="AG55" s="1" t="s">
        <v>201</v>
      </c>
      <c r="BG55" s="1" t="s">
        <v>426</v>
      </c>
      <c r="BS55" s="3" t="s">
        <v>427</v>
      </c>
      <c r="CC55" s="1" t="s">
        <v>135</v>
      </c>
      <c r="CE55" s="1" t="s">
        <v>136</v>
      </c>
      <c r="CF55" s="1" t="s">
        <v>421</v>
      </c>
      <c r="CJ55" s="1" t="s">
        <v>138</v>
      </c>
      <c r="DF55" s="2" t="s">
        <v>274</v>
      </c>
    </row>
    <row r="56" spans="1:110">
      <c r="A56" s="1" t="s">
        <v>254</v>
      </c>
      <c r="B56" s="2" t="s">
        <v>141</v>
      </c>
      <c r="C56" s="1">
        <v>3</v>
      </c>
      <c r="D56" s="1" t="s">
        <v>120</v>
      </c>
      <c r="E56" s="1" t="s">
        <v>153</v>
      </c>
      <c r="F56" s="1" t="s">
        <v>190</v>
      </c>
      <c r="G56" s="1" t="s">
        <v>191</v>
      </c>
      <c r="H56" s="2" t="s">
        <v>238</v>
      </c>
      <c r="I56" s="1" t="s">
        <v>125</v>
      </c>
      <c r="J56" s="1" t="s">
        <v>126</v>
      </c>
      <c r="K56" s="5">
        <v>46034</v>
      </c>
      <c r="L56" s="6">
        <v>0.64027777777777772</v>
      </c>
      <c r="Q56" s="5">
        <v>46097</v>
      </c>
      <c r="R56" s="6">
        <v>0.6875</v>
      </c>
      <c r="V56" s="1" t="s">
        <v>255</v>
      </c>
      <c r="X56" s="2" t="s">
        <v>144</v>
      </c>
      <c r="Y56" s="1" t="s">
        <v>169</v>
      </c>
      <c r="AF56" s="2" t="s">
        <v>240</v>
      </c>
      <c r="AG56" s="1" t="s">
        <v>132</v>
      </c>
      <c r="AM56" s="1" t="s">
        <v>221</v>
      </c>
      <c r="AZ56" s="1" t="s">
        <v>144</v>
      </c>
      <c r="BG56" s="1" t="s">
        <v>169</v>
      </c>
      <c r="BS56" s="8"/>
      <c r="BU56" s="1" t="s">
        <v>256</v>
      </c>
      <c r="CC56" s="1" t="s">
        <v>135</v>
      </c>
      <c r="CE56" s="1" t="s">
        <v>136</v>
      </c>
      <c r="CF56" s="1" t="s">
        <v>257</v>
      </c>
      <c r="CJ56" s="1" t="s">
        <v>258</v>
      </c>
      <c r="DC56" s="1" t="s">
        <v>139</v>
      </c>
      <c r="DF56" s="2" t="s">
        <v>274</v>
      </c>
    </row>
    <row r="57" spans="1:110">
      <c r="A57" s="1" t="s">
        <v>428</v>
      </c>
      <c r="B57" s="2" t="s">
        <v>282</v>
      </c>
      <c r="C57" s="1">
        <v>4</v>
      </c>
      <c r="D57" s="1" t="s">
        <v>120</v>
      </c>
      <c r="E57" s="1" t="s">
        <v>153</v>
      </c>
      <c r="F57" s="1" t="s">
        <v>190</v>
      </c>
      <c r="G57" s="1" t="s">
        <v>191</v>
      </c>
      <c r="H57" s="2" t="s">
        <v>387</v>
      </c>
      <c r="I57" s="1" t="s">
        <v>125</v>
      </c>
      <c r="J57" s="1" t="s">
        <v>126</v>
      </c>
      <c r="K57" s="5">
        <v>46076</v>
      </c>
      <c r="L57" s="6">
        <v>0.47152777777777777</v>
      </c>
      <c r="Q57" s="5">
        <v>46098</v>
      </c>
      <c r="R57" s="6">
        <v>0.44027777777777777</v>
      </c>
      <c r="V57" s="1" t="s">
        <v>143</v>
      </c>
      <c r="X57" s="2" t="s">
        <v>156</v>
      </c>
      <c r="Y57" s="1" t="s">
        <v>169</v>
      </c>
      <c r="AF57" s="2" t="s">
        <v>429</v>
      </c>
      <c r="AG57" s="1" t="s">
        <v>132</v>
      </c>
      <c r="AZ57" s="1" t="s">
        <v>159</v>
      </c>
      <c r="BG57" s="1" t="s">
        <v>169</v>
      </c>
      <c r="BS57" s="8"/>
      <c r="CC57" s="1" t="s">
        <v>135</v>
      </c>
      <c r="CD57" s="1">
        <v>3701</v>
      </c>
      <c r="CE57" s="1" t="s">
        <v>136</v>
      </c>
      <c r="CF57" s="1" t="s">
        <v>430</v>
      </c>
      <c r="CJ57" s="1" t="s">
        <v>176</v>
      </c>
      <c r="DF57" s="2" t="s">
        <v>274</v>
      </c>
    </row>
    <row r="58" spans="1:110">
      <c r="A58" s="1" t="s">
        <v>431</v>
      </c>
      <c r="B58" s="4"/>
      <c r="C58" s="1">
        <v>2</v>
      </c>
      <c r="D58" s="1" t="s">
        <v>120</v>
      </c>
      <c r="E58" s="1" t="s">
        <v>153</v>
      </c>
      <c r="F58" s="1" t="s">
        <v>190</v>
      </c>
      <c r="G58" s="1" t="s">
        <v>191</v>
      </c>
      <c r="H58" s="2" t="s">
        <v>432</v>
      </c>
      <c r="I58" s="1" t="s">
        <v>125</v>
      </c>
      <c r="J58" s="1" t="s">
        <v>126</v>
      </c>
      <c r="K58" s="5">
        <v>46085</v>
      </c>
      <c r="L58" s="6">
        <v>0.37708333333333333</v>
      </c>
      <c r="Q58" s="5">
        <v>46098</v>
      </c>
      <c r="R58" s="6">
        <v>0.50138888888888888</v>
      </c>
      <c r="V58" s="1" t="s">
        <v>143</v>
      </c>
      <c r="X58" s="2" t="s">
        <v>156</v>
      </c>
      <c r="Y58" s="1" t="s">
        <v>169</v>
      </c>
      <c r="AF58" s="2" t="s">
        <v>393</v>
      </c>
      <c r="AG58" s="1" t="s">
        <v>132</v>
      </c>
      <c r="AZ58" s="1" t="s">
        <v>159</v>
      </c>
      <c r="BG58" s="1" t="s">
        <v>169</v>
      </c>
      <c r="BS58" s="3" t="s">
        <v>182</v>
      </c>
      <c r="CC58" s="1" t="s">
        <v>135</v>
      </c>
      <c r="CE58" s="1" t="s">
        <v>136</v>
      </c>
      <c r="CF58" s="1" t="s">
        <v>394</v>
      </c>
      <c r="CJ58" s="1" t="s">
        <v>138</v>
      </c>
      <c r="DF58" s="2" t="s">
        <v>274</v>
      </c>
    </row>
    <row r="59" spans="1:110">
      <c r="A59" s="1" t="s">
        <v>433</v>
      </c>
      <c r="B59" s="4"/>
      <c r="C59" s="1">
        <v>1</v>
      </c>
      <c r="D59" s="1" t="s">
        <v>120</v>
      </c>
      <c r="E59" s="1" t="s">
        <v>165</v>
      </c>
      <c r="F59" s="1" t="s">
        <v>190</v>
      </c>
      <c r="G59" s="1" t="s">
        <v>191</v>
      </c>
      <c r="H59" s="2" t="s">
        <v>434</v>
      </c>
      <c r="I59" s="1" t="s">
        <v>125</v>
      </c>
      <c r="J59" s="1" t="s">
        <v>126</v>
      </c>
      <c r="K59" s="5">
        <v>46091</v>
      </c>
      <c r="L59" s="6">
        <v>0.6479166666666667</v>
      </c>
      <c r="Q59" s="5">
        <v>46098</v>
      </c>
      <c r="R59" s="6">
        <v>0.64930555555555558</v>
      </c>
      <c r="X59" s="2" t="s">
        <v>128</v>
      </c>
      <c r="Y59" s="1" t="s">
        <v>225</v>
      </c>
      <c r="AF59" s="2" t="s">
        <v>435</v>
      </c>
      <c r="AG59" s="1" t="s">
        <v>201</v>
      </c>
      <c r="BG59" s="1" t="s">
        <v>227</v>
      </c>
      <c r="BS59" s="3" t="s">
        <v>436</v>
      </c>
      <c r="CC59" s="1" t="s">
        <v>135</v>
      </c>
      <c r="CE59" s="1" t="s">
        <v>136</v>
      </c>
      <c r="CF59" s="1" t="s">
        <v>203</v>
      </c>
      <c r="CJ59" s="1" t="s">
        <v>176</v>
      </c>
      <c r="DF59" s="2" t="s">
        <v>274</v>
      </c>
    </row>
    <row r="60" spans="1:110">
      <c r="A60" s="1"/>
      <c r="B60" s="2"/>
      <c r="C60" s="1"/>
      <c r="D60" s="1"/>
      <c r="E60" s="1"/>
      <c r="F60" s="1"/>
      <c r="G60" s="1"/>
      <c r="H60" s="2"/>
      <c r="I60" s="1"/>
      <c r="J60" s="1"/>
      <c r="K60" s="5"/>
      <c r="L60" s="6"/>
      <c r="Q60" s="5"/>
      <c r="R60" s="6"/>
      <c r="V60" s="1"/>
      <c r="X60" s="2"/>
      <c r="Y60" s="1"/>
      <c r="AF60" s="2"/>
      <c r="AG60" s="1"/>
      <c r="BG60" s="1"/>
      <c r="BS60" s="8"/>
      <c r="BU60" s="1"/>
      <c r="CC60" s="1"/>
      <c r="CE60" s="1"/>
      <c r="CF60" s="1"/>
      <c r="CJ60" s="1"/>
      <c r="DF60" s="2"/>
    </row>
    <row r="61" spans="1:110">
      <c r="A61" s="1"/>
      <c r="B61" s="2"/>
      <c r="C61" s="1"/>
      <c r="D61" s="1"/>
      <c r="E61" s="1"/>
      <c r="F61" s="1"/>
      <c r="G61" s="1"/>
      <c r="H61" s="2"/>
      <c r="I61" s="1"/>
      <c r="J61" s="1"/>
      <c r="K61" s="5"/>
      <c r="L61" s="6"/>
      <c r="T61" s="5"/>
      <c r="U61" s="6"/>
      <c r="V61" s="1"/>
      <c r="X61" s="2"/>
      <c r="Y61" s="1"/>
      <c r="AA61" s="1"/>
      <c r="AF61" s="2"/>
      <c r="AG61" s="1"/>
      <c r="AM61" s="1"/>
      <c r="AS61" s="1"/>
      <c r="AZ61" s="1"/>
      <c r="BG61" s="1"/>
      <c r="BH61" s="1"/>
      <c r="BK61" s="1"/>
      <c r="BS61" s="3"/>
      <c r="CC61" s="1"/>
      <c r="CD61" s="1"/>
      <c r="CE61" s="1"/>
      <c r="CF61" s="1"/>
      <c r="CH61" s="1"/>
      <c r="CJ61" s="1"/>
      <c r="CO61" s="1"/>
      <c r="DF61" s="2"/>
    </row>
    <row r="62" spans="1:110">
      <c r="A62" s="1"/>
      <c r="B62" s="4"/>
      <c r="C62" s="1"/>
      <c r="D62" s="1"/>
      <c r="E62" s="1"/>
      <c r="F62" s="1"/>
      <c r="G62" s="1"/>
      <c r="H62" s="2"/>
      <c r="I62" s="1"/>
      <c r="J62" s="1"/>
      <c r="K62" s="5"/>
      <c r="L62" s="6"/>
      <c r="Q62" s="5"/>
      <c r="R62" s="6"/>
      <c r="X62" s="2"/>
      <c r="Y62" s="1"/>
      <c r="AF62" s="2"/>
      <c r="AG62" s="1"/>
      <c r="BG62" s="1"/>
      <c r="BS62" s="3"/>
      <c r="CC62" s="1"/>
      <c r="CE62" s="1"/>
      <c r="CF62" s="1"/>
      <c r="CJ62" s="1"/>
      <c r="DF62" s="2"/>
    </row>
    <row r="63" spans="1:110">
      <c r="A63" s="1"/>
      <c r="B63" s="4"/>
      <c r="C63" s="1"/>
      <c r="D63" s="1"/>
      <c r="E63" s="1"/>
      <c r="F63" s="1"/>
      <c r="G63" s="1"/>
      <c r="H63" s="2"/>
      <c r="I63" s="1"/>
      <c r="J63" s="1"/>
      <c r="K63" s="5"/>
      <c r="L63" s="6"/>
      <c r="Q63" s="5"/>
      <c r="R63" s="6"/>
      <c r="X63" s="2"/>
      <c r="Y63" s="1"/>
      <c r="AF63" s="2"/>
      <c r="AG63" s="1"/>
      <c r="BG63" s="1"/>
      <c r="BS63" s="3"/>
      <c r="CC63" s="1"/>
      <c r="CE63" s="1"/>
      <c r="CF63" s="1"/>
      <c r="CJ63" s="1"/>
      <c r="DF63" s="2"/>
    </row>
    <row r="64" spans="1:110">
      <c r="A64" s="1"/>
      <c r="B64" s="4"/>
      <c r="C64" s="1"/>
      <c r="D64" s="1"/>
      <c r="E64" s="1"/>
      <c r="F64" s="1"/>
      <c r="G64" s="1"/>
      <c r="H64" s="2"/>
      <c r="I64" s="1"/>
      <c r="J64" s="1"/>
      <c r="K64" s="5"/>
      <c r="L64" s="6"/>
      <c r="Q64" s="5"/>
      <c r="R64" s="6"/>
      <c r="X64" s="2"/>
      <c r="Y64" s="1"/>
      <c r="AF64" s="2"/>
      <c r="AG64" s="1"/>
      <c r="BG64" s="1"/>
      <c r="BS64" s="3"/>
      <c r="CC64" s="1"/>
      <c r="CE64" s="1"/>
      <c r="CF64" s="1"/>
      <c r="CJ64" s="1"/>
      <c r="DF64" s="2"/>
    </row>
    <row r="65" spans="1:110">
      <c r="A65" s="1"/>
      <c r="B65" s="4"/>
      <c r="C65" s="1"/>
      <c r="D65" s="1"/>
      <c r="E65" s="1"/>
      <c r="F65" s="1"/>
      <c r="G65" s="1"/>
      <c r="H65" s="2"/>
      <c r="I65" s="1"/>
      <c r="J65" s="1"/>
      <c r="K65" s="5"/>
      <c r="L65" s="6"/>
      <c r="Q65" s="5"/>
      <c r="R65" s="6"/>
      <c r="X65" s="2"/>
      <c r="Y65" s="1"/>
      <c r="AF65" s="2"/>
      <c r="AG65" s="1"/>
      <c r="BG65" s="1"/>
      <c r="BS65" s="3"/>
      <c r="CC65" s="1"/>
      <c r="CE65" s="1"/>
      <c r="CF65" s="1"/>
      <c r="CJ65" s="1"/>
      <c r="DF65" s="2"/>
    </row>
    <row r="66" spans="1:110">
      <c r="A66" s="1"/>
      <c r="B66" s="4"/>
      <c r="C66" s="1"/>
      <c r="D66" s="1"/>
      <c r="E66" s="1"/>
      <c r="F66" s="1"/>
      <c r="G66" s="1"/>
      <c r="H66" s="2"/>
      <c r="I66" s="1"/>
      <c r="J66" s="1"/>
      <c r="K66" s="5"/>
      <c r="L66" s="6"/>
      <c r="Q66" s="5"/>
      <c r="R66" s="6"/>
      <c r="X66" s="2"/>
      <c r="Y66" s="1"/>
      <c r="AF66" s="2"/>
      <c r="AG66" s="1"/>
      <c r="BG66" s="1"/>
      <c r="BS66" s="3"/>
      <c r="CC66" s="1"/>
      <c r="CE66" s="1"/>
      <c r="CF66" s="1"/>
      <c r="CJ66" s="1"/>
      <c r="DF66" s="2"/>
    </row>
    <row r="67" spans="1:110">
      <c r="A67" s="1"/>
      <c r="B67" s="4"/>
      <c r="C67" s="1"/>
      <c r="D67" s="1"/>
      <c r="E67" s="1"/>
      <c r="F67" s="1"/>
      <c r="G67" s="1"/>
      <c r="H67" s="2"/>
      <c r="I67" s="1"/>
      <c r="J67" s="1"/>
      <c r="K67" s="5"/>
      <c r="L67" s="6"/>
      <c r="Q67" s="5"/>
      <c r="R67" s="6"/>
      <c r="X67" s="2"/>
      <c r="Y67" s="1"/>
      <c r="AF67" s="2"/>
      <c r="AG67" s="1"/>
      <c r="BG67" s="1"/>
      <c r="BS67" s="3"/>
      <c r="CC67" s="1"/>
      <c r="CE67" s="1"/>
      <c r="CF67" s="1"/>
      <c r="CJ67" s="1"/>
      <c r="DF67" s="2"/>
    </row>
    <row r="68" spans="1:110">
      <c r="A68" s="1"/>
      <c r="B68" s="4"/>
      <c r="C68" s="1"/>
      <c r="D68" s="1"/>
      <c r="E68" s="1"/>
      <c r="F68" s="1"/>
      <c r="G68" s="1"/>
      <c r="H68" s="2"/>
      <c r="I68" s="1"/>
      <c r="J68" s="1"/>
      <c r="K68" s="5"/>
      <c r="L68" s="6"/>
      <c r="Q68" s="5"/>
      <c r="R68" s="6"/>
      <c r="X68" s="2"/>
      <c r="Y68" s="1"/>
      <c r="AF68" s="2"/>
      <c r="AG68" s="1"/>
      <c r="BG68" s="1"/>
      <c r="BS68" s="3"/>
      <c r="CC68" s="1"/>
      <c r="CE68" s="1"/>
      <c r="CF68" s="1"/>
      <c r="CJ68" s="1"/>
      <c r="DF68" s="2"/>
    </row>
    <row r="69" spans="1:110">
      <c r="A69" s="1"/>
      <c r="B69" s="4"/>
      <c r="C69" s="1"/>
      <c r="D69" s="1"/>
      <c r="E69" s="1"/>
      <c r="F69" s="1"/>
      <c r="G69" s="1"/>
      <c r="H69" s="2"/>
      <c r="I69" s="1"/>
      <c r="J69" s="1"/>
      <c r="K69" s="5"/>
      <c r="L69" s="6"/>
      <c r="Q69" s="5"/>
      <c r="R69" s="6"/>
      <c r="X69" s="2"/>
      <c r="Y69" s="1"/>
      <c r="AF69" s="2"/>
      <c r="AG69" s="1"/>
      <c r="BG69" s="1"/>
      <c r="BS69" s="3"/>
      <c r="CC69" s="1"/>
      <c r="CE69" s="1"/>
      <c r="CF69" s="1"/>
      <c r="CJ69" s="1"/>
      <c r="DF69" s="2"/>
    </row>
    <row r="70" spans="1:110">
      <c r="A70" s="1"/>
      <c r="B70" s="4"/>
      <c r="C70" s="1"/>
      <c r="D70" s="1"/>
      <c r="E70" s="1"/>
      <c r="F70" s="1"/>
      <c r="G70" s="1"/>
      <c r="H70" s="2"/>
      <c r="I70" s="1"/>
      <c r="J70" s="1"/>
      <c r="K70" s="5"/>
      <c r="L70" s="6"/>
      <c r="Q70" s="5"/>
      <c r="R70" s="6"/>
      <c r="X70" s="2"/>
      <c r="Y70" s="1"/>
      <c r="AF70" s="2"/>
      <c r="AG70" s="1"/>
      <c r="BG70" s="1"/>
      <c r="BS70" s="3"/>
      <c r="CC70" s="1"/>
      <c r="CE70" s="1"/>
      <c r="CF70" s="1"/>
      <c r="CJ70" s="1"/>
      <c r="DF70" s="2"/>
    </row>
    <row r="71" spans="1:110">
      <c r="A71" s="1"/>
      <c r="B71" s="4"/>
      <c r="C71" s="1"/>
      <c r="D71" s="1"/>
      <c r="E71" s="1"/>
      <c r="F71" s="1"/>
      <c r="G71" s="1"/>
      <c r="H71" s="2"/>
      <c r="I71" s="1"/>
      <c r="J71" s="1"/>
      <c r="K71" s="5"/>
      <c r="L71" s="6"/>
      <c r="Q71" s="5"/>
      <c r="R71" s="6"/>
      <c r="X71" s="2"/>
      <c r="Y71" s="1"/>
      <c r="AF71" s="2"/>
      <c r="AG71" s="1"/>
      <c r="BG71" s="1"/>
      <c r="BS71" s="3"/>
      <c r="CC71" s="1"/>
      <c r="CE71" s="1"/>
      <c r="CF71" s="1"/>
      <c r="CJ71" s="1"/>
      <c r="DF71" s="2"/>
    </row>
    <row r="72" spans="1:110">
      <c r="A72" s="1"/>
      <c r="B72" s="4"/>
      <c r="C72" s="1"/>
      <c r="D72" s="1"/>
      <c r="E72" s="1"/>
      <c r="F72" s="1"/>
      <c r="G72" s="1"/>
      <c r="H72" s="2"/>
      <c r="I72" s="1"/>
      <c r="J72" s="1"/>
      <c r="K72" s="5"/>
      <c r="L72" s="6"/>
      <c r="Q72" s="5"/>
      <c r="R72" s="6"/>
      <c r="X72" s="2"/>
      <c r="Y72" s="1"/>
      <c r="AF72" s="2"/>
      <c r="AG72" s="1"/>
      <c r="BG72" s="1"/>
      <c r="BS72" s="3"/>
      <c r="CC72" s="1"/>
      <c r="CE72" s="1"/>
      <c r="CF72" s="1"/>
      <c r="CJ72" s="1"/>
      <c r="DF72" s="2"/>
    </row>
    <row r="73" spans="1:110">
      <c r="A73" s="1"/>
      <c r="B73" s="4"/>
      <c r="C73" s="1"/>
      <c r="D73" s="1"/>
      <c r="E73" s="1"/>
      <c r="F73" s="1"/>
      <c r="G73" s="1"/>
      <c r="H73" s="2"/>
      <c r="I73" s="1"/>
      <c r="J73" s="1"/>
      <c r="K73" s="5"/>
      <c r="L73" s="6"/>
      <c r="Q73" s="5"/>
      <c r="R73" s="6"/>
      <c r="X73" s="2"/>
      <c r="Y73" s="1"/>
      <c r="AF73" s="2"/>
      <c r="AG73" s="1"/>
      <c r="BG73" s="1"/>
      <c r="BS73" s="3"/>
      <c r="CC73" s="1"/>
      <c r="CE73" s="1"/>
      <c r="CF73" s="1"/>
      <c r="CJ73" s="1"/>
      <c r="DF73" s="2"/>
    </row>
    <row r="74" spans="1:110">
      <c r="A74" s="1"/>
      <c r="B74" s="4"/>
      <c r="C74" s="1"/>
      <c r="D74" s="1"/>
      <c r="E74" s="1"/>
      <c r="F74" s="1"/>
      <c r="G74" s="1"/>
      <c r="H74" s="2"/>
      <c r="I74" s="1"/>
      <c r="J74" s="1"/>
      <c r="K74" s="5"/>
      <c r="L74" s="6"/>
      <c r="Q74" s="5"/>
      <c r="R74" s="6"/>
      <c r="X74" s="2"/>
      <c r="Y74" s="1"/>
      <c r="AF74" s="2"/>
      <c r="AG74" s="1"/>
      <c r="BG74" s="1"/>
      <c r="BS74" s="3"/>
      <c r="CC74" s="1"/>
      <c r="CE74" s="1"/>
      <c r="CF74" s="1"/>
      <c r="CJ74" s="1"/>
      <c r="DF74" s="2"/>
    </row>
    <row r="75" spans="1:110">
      <c r="A75" s="1"/>
      <c r="B75" s="4"/>
      <c r="C75" s="1"/>
      <c r="D75" s="1"/>
      <c r="E75" s="1"/>
      <c r="F75" s="1"/>
      <c r="G75" s="1"/>
      <c r="H75" s="2"/>
      <c r="I75" s="1"/>
      <c r="J75" s="1"/>
      <c r="K75" s="5"/>
      <c r="L75" s="6"/>
      <c r="Q75" s="5"/>
      <c r="R75" s="6"/>
      <c r="X75" s="2"/>
      <c r="Y75" s="1"/>
      <c r="AF75" s="2"/>
      <c r="AG75" s="1"/>
      <c r="BG75" s="1"/>
      <c r="BS75" s="3"/>
      <c r="CC75" s="1"/>
      <c r="CE75" s="1"/>
      <c r="CF75" s="1"/>
      <c r="CJ75" s="1"/>
      <c r="DF75" s="2"/>
    </row>
    <row r="76" spans="1:110">
      <c r="A76" s="1"/>
      <c r="B76" s="4"/>
      <c r="C76" s="1"/>
      <c r="D76" s="1"/>
      <c r="E76" s="1"/>
      <c r="F76" s="1"/>
      <c r="G76" s="1"/>
      <c r="H76" s="2"/>
      <c r="I76" s="1"/>
      <c r="J76" s="1"/>
      <c r="K76" s="5"/>
      <c r="L76" s="6"/>
      <c r="Q76" s="5"/>
      <c r="R76" s="6"/>
      <c r="X76" s="2"/>
      <c r="Y76" s="1"/>
      <c r="AF76" s="2"/>
      <c r="AG76" s="1"/>
      <c r="BG76" s="1"/>
      <c r="BS76" s="3"/>
      <c r="CC76" s="1"/>
      <c r="CE76" s="1"/>
      <c r="CF76" s="1"/>
      <c r="CJ76" s="1"/>
      <c r="DF76" s="2"/>
    </row>
    <row r="77" spans="1:110">
      <c r="A77" s="1"/>
      <c r="B77" s="4"/>
      <c r="C77" s="1"/>
      <c r="D77" s="1"/>
      <c r="E77" s="1"/>
      <c r="F77" s="1"/>
      <c r="G77" s="1"/>
      <c r="H77" s="2"/>
      <c r="I77" s="1"/>
      <c r="J77" s="1"/>
      <c r="K77" s="5"/>
      <c r="L77" s="6"/>
      <c r="Q77" s="5"/>
      <c r="R77" s="6"/>
      <c r="X77" s="2"/>
      <c r="Y77" s="1"/>
      <c r="AF77" s="2"/>
      <c r="AG77" s="1"/>
      <c r="BG77" s="1"/>
      <c r="BS77" s="3"/>
      <c r="CC77" s="1"/>
      <c r="CE77" s="1"/>
      <c r="CF77" s="1"/>
      <c r="CJ77" s="1"/>
      <c r="DF77" s="2"/>
    </row>
    <row r="78" spans="1:110">
      <c r="A78" s="1"/>
      <c r="B78" s="4"/>
      <c r="C78" s="1"/>
      <c r="D78" s="1"/>
      <c r="E78" s="1"/>
      <c r="F78" s="1"/>
      <c r="G78" s="1"/>
      <c r="H78" s="2"/>
      <c r="I78" s="1"/>
      <c r="J78" s="1"/>
      <c r="K78" s="5"/>
      <c r="L78" s="6"/>
      <c r="Q78" s="5"/>
      <c r="R78" s="6"/>
      <c r="X78" s="2"/>
      <c r="Y78" s="1"/>
      <c r="AF78" s="2"/>
      <c r="AG78" s="1"/>
      <c r="BG78" s="1"/>
      <c r="BS78" s="3"/>
      <c r="CC78" s="1"/>
      <c r="CE78" s="1"/>
      <c r="CF78" s="1"/>
      <c r="CJ78" s="1"/>
      <c r="DF78" s="2"/>
    </row>
    <row r="79" spans="1:110">
      <c r="A79" s="1"/>
      <c r="B79" s="4"/>
      <c r="C79" s="1"/>
      <c r="D79" s="1"/>
      <c r="E79" s="1"/>
      <c r="F79" s="1"/>
      <c r="G79" s="1"/>
      <c r="H79" s="2"/>
      <c r="I79" s="1"/>
      <c r="J79" s="1"/>
      <c r="K79" s="5"/>
      <c r="L79" s="6"/>
      <c r="Q79" s="5"/>
      <c r="R79" s="6"/>
      <c r="X79" s="2"/>
      <c r="Y79" s="1"/>
      <c r="AF79" s="2"/>
      <c r="AG79" s="1"/>
      <c r="BG79" s="1"/>
      <c r="BS79" s="3"/>
      <c r="CC79" s="1"/>
      <c r="CE79" s="1"/>
      <c r="CF79" s="1"/>
      <c r="CJ79" s="1"/>
      <c r="DF79" s="2"/>
    </row>
    <row r="80" spans="1:110">
      <c r="A80" s="1"/>
      <c r="B80" s="4"/>
      <c r="C80" s="1"/>
      <c r="D80" s="1"/>
      <c r="E80" s="1"/>
      <c r="F80" s="1"/>
      <c r="G80" s="1"/>
      <c r="H80" s="2"/>
      <c r="I80" s="1"/>
      <c r="J80" s="1"/>
      <c r="K80" s="5"/>
      <c r="L80" s="6"/>
      <c r="Q80" s="5"/>
      <c r="R80" s="6"/>
      <c r="X80" s="2"/>
      <c r="Y80" s="1"/>
      <c r="AF80" s="2"/>
      <c r="AG80" s="1"/>
      <c r="BG80" s="1"/>
      <c r="BS80" s="3"/>
      <c r="CC80" s="1"/>
      <c r="CE80" s="1"/>
      <c r="CF80" s="1"/>
      <c r="CJ80" s="1"/>
      <c r="DF80" s="2"/>
    </row>
    <row r="81" spans="1:110">
      <c r="A81" s="1"/>
      <c r="B81" s="4"/>
      <c r="C81" s="1"/>
      <c r="D81" s="1"/>
      <c r="E81" s="1"/>
      <c r="F81" s="1"/>
      <c r="G81" s="1"/>
      <c r="H81" s="2"/>
      <c r="I81" s="1"/>
      <c r="J81" s="1"/>
      <c r="K81" s="5"/>
      <c r="L81" s="6"/>
      <c r="Q81" s="5"/>
      <c r="R81" s="6"/>
      <c r="X81" s="2"/>
      <c r="Y81" s="1"/>
      <c r="AF81" s="2"/>
      <c r="AG81" s="1"/>
      <c r="BG81" s="1"/>
      <c r="BS81" s="3"/>
      <c r="CC81" s="1"/>
      <c r="CE81" s="1"/>
      <c r="CF81" s="1"/>
      <c r="CJ81" s="1"/>
      <c r="DF81" s="2"/>
    </row>
    <row r="82" spans="1:110">
      <c r="A82" s="1"/>
      <c r="B82" s="4"/>
      <c r="C82" s="1"/>
      <c r="D82" s="1"/>
      <c r="E82" s="1"/>
      <c r="F82" s="1"/>
      <c r="G82" s="1"/>
      <c r="H82" s="2"/>
      <c r="I82" s="1"/>
      <c r="J82" s="1"/>
      <c r="K82" s="5"/>
      <c r="L82" s="6"/>
      <c r="Q82" s="5"/>
      <c r="R82" s="6"/>
      <c r="X82" s="2"/>
      <c r="Y82" s="1"/>
      <c r="AF82" s="2"/>
      <c r="AG82" s="1"/>
      <c r="BG82" s="1"/>
      <c r="BS82" s="3"/>
      <c r="CC82" s="1"/>
      <c r="CE82" s="1"/>
      <c r="CF82" s="1"/>
      <c r="CJ82" s="1"/>
      <c r="DF82" s="2"/>
    </row>
    <row r="83" spans="1:110">
      <c r="A83" s="1"/>
      <c r="B83" s="4"/>
      <c r="C83" s="1"/>
      <c r="D83" s="1"/>
      <c r="E83" s="1"/>
      <c r="F83" s="1"/>
      <c r="G83" s="1"/>
      <c r="H83" s="2"/>
      <c r="I83" s="1"/>
      <c r="J83" s="1"/>
      <c r="K83" s="5"/>
      <c r="L83" s="6"/>
      <c r="Q83" s="5"/>
      <c r="R83" s="6"/>
      <c r="X83" s="2"/>
      <c r="Y83" s="1"/>
      <c r="AF83" s="2"/>
      <c r="AG83" s="1"/>
      <c r="BG83" s="1"/>
      <c r="BS83" s="3"/>
      <c r="CC83" s="1"/>
      <c r="CE83" s="1"/>
      <c r="CF83" s="1"/>
      <c r="CJ83" s="1"/>
      <c r="DF83" s="2"/>
    </row>
    <row r="84" spans="1:110">
      <c r="A84" s="1"/>
      <c r="B84" s="4"/>
      <c r="C84" s="1"/>
      <c r="D84" s="1"/>
      <c r="E84" s="1"/>
      <c r="F84" s="1"/>
      <c r="G84" s="1"/>
      <c r="H84" s="2"/>
      <c r="I84" s="1"/>
      <c r="J84" s="1"/>
      <c r="K84" s="5"/>
      <c r="L84" s="6"/>
      <c r="Q84" s="5"/>
      <c r="R84" s="6"/>
      <c r="X84" s="2"/>
      <c r="Y84" s="1"/>
      <c r="AF84" s="2"/>
      <c r="AG84" s="1"/>
      <c r="BG84" s="1"/>
      <c r="BS84" s="3"/>
      <c r="CC84" s="1"/>
      <c r="CE84" s="1"/>
      <c r="CF84" s="1"/>
      <c r="CJ84" s="1"/>
      <c r="DF84" s="2"/>
    </row>
    <row r="85" spans="1:110">
      <c r="A85" s="1"/>
      <c r="B85" s="4"/>
      <c r="C85" s="1"/>
      <c r="D85" s="1"/>
      <c r="E85" s="1"/>
      <c r="F85" s="1"/>
      <c r="G85" s="1"/>
      <c r="H85" s="2"/>
      <c r="I85" s="1"/>
      <c r="J85" s="1"/>
      <c r="K85" s="5"/>
      <c r="L85" s="6"/>
      <c r="Q85" s="5"/>
      <c r="R85" s="6"/>
      <c r="X85" s="2"/>
      <c r="Y85" s="1"/>
      <c r="AF85" s="2"/>
      <c r="AG85" s="1"/>
      <c r="BG85" s="1"/>
      <c r="BS85" s="3"/>
      <c r="CC85" s="1"/>
      <c r="CE85" s="1"/>
      <c r="CF85" s="1"/>
      <c r="CJ85" s="1"/>
      <c r="DF85" s="2"/>
    </row>
    <row r="86" spans="1:110">
      <c r="A86" s="1"/>
      <c r="B86" s="4"/>
      <c r="C86" s="1"/>
      <c r="D86" s="1"/>
      <c r="E86" s="1"/>
      <c r="F86" s="1"/>
      <c r="G86" s="1"/>
      <c r="H86" s="2"/>
      <c r="I86" s="1"/>
      <c r="J86" s="1"/>
      <c r="K86" s="5"/>
      <c r="L86" s="6"/>
      <c r="Q86" s="5"/>
      <c r="R86" s="6"/>
      <c r="X86" s="2"/>
      <c r="Y86" s="1"/>
      <c r="AF86" s="2"/>
      <c r="AG86" s="1"/>
      <c r="BG86" s="1"/>
      <c r="BS86" s="3"/>
      <c r="CC86" s="1"/>
      <c r="CE86" s="1"/>
      <c r="CF86" s="1"/>
      <c r="CJ86" s="1"/>
      <c r="DF86" s="2"/>
    </row>
    <row r="87" spans="1:110">
      <c r="A87" s="1"/>
      <c r="B87" s="4"/>
      <c r="C87" s="1"/>
      <c r="D87" s="1"/>
      <c r="E87" s="1"/>
      <c r="F87" s="1"/>
      <c r="G87" s="1"/>
      <c r="H87" s="2"/>
      <c r="I87" s="1"/>
      <c r="J87" s="1"/>
      <c r="K87" s="5"/>
      <c r="L87" s="6"/>
      <c r="Q87" s="5"/>
      <c r="R87" s="6"/>
      <c r="X87" s="2"/>
      <c r="Y87" s="1"/>
      <c r="AF87" s="2"/>
      <c r="AG87" s="1"/>
      <c r="BG87" s="1"/>
      <c r="BS87" s="3"/>
      <c r="CC87" s="1"/>
      <c r="CE87" s="1"/>
      <c r="CF87" s="1"/>
      <c r="CJ87" s="1"/>
      <c r="DF87" s="2"/>
    </row>
    <row r="88" spans="1:110">
      <c r="A88" s="1"/>
      <c r="B88" s="4"/>
      <c r="C88" s="1"/>
      <c r="D88" s="1"/>
      <c r="E88" s="1"/>
      <c r="F88" s="1"/>
      <c r="G88" s="1"/>
      <c r="H88" s="2"/>
      <c r="I88" s="1"/>
      <c r="J88" s="1"/>
      <c r="K88" s="5"/>
      <c r="L88" s="6"/>
      <c r="Q88" s="5"/>
      <c r="R88" s="6"/>
      <c r="X88" s="2"/>
      <c r="Y88" s="1"/>
      <c r="AF88" s="2"/>
      <c r="AG88" s="1"/>
      <c r="BG88" s="1"/>
      <c r="BS88" s="3"/>
      <c r="CC88" s="1"/>
      <c r="CE88" s="1"/>
      <c r="CF88" s="1"/>
      <c r="CJ88" s="1"/>
      <c r="DF88" s="2"/>
    </row>
    <row r="89" spans="1:110">
      <c r="A89" s="1"/>
      <c r="B89" s="4"/>
      <c r="C89" s="1"/>
      <c r="D89" s="1"/>
      <c r="E89" s="1"/>
      <c r="F89" s="1"/>
      <c r="G89" s="1"/>
      <c r="H89" s="2"/>
      <c r="I89" s="1"/>
      <c r="J89" s="1"/>
      <c r="K89" s="5"/>
      <c r="L89" s="6"/>
      <c r="Q89" s="5"/>
      <c r="R89" s="6"/>
      <c r="X89" s="2"/>
      <c r="Y89" s="1"/>
      <c r="AF89" s="2"/>
      <c r="AG89" s="1"/>
      <c r="BG89" s="1"/>
      <c r="BS89" s="3"/>
      <c r="CC89" s="1"/>
      <c r="CE89" s="1"/>
      <c r="CF89" s="1"/>
      <c r="CJ89" s="1"/>
      <c r="DF89" s="2"/>
    </row>
    <row r="90" spans="1:110">
      <c r="A90" s="1"/>
      <c r="B90" s="4"/>
      <c r="C90" s="1"/>
      <c r="D90" s="1"/>
      <c r="E90" s="1"/>
      <c r="F90" s="1"/>
      <c r="G90" s="1"/>
      <c r="H90" s="2"/>
      <c r="I90" s="1"/>
      <c r="J90" s="1"/>
      <c r="K90" s="5"/>
      <c r="L90" s="6"/>
      <c r="Q90" s="5"/>
      <c r="R90" s="6"/>
      <c r="X90" s="2"/>
      <c r="Y90" s="1"/>
      <c r="AF90" s="2"/>
      <c r="AG90" s="1"/>
      <c r="BG90" s="1"/>
      <c r="BS90" s="3"/>
      <c r="CC90" s="1"/>
      <c r="CE90" s="1"/>
      <c r="CF90" s="1"/>
      <c r="CJ90" s="1"/>
      <c r="DF90" s="2"/>
    </row>
    <row r="91" spans="1:110">
      <c r="A91" s="1"/>
      <c r="B91" s="4"/>
      <c r="C91" s="1"/>
      <c r="D91" s="1"/>
      <c r="E91" s="1"/>
      <c r="F91" s="1"/>
      <c r="G91" s="1"/>
      <c r="H91" s="2"/>
      <c r="I91" s="1"/>
      <c r="J91" s="1"/>
      <c r="K91" s="5"/>
      <c r="L91" s="6"/>
      <c r="Q91" s="5"/>
      <c r="R91" s="6"/>
      <c r="X91" s="2"/>
      <c r="Y91" s="1"/>
      <c r="AF91" s="2"/>
      <c r="AG91" s="1"/>
      <c r="BG91" s="1"/>
      <c r="BS91" s="3"/>
      <c r="CC91" s="1"/>
      <c r="CE91" s="1"/>
      <c r="CF91" s="1"/>
      <c r="CJ91" s="1"/>
      <c r="DF91" s="2"/>
    </row>
    <row r="92" spans="1:110">
      <c r="A92" s="1"/>
      <c r="B92" s="4"/>
      <c r="C92" s="1"/>
      <c r="D92" s="1"/>
      <c r="E92" s="1"/>
      <c r="F92" s="1"/>
      <c r="G92" s="1"/>
      <c r="H92" s="2"/>
      <c r="I92" s="1"/>
      <c r="J92" s="1"/>
      <c r="K92" s="5"/>
      <c r="L92" s="6"/>
      <c r="Q92" s="5"/>
      <c r="R92" s="6"/>
      <c r="X92" s="2"/>
      <c r="Y92" s="1"/>
      <c r="AF92" s="2"/>
      <c r="AG92" s="1"/>
      <c r="BG92" s="1"/>
      <c r="BS92" s="3"/>
      <c r="CC92" s="1"/>
      <c r="CE92" s="1"/>
      <c r="CF92" s="1"/>
      <c r="CJ92" s="1"/>
      <c r="DF92" s="2"/>
    </row>
    <row r="93" spans="1:110">
      <c r="A93" s="1"/>
      <c r="B93" s="4"/>
      <c r="C93" s="1"/>
      <c r="D93" s="1"/>
      <c r="E93" s="1"/>
      <c r="F93" s="1"/>
      <c r="G93" s="1"/>
      <c r="H93" s="2"/>
      <c r="I93" s="1"/>
      <c r="J93" s="1"/>
      <c r="K93" s="5"/>
      <c r="L93" s="6"/>
      <c r="Q93" s="5"/>
      <c r="R93" s="6"/>
      <c r="X93" s="2"/>
      <c r="Y93" s="1"/>
      <c r="AF93" s="2"/>
      <c r="AG93" s="1"/>
      <c r="BG93" s="1"/>
      <c r="BS93" s="3"/>
      <c r="CC93" s="1"/>
      <c r="CE93" s="1"/>
      <c r="CF93" s="1"/>
      <c r="CJ93" s="1"/>
      <c r="DF93" s="2"/>
    </row>
    <row r="94" spans="1:110">
      <c r="A94" s="1"/>
      <c r="B94" s="4"/>
      <c r="C94" s="1"/>
      <c r="D94" s="1"/>
      <c r="E94" s="1"/>
      <c r="F94" s="1"/>
      <c r="G94" s="1"/>
      <c r="H94" s="2"/>
      <c r="I94" s="1"/>
      <c r="J94" s="1"/>
      <c r="K94" s="5"/>
      <c r="L94" s="6"/>
      <c r="Q94" s="5"/>
      <c r="R94" s="6"/>
      <c r="X94" s="2"/>
      <c r="Y94" s="1"/>
      <c r="AF94" s="2"/>
      <c r="AG94" s="1"/>
      <c r="BG94" s="1"/>
      <c r="BS94" s="3"/>
      <c r="CC94" s="1"/>
      <c r="CE94" s="1"/>
      <c r="CF94" s="1"/>
      <c r="CJ94" s="1"/>
      <c r="DF94" s="2"/>
    </row>
    <row r="95" spans="1:110">
      <c r="A95" s="1"/>
      <c r="B95" s="4"/>
      <c r="C95" s="1"/>
      <c r="D95" s="1"/>
      <c r="E95" s="1"/>
      <c r="F95" s="1"/>
      <c r="G95" s="1"/>
      <c r="H95" s="2"/>
      <c r="I95" s="1"/>
      <c r="J95" s="1"/>
      <c r="K95" s="5"/>
      <c r="L95" s="6"/>
      <c r="Q95" s="5"/>
      <c r="R95" s="6"/>
      <c r="X95" s="2"/>
      <c r="Y95" s="1"/>
      <c r="AF95" s="2"/>
      <c r="AG95" s="1"/>
      <c r="BG95" s="1"/>
      <c r="BS95" s="3"/>
      <c r="CC95" s="1"/>
      <c r="CE95" s="1"/>
      <c r="CF95" s="1"/>
      <c r="CJ95" s="1"/>
      <c r="DF95" s="2"/>
    </row>
    <row r="96" spans="1:110">
      <c r="A96" s="1"/>
      <c r="B96" s="4"/>
      <c r="C96" s="1"/>
      <c r="D96" s="1"/>
      <c r="E96" s="1"/>
      <c r="F96" s="1"/>
      <c r="G96" s="1"/>
      <c r="H96" s="2"/>
      <c r="I96" s="1"/>
      <c r="J96" s="1"/>
      <c r="K96" s="5"/>
      <c r="L96" s="6"/>
      <c r="Q96" s="5"/>
      <c r="R96" s="6"/>
      <c r="X96" s="2"/>
      <c r="Y96" s="1"/>
      <c r="AF96" s="2"/>
      <c r="AG96" s="1"/>
      <c r="BG96" s="1"/>
      <c r="BS96" s="3"/>
      <c r="CC96" s="1"/>
      <c r="CE96" s="1"/>
      <c r="CF96" s="1"/>
      <c r="CJ96" s="1"/>
      <c r="DF96" s="2"/>
    </row>
    <row r="97" spans="1:110">
      <c r="A97" s="1"/>
      <c r="B97" s="4"/>
      <c r="C97" s="1"/>
      <c r="D97" s="1"/>
      <c r="E97" s="1"/>
      <c r="F97" s="1"/>
      <c r="G97" s="1"/>
      <c r="H97" s="2"/>
      <c r="I97" s="1"/>
      <c r="J97" s="1"/>
      <c r="K97" s="5"/>
      <c r="L97" s="6"/>
      <c r="Q97" s="5"/>
      <c r="R97" s="6"/>
      <c r="X97" s="2"/>
      <c r="Y97" s="1"/>
      <c r="AF97" s="2"/>
      <c r="AG97" s="1"/>
      <c r="BG97" s="1"/>
      <c r="BS97" s="3"/>
      <c r="CC97" s="1"/>
      <c r="CE97" s="1"/>
      <c r="CF97" s="1"/>
      <c r="CJ97" s="1"/>
      <c r="DF97" s="2"/>
    </row>
    <row r="98" spans="1:110">
      <c r="A98" s="1"/>
      <c r="B98" s="4"/>
      <c r="C98" s="1"/>
      <c r="D98" s="1"/>
      <c r="E98" s="1"/>
      <c r="F98" s="1"/>
      <c r="G98" s="1"/>
      <c r="H98" s="2"/>
      <c r="I98" s="1"/>
      <c r="J98" s="1"/>
      <c r="K98" s="5"/>
      <c r="L98" s="6"/>
      <c r="Q98" s="5"/>
      <c r="R98" s="6"/>
      <c r="X98" s="2"/>
      <c r="Y98" s="1"/>
      <c r="AF98" s="2"/>
      <c r="AG98" s="1"/>
      <c r="BG98" s="1"/>
      <c r="BS98" s="3"/>
      <c r="CC98" s="1"/>
      <c r="CE98" s="1"/>
      <c r="CF98" s="1"/>
      <c r="CJ98" s="1"/>
      <c r="DF98" s="2"/>
    </row>
    <row r="99" spans="1:110">
      <c r="A99" s="1"/>
      <c r="B99" s="4"/>
      <c r="C99" s="1"/>
      <c r="D99" s="1"/>
      <c r="E99" s="1"/>
      <c r="F99" s="1"/>
      <c r="G99" s="1"/>
      <c r="H99" s="2"/>
      <c r="I99" s="1"/>
      <c r="J99" s="1"/>
      <c r="K99" s="5"/>
      <c r="L99" s="6"/>
      <c r="Q99" s="5"/>
      <c r="R99" s="6"/>
      <c r="X99" s="2"/>
      <c r="Y99" s="1"/>
      <c r="AF99" s="2"/>
      <c r="AG99" s="1"/>
      <c r="BG99" s="1"/>
      <c r="BS99" s="3"/>
      <c r="CC99" s="1"/>
      <c r="CE99" s="1"/>
      <c r="CF99" s="1"/>
      <c r="CJ99" s="1"/>
      <c r="DF99" s="2"/>
    </row>
    <row r="100" spans="1:110">
      <c r="A100" s="1"/>
      <c r="B100" s="4"/>
      <c r="C100" s="1"/>
      <c r="D100" s="1"/>
      <c r="E100" s="1"/>
      <c r="F100" s="1"/>
      <c r="G100" s="1"/>
      <c r="H100" s="2"/>
      <c r="I100" s="1"/>
      <c r="J100" s="1"/>
      <c r="K100" s="5"/>
      <c r="L100" s="6"/>
      <c r="Q100" s="5"/>
      <c r="R100" s="6"/>
      <c r="X100" s="2"/>
      <c r="Y100" s="1"/>
      <c r="AF100" s="2"/>
      <c r="AG100" s="1"/>
      <c r="BG100" s="1"/>
      <c r="BS100" s="3"/>
      <c r="CC100" s="1"/>
      <c r="CE100" s="1"/>
      <c r="CF100" s="1"/>
      <c r="CJ100" s="1"/>
      <c r="DF100" s="2"/>
    </row>
    <row r="101" spans="1:110">
      <c r="A101" s="1"/>
      <c r="B101" s="4"/>
      <c r="C101" s="1"/>
      <c r="D101" s="1"/>
      <c r="E101" s="1"/>
      <c r="F101" s="1"/>
      <c r="G101" s="1"/>
      <c r="H101" s="2"/>
      <c r="I101" s="1"/>
      <c r="J101" s="1"/>
      <c r="K101" s="5"/>
      <c r="L101" s="6"/>
      <c r="Q101" s="5"/>
      <c r="R101" s="6"/>
      <c r="X101" s="2"/>
      <c r="Y101" s="1"/>
      <c r="AF101" s="2"/>
      <c r="AG101" s="1"/>
      <c r="BG101" s="1"/>
      <c r="BS101" s="3"/>
      <c r="CC101" s="1"/>
      <c r="CE101" s="1"/>
      <c r="CF101" s="1"/>
      <c r="CJ101" s="1"/>
      <c r="DF101" s="2"/>
    </row>
    <row r="102" spans="1:110">
      <c r="A102" s="1"/>
      <c r="B102" s="4"/>
      <c r="C102" s="1"/>
      <c r="D102" s="1"/>
      <c r="E102" s="1"/>
      <c r="F102" s="1"/>
      <c r="G102" s="1"/>
      <c r="H102" s="2"/>
      <c r="I102" s="1"/>
      <c r="J102" s="1"/>
      <c r="K102" s="5"/>
      <c r="L102" s="6"/>
      <c r="Q102" s="5"/>
      <c r="R102" s="6"/>
      <c r="X102" s="2"/>
      <c r="Y102" s="1"/>
      <c r="AF102" s="2"/>
      <c r="AG102" s="1"/>
      <c r="BG102" s="1"/>
      <c r="BS102" s="3"/>
      <c r="CC102" s="1"/>
      <c r="CE102" s="1"/>
      <c r="CF102" s="1"/>
      <c r="CJ102" s="1"/>
      <c r="DF102" s="2"/>
    </row>
    <row r="103" spans="1:110">
      <c r="A103" s="1"/>
      <c r="B103" s="4"/>
      <c r="C103" s="1"/>
      <c r="D103" s="1"/>
      <c r="E103" s="1"/>
      <c r="F103" s="1"/>
      <c r="G103" s="1"/>
      <c r="H103" s="2"/>
      <c r="I103" s="1"/>
      <c r="J103" s="1"/>
      <c r="K103" s="5"/>
      <c r="L103" s="6"/>
      <c r="Q103" s="5"/>
      <c r="R103" s="6"/>
      <c r="X103" s="2"/>
      <c r="Y103" s="1"/>
      <c r="AF103" s="2"/>
      <c r="AG103" s="1"/>
      <c r="BG103" s="1"/>
      <c r="BS103" s="3"/>
      <c r="CC103" s="1"/>
      <c r="CE103" s="1"/>
      <c r="CF103" s="1"/>
      <c r="CJ103" s="1"/>
      <c r="DF103" s="2"/>
    </row>
    <row r="104" spans="1:110">
      <c r="A104" s="1"/>
      <c r="B104" s="4"/>
      <c r="C104" s="1"/>
      <c r="D104" s="1"/>
      <c r="E104" s="1"/>
      <c r="F104" s="1"/>
      <c r="G104" s="1"/>
      <c r="H104" s="2"/>
      <c r="I104" s="1"/>
      <c r="J104" s="1"/>
      <c r="K104" s="5"/>
      <c r="L104" s="6"/>
      <c r="Q104" s="5"/>
      <c r="R104" s="6"/>
      <c r="X104" s="2"/>
      <c r="Y104" s="1"/>
      <c r="AF104" s="2"/>
      <c r="AG104" s="1"/>
      <c r="BG104" s="1"/>
      <c r="BS104" s="3"/>
      <c r="CC104" s="1"/>
      <c r="CE104" s="1"/>
      <c r="CF104" s="1"/>
      <c r="CJ104" s="1"/>
      <c r="DF104" s="2"/>
    </row>
    <row r="105" spans="1:110">
      <c r="A105" s="1"/>
      <c r="B105" s="4"/>
      <c r="C105" s="1"/>
      <c r="D105" s="1"/>
      <c r="E105" s="1"/>
      <c r="F105" s="1"/>
      <c r="G105" s="1"/>
      <c r="H105" s="2"/>
      <c r="I105" s="1"/>
      <c r="J105" s="1"/>
      <c r="K105" s="5"/>
      <c r="L105" s="6"/>
      <c r="Q105" s="5"/>
      <c r="R105" s="6"/>
      <c r="X105" s="2"/>
      <c r="Y105" s="1"/>
      <c r="AF105" s="2"/>
      <c r="AG105" s="1"/>
      <c r="BG105" s="1"/>
      <c r="BS105" s="3"/>
      <c r="CC105" s="1"/>
      <c r="CE105" s="1"/>
      <c r="CF105" s="1"/>
      <c r="CJ105" s="1"/>
      <c r="DF105" s="2"/>
    </row>
    <row r="106" spans="1:110">
      <c r="A106" s="1"/>
      <c r="B106" s="4"/>
      <c r="C106" s="1"/>
      <c r="D106" s="1"/>
      <c r="E106" s="1"/>
      <c r="F106" s="1"/>
      <c r="G106" s="1"/>
      <c r="H106" s="2"/>
      <c r="I106" s="1"/>
      <c r="J106" s="1"/>
      <c r="K106" s="5"/>
      <c r="L106" s="6"/>
      <c r="Q106" s="5"/>
      <c r="R106" s="6"/>
      <c r="X106" s="2"/>
      <c r="Y106" s="1"/>
      <c r="AF106" s="2"/>
      <c r="AG106" s="1"/>
      <c r="BG106" s="1"/>
      <c r="BS106" s="3"/>
      <c r="CC106" s="1"/>
      <c r="CE106" s="1"/>
      <c r="CF106" s="1"/>
      <c r="CJ106" s="1"/>
      <c r="DF106" s="2"/>
    </row>
    <row r="107" spans="1:110">
      <c r="A107" s="1"/>
      <c r="B107" s="4"/>
      <c r="C107" s="1"/>
      <c r="D107" s="1"/>
      <c r="E107" s="1"/>
      <c r="F107" s="1"/>
      <c r="G107" s="1"/>
      <c r="H107" s="2"/>
      <c r="I107" s="1"/>
      <c r="J107" s="1"/>
      <c r="K107" s="5"/>
      <c r="L107" s="6"/>
      <c r="Q107" s="5"/>
      <c r="R107" s="6"/>
      <c r="X107" s="2"/>
      <c r="Y107" s="1"/>
      <c r="AF107" s="2"/>
      <c r="AG107" s="1"/>
      <c r="BG107" s="1"/>
      <c r="BS107" s="3"/>
      <c r="CC107" s="1"/>
      <c r="CE107" s="1"/>
      <c r="CF107" s="1"/>
      <c r="CJ107" s="1"/>
      <c r="DF107" s="2"/>
    </row>
    <row r="108" spans="1:110">
      <c r="A108" s="1"/>
      <c r="B108" s="4"/>
      <c r="C108" s="1"/>
      <c r="D108" s="1"/>
      <c r="E108" s="1"/>
      <c r="F108" s="1"/>
      <c r="G108" s="1"/>
      <c r="H108" s="2"/>
      <c r="I108" s="1"/>
      <c r="J108" s="1"/>
      <c r="K108" s="5"/>
      <c r="L108" s="6"/>
      <c r="Q108" s="5"/>
      <c r="R108" s="6"/>
      <c r="X108" s="2"/>
      <c r="Y108" s="1"/>
      <c r="AF108" s="2"/>
      <c r="AG108" s="1"/>
      <c r="BG108" s="1"/>
      <c r="BS108" s="3"/>
      <c r="CC108" s="1"/>
      <c r="CE108" s="1"/>
      <c r="CF108" s="1"/>
      <c r="CJ108" s="1"/>
      <c r="DF108" s="2"/>
    </row>
    <row r="109" spans="1:110">
      <c r="A109" s="1"/>
      <c r="B109" s="4"/>
      <c r="C109" s="1"/>
      <c r="D109" s="1"/>
      <c r="E109" s="1"/>
      <c r="F109" s="1"/>
      <c r="G109" s="1"/>
      <c r="H109" s="2"/>
      <c r="I109" s="1"/>
      <c r="J109" s="1"/>
      <c r="K109" s="5"/>
      <c r="L109" s="6"/>
      <c r="Q109" s="5"/>
      <c r="R109" s="6"/>
      <c r="X109" s="2"/>
      <c r="Y109" s="1"/>
      <c r="AF109" s="2"/>
      <c r="AG109" s="1"/>
      <c r="BG109" s="1"/>
      <c r="BS109" s="3"/>
      <c r="CC109" s="1"/>
      <c r="CE109" s="1"/>
      <c r="CF109" s="1"/>
      <c r="CJ109" s="1"/>
      <c r="DF109" s="2"/>
    </row>
    <row r="110" spans="1:110">
      <c r="A110" s="1"/>
      <c r="B110" s="4"/>
      <c r="C110" s="1"/>
      <c r="D110" s="1"/>
      <c r="E110" s="1"/>
      <c r="F110" s="1"/>
      <c r="G110" s="1"/>
      <c r="H110" s="2"/>
      <c r="I110" s="1"/>
      <c r="J110" s="1"/>
      <c r="K110" s="5"/>
      <c r="L110" s="6"/>
      <c r="Q110" s="5"/>
      <c r="R110" s="6"/>
      <c r="X110" s="2"/>
      <c r="Y110" s="1"/>
      <c r="AF110" s="2"/>
      <c r="AG110" s="1"/>
      <c r="BG110" s="1"/>
      <c r="BS110" s="3"/>
      <c r="CC110" s="1"/>
      <c r="CE110" s="1"/>
      <c r="CF110" s="1"/>
      <c r="CJ110" s="1"/>
      <c r="DF110" s="2"/>
    </row>
    <row r="111" spans="1:110">
      <c r="A111" s="1"/>
      <c r="B111" s="4"/>
      <c r="C111" s="1"/>
      <c r="D111" s="1"/>
      <c r="E111" s="1"/>
      <c r="F111" s="1"/>
      <c r="G111" s="1"/>
      <c r="H111" s="2"/>
      <c r="I111" s="1"/>
      <c r="J111" s="1"/>
      <c r="K111" s="5"/>
      <c r="L111" s="6"/>
      <c r="Q111" s="5"/>
      <c r="R111" s="6"/>
      <c r="X111" s="2"/>
      <c r="Y111" s="1"/>
      <c r="AF111" s="2"/>
      <c r="AG111" s="1"/>
      <c r="BG111" s="1"/>
      <c r="BS111" s="3"/>
      <c r="CC111" s="1"/>
      <c r="CE111" s="1"/>
      <c r="CF111" s="1"/>
      <c r="CJ111" s="1"/>
      <c r="DF111" s="2"/>
    </row>
    <row r="112" spans="1:110">
      <c r="A112" s="1"/>
      <c r="B112" s="4"/>
      <c r="C112" s="1"/>
      <c r="D112" s="1"/>
      <c r="E112" s="1"/>
      <c r="F112" s="1"/>
      <c r="G112" s="1"/>
      <c r="H112" s="2"/>
      <c r="I112" s="1"/>
      <c r="J112" s="1"/>
      <c r="K112" s="5"/>
      <c r="L112" s="6"/>
      <c r="Q112" s="5"/>
      <c r="R112" s="6"/>
      <c r="X112" s="2"/>
      <c r="Y112" s="1"/>
      <c r="AF112" s="2"/>
      <c r="AG112" s="1"/>
      <c r="BG112" s="1"/>
      <c r="BS112" s="3"/>
      <c r="CC112" s="1"/>
      <c r="CE112" s="1"/>
      <c r="CF112" s="1"/>
      <c r="CJ112" s="1"/>
      <c r="DF112" s="2"/>
    </row>
    <row r="113" spans="1:110">
      <c r="A113" s="1"/>
      <c r="B113" s="4"/>
      <c r="C113" s="1"/>
      <c r="D113" s="1"/>
      <c r="E113" s="1"/>
      <c r="F113" s="1"/>
      <c r="G113" s="1"/>
      <c r="H113" s="2"/>
      <c r="I113" s="1"/>
      <c r="J113" s="1"/>
      <c r="K113" s="5"/>
      <c r="L113" s="6"/>
      <c r="Q113" s="5"/>
      <c r="R113" s="6"/>
      <c r="X113" s="2"/>
      <c r="Y113" s="1"/>
      <c r="AF113" s="2"/>
      <c r="AG113" s="1"/>
      <c r="BG113" s="1"/>
      <c r="BS113" s="3"/>
      <c r="CC113" s="1"/>
      <c r="CE113" s="1"/>
      <c r="CF113" s="1"/>
      <c r="CJ113" s="1"/>
      <c r="DF113" s="2"/>
    </row>
    <row r="114" spans="1:110">
      <c r="A114" s="1"/>
      <c r="B114" s="4"/>
      <c r="C114" s="1"/>
      <c r="D114" s="1"/>
      <c r="E114" s="1"/>
      <c r="F114" s="1"/>
      <c r="G114" s="1"/>
      <c r="H114" s="2"/>
      <c r="I114" s="1"/>
      <c r="J114" s="1"/>
      <c r="K114" s="5"/>
      <c r="L114" s="6"/>
      <c r="Q114" s="5"/>
      <c r="R114" s="6"/>
      <c r="X114" s="2"/>
      <c r="Y114" s="1"/>
      <c r="AF114" s="2"/>
      <c r="AG114" s="1"/>
      <c r="BG114" s="1"/>
      <c r="BS114" s="3"/>
      <c r="CC114" s="1"/>
      <c r="CE114" s="1"/>
      <c r="CF114" s="1"/>
      <c r="CJ114" s="1"/>
      <c r="DF114" s="2"/>
    </row>
    <row r="115" spans="1:110">
      <c r="A115" s="1"/>
      <c r="B115" s="4"/>
      <c r="C115" s="1"/>
      <c r="D115" s="1"/>
      <c r="E115" s="1"/>
      <c r="F115" s="1"/>
      <c r="G115" s="1"/>
      <c r="H115" s="2"/>
      <c r="I115" s="1"/>
      <c r="J115" s="1"/>
      <c r="K115" s="5"/>
      <c r="L115" s="6"/>
      <c r="Q115" s="5"/>
      <c r="R115" s="6"/>
      <c r="X115" s="2"/>
      <c r="Y115" s="1"/>
      <c r="AF115" s="2"/>
      <c r="AG115" s="1"/>
      <c r="BG115" s="1"/>
      <c r="BS115" s="3"/>
      <c r="CC115" s="1"/>
      <c r="CE115" s="1"/>
      <c r="CF115" s="1"/>
      <c r="CJ115" s="1"/>
      <c r="DF115" s="2"/>
    </row>
    <row r="116" spans="1:110">
      <c r="A116" s="1"/>
      <c r="B116" s="4"/>
      <c r="C116" s="1"/>
      <c r="D116" s="1"/>
      <c r="E116" s="1"/>
      <c r="F116" s="1"/>
      <c r="G116" s="1"/>
      <c r="H116" s="2"/>
      <c r="I116" s="1"/>
      <c r="J116" s="1"/>
      <c r="K116" s="5"/>
      <c r="L116" s="6"/>
      <c r="Q116" s="5"/>
      <c r="R116" s="6"/>
      <c r="X116" s="2"/>
      <c r="Y116" s="1"/>
      <c r="AF116" s="2"/>
      <c r="AG116" s="1"/>
      <c r="BG116" s="1"/>
      <c r="BS116" s="3"/>
      <c r="CC116" s="1"/>
      <c r="CE116" s="1"/>
      <c r="CF116" s="1"/>
      <c r="CJ116" s="1"/>
      <c r="DF116" s="2"/>
    </row>
    <row r="117" spans="1:110">
      <c r="A117" s="1"/>
      <c r="B117" s="4"/>
      <c r="C117" s="1"/>
      <c r="D117" s="1"/>
      <c r="E117" s="1"/>
      <c r="F117" s="1"/>
      <c r="G117" s="1"/>
      <c r="H117" s="2"/>
      <c r="I117" s="1"/>
      <c r="J117" s="1"/>
      <c r="K117" s="5"/>
      <c r="L117" s="6"/>
      <c r="Q117" s="5"/>
      <c r="R117" s="6"/>
      <c r="X117" s="2"/>
      <c r="Y117" s="1"/>
      <c r="AF117" s="2"/>
      <c r="AG117" s="1"/>
      <c r="BG117" s="1"/>
      <c r="BS117" s="3"/>
      <c r="CC117" s="1"/>
      <c r="CE117" s="1"/>
      <c r="CF117" s="1"/>
      <c r="CJ117" s="1"/>
      <c r="DF117" s="2"/>
    </row>
    <row r="118" spans="1:110">
      <c r="A118" s="1"/>
      <c r="B118" s="4"/>
      <c r="C118" s="1"/>
      <c r="D118" s="1"/>
      <c r="E118" s="1"/>
      <c r="F118" s="1"/>
      <c r="G118" s="1"/>
      <c r="H118" s="2"/>
      <c r="I118" s="1"/>
      <c r="J118" s="1"/>
      <c r="K118" s="5"/>
      <c r="L118" s="6"/>
      <c r="Q118" s="5"/>
      <c r="R118" s="6"/>
      <c r="X118" s="2"/>
      <c r="Y118" s="1"/>
      <c r="AF118" s="2"/>
      <c r="AG118" s="1"/>
      <c r="BG118" s="1"/>
      <c r="BS118" s="3"/>
      <c r="CC118" s="1"/>
      <c r="CE118" s="1"/>
      <c r="CF118" s="1"/>
      <c r="CJ118" s="1"/>
      <c r="DF118" s="2"/>
    </row>
    <row r="119" spans="1:110">
      <c r="A119" s="1"/>
      <c r="B119" s="4"/>
      <c r="C119" s="1"/>
      <c r="D119" s="1"/>
      <c r="E119" s="1"/>
      <c r="F119" s="1"/>
      <c r="G119" s="1"/>
      <c r="H119" s="2"/>
      <c r="I119" s="1"/>
      <c r="J119" s="1"/>
      <c r="K119" s="5"/>
      <c r="L119" s="6"/>
      <c r="Q119" s="5"/>
      <c r="R119" s="6"/>
      <c r="X119" s="2"/>
      <c r="Y119" s="1"/>
      <c r="AF119" s="2"/>
      <c r="AG119" s="1"/>
      <c r="BG119" s="1"/>
      <c r="BS119" s="3"/>
      <c r="CC119" s="1"/>
      <c r="CE119" s="1"/>
      <c r="CF119" s="1"/>
      <c r="CJ119" s="1"/>
      <c r="DF119" s="2"/>
    </row>
    <row r="120" spans="1:110">
      <c r="A120" s="1"/>
      <c r="B120" s="4"/>
      <c r="C120" s="1"/>
      <c r="D120" s="1"/>
      <c r="E120" s="1"/>
      <c r="F120" s="1"/>
      <c r="G120" s="1"/>
      <c r="H120" s="2"/>
      <c r="I120" s="1"/>
      <c r="J120" s="1"/>
      <c r="K120" s="5"/>
      <c r="L120" s="6"/>
      <c r="Q120" s="5"/>
      <c r="R120" s="6"/>
      <c r="X120" s="2"/>
      <c r="Y120" s="1"/>
      <c r="AF120" s="2"/>
      <c r="AG120" s="1"/>
      <c r="BG120" s="1"/>
      <c r="BS120" s="3"/>
      <c r="CC120" s="1"/>
      <c r="CE120" s="1"/>
      <c r="CF120" s="1"/>
      <c r="CJ120" s="1"/>
      <c r="DF120" s="2"/>
    </row>
    <row r="121" spans="1:110">
      <c r="A121" s="1"/>
      <c r="B121" s="4"/>
      <c r="C121" s="1"/>
      <c r="D121" s="1"/>
      <c r="E121" s="1"/>
      <c r="F121" s="1"/>
      <c r="G121" s="1"/>
      <c r="H121" s="2"/>
      <c r="I121" s="1"/>
      <c r="J121" s="1"/>
      <c r="K121" s="5"/>
      <c r="L121" s="6"/>
      <c r="Q121" s="5"/>
      <c r="R121" s="6"/>
      <c r="X121" s="2"/>
      <c r="Y121" s="1"/>
      <c r="AF121" s="2"/>
      <c r="AG121" s="1"/>
      <c r="BG121" s="1"/>
      <c r="BS121" s="3"/>
      <c r="CC121" s="1"/>
      <c r="CE121" s="1"/>
      <c r="CF121" s="1"/>
      <c r="CJ121" s="1"/>
      <c r="DF121" s="2"/>
    </row>
    <row r="122" spans="1:110">
      <c r="A122" s="1"/>
      <c r="B122" s="4"/>
      <c r="C122" s="1"/>
      <c r="D122" s="1"/>
      <c r="E122" s="1"/>
      <c r="F122" s="1"/>
      <c r="G122" s="1"/>
      <c r="H122" s="2"/>
      <c r="I122" s="1"/>
      <c r="J122" s="1"/>
      <c r="K122" s="5"/>
      <c r="L122" s="6"/>
      <c r="Q122" s="5"/>
      <c r="R122" s="6"/>
      <c r="X122" s="2"/>
      <c r="Y122" s="1"/>
      <c r="AF122" s="2"/>
      <c r="AG122" s="1"/>
      <c r="BG122" s="1"/>
      <c r="BS122" s="3"/>
      <c r="CC122" s="1"/>
      <c r="CE122" s="1"/>
      <c r="CF122" s="1"/>
      <c r="CJ122" s="1"/>
      <c r="DF122" s="2"/>
    </row>
    <row r="123" spans="1:110">
      <c r="A123" s="1"/>
      <c r="B123" s="4"/>
      <c r="C123" s="1"/>
      <c r="D123" s="1"/>
      <c r="E123" s="1"/>
      <c r="F123" s="1"/>
      <c r="G123" s="1"/>
      <c r="H123" s="2"/>
      <c r="I123" s="1"/>
      <c r="J123" s="1"/>
      <c r="K123" s="5"/>
      <c r="L123" s="6"/>
      <c r="Q123" s="5"/>
      <c r="R123" s="6"/>
      <c r="X123" s="2"/>
      <c r="Y123" s="1"/>
      <c r="AF123" s="2"/>
      <c r="AG123" s="1"/>
      <c r="BG123" s="1"/>
      <c r="BS123" s="3"/>
      <c r="CC123" s="1"/>
      <c r="CE123" s="1"/>
      <c r="CF123" s="1"/>
      <c r="CJ123" s="1"/>
      <c r="DF123" s="2"/>
    </row>
    <row r="124" spans="1:110">
      <c r="A124" s="1"/>
      <c r="B124" s="4"/>
      <c r="C124" s="1"/>
      <c r="D124" s="1"/>
      <c r="E124" s="1"/>
      <c r="F124" s="1"/>
      <c r="G124" s="1"/>
      <c r="H124" s="2"/>
      <c r="I124" s="1"/>
      <c r="J124" s="1"/>
      <c r="K124" s="5"/>
      <c r="L124" s="6"/>
      <c r="Q124" s="5"/>
      <c r="R124" s="6"/>
      <c r="X124" s="2"/>
      <c r="Y124" s="1"/>
      <c r="AF124" s="2"/>
      <c r="AG124" s="1"/>
      <c r="BG124" s="1"/>
      <c r="BS124" s="3"/>
      <c r="CC124" s="1"/>
      <c r="CE124" s="1"/>
      <c r="CF124" s="1"/>
      <c r="CJ124" s="1"/>
      <c r="DF124" s="2"/>
    </row>
    <row r="125" spans="1:110">
      <c r="A125" s="1"/>
      <c r="B125" s="4"/>
      <c r="C125" s="1"/>
      <c r="D125" s="1"/>
      <c r="E125" s="1"/>
      <c r="F125" s="1"/>
      <c r="G125" s="1"/>
      <c r="H125" s="2"/>
      <c r="I125" s="1"/>
      <c r="J125" s="1"/>
      <c r="K125" s="5"/>
      <c r="L125" s="6"/>
      <c r="Q125" s="5"/>
      <c r="R125" s="6"/>
      <c r="X125" s="2"/>
      <c r="Y125" s="1"/>
      <c r="AF125" s="2"/>
      <c r="AG125" s="1"/>
      <c r="BG125" s="1"/>
      <c r="BS125" s="3"/>
      <c r="CC125" s="1"/>
      <c r="CE125" s="1"/>
      <c r="CF125" s="1"/>
      <c r="CJ125" s="1"/>
      <c r="DF125" s="2"/>
    </row>
    <row r="126" spans="1:110">
      <c r="A126" s="1"/>
      <c r="B126" s="4"/>
      <c r="C126" s="1"/>
      <c r="D126" s="1"/>
      <c r="E126" s="1"/>
      <c r="F126" s="1"/>
      <c r="G126" s="1"/>
      <c r="H126" s="2"/>
      <c r="I126" s="1"/>
      <c r="J126" s="1"/>
      <c r="K126" s="5"/>
      <c r="L126" s="6"/>
      <c r="Q126" s="5"/>
      <c r="R126" s="6"/>
      <c r="X126" s="2"/>
      <c r="Y126" s="1"/>
      <c r="AF126" s="2"/>
      <c r="AG126" s="1"/>
      <c r="BG126" s="1"/>
      <c r="BS126" s="3"/>
      <c r="CC126" s="1"/>
      <c r="CE126" s="1"/>
      <c r="CF126" s="1"/>
      <c r="CJ126" s="1"/>
      <c r="DF126" s="2"/>
    </row>
    <row r="127" spans="1:110">
      <c r="A127" s="1"/>
      <c r="B127" s="4"/>
      <c r="C127" s="1"/>
      <c r="D127" s="1"/>
      <c r="E127" s="1"/>
      <c r="F127" s="1"/>
      <c r="G127" s="1"/>
      <c r="H127" s="2"/>
      <c r="I127" s="1"/>
      <c r="J127" s="1"/>
      <c r="K127" s="5"/>
      <c r="L127" s="6"/>
      <c r="Q127" s="5"/>
      <c r="R127" s="6"/>
      <c r="X127" s="2"/>
      <c r="Y127" s="1"/>
      <c r="AF127" s="2"/>
      <c r="AG127" s="1"/>
      <c r="BG127" s="1"/>
      <c r="BS127" s="3"/>
      <c r="CC127" s="1"/>
      <c r="CE127" s="1"/>
      <c r="CF127" s="1"/>
      <c r="CJ127" s="1"/>
      <c r="DF127" s="2"/>
    </row>
    <row r="128" spans="1:110">
      <c r="A128" s="1"/>
      <c r="B128" s="4"/>
      <c r="C128" s="1"/>
      <c r="D128" s="1"/>
      <c r="E128" s="1"/>
      <c r="F128" s="1"/>
      <c r="G128" s="1"/>
      <c r="H128" s="2"/>
      <c r="I128" s="1"/>
      <c r="J128" s="1"/>
      <c r="K128" s="5"/>
      <c r="L128" s="6"/>
      <c r="Q128" s="5"/>
      <c r="R128" s="6"/>
      <c r="X128" s="2"/>
      <c r="Y128" s="1"/>
      <c r="AF128" s="2"/>
      <c r="AG128" s="1"/>
      <c r="BG128" s="1"/>
      <c r="BS128" s="3"/>
      <c r="CC128" s="1"/>
      <c r="CE128" s="1"/>
      <c r="CF128" s="1"/>
      <c r="CJ128" s="1"/>
      <c r="DF128" s="2"/>
    </row>
    <row r="129" spans="1:110">
      <c r="A129" s="1"/>
      <c r="B129" s="4"/>
      <c r="C129" s="1"/>
      <c r="D129" s="1"/>
      <c r="E129" s="1"/>
      <c r="F129" s="1"/>
      <c r="G129" s="1"/>
      <c r="H129" s="2"/>
      <c r="I129" s="1"/>
      <c r="J129" s="1"/>
      <c r="K129" s="5"/>
      <c r="L129" s="6"/>
      <c r="Q129" s="5"/>
      <c r="R129" s="6"/>
      <c r="X129" s="2"/>
      <c r="Y129" s="1"/>
      <c r="AF129" s="2"/>
      <c r="AG129" s="1"/>
      <c r="BG129" s="1"/>
      <c r="BS129" s="3"/>
      <c r="CC129" s="1"/>
      <c r="CE129" s="1"/>
      <c r="CF129" s="1"/>
      <c r="CJ129" s="1"/>
      <c r="DF129" s="2"/>
    </row>
    <row r="130" spans="1:110">
      <c r="A130" s="1"/>
      <c r="B130" s="4"/>
      <c r="C130" s="1"/>
      <c r="D130" s="1"/>
      <c r="E130" s="1"/>
      <c r="F130" s="1"/>
      <c r="G130" s="1"/>
      <c r="H130" s="2"/>
      <c r="I130" s="1"/>
      <c r="J130" s="1"/>
      <c r="K130" s="5"/>
      <c r="L130" s="6"/>
      <c r="Q130" s="5"/>
      <c r="R130" s="6"/>
      <c r="X130" s="2"/>
      <c r="Y130" s="1"/>
      <c r="AF130" s="2"/>
      <c r="AG130" s="1"/>
      <c r="BG130" s="1"/>
      <c r="BS130" s="3"/>
      <c r="CC130" s="1"/>
      <c r="CE130" s="1"/>
      <c r="CF130" s="1"/>
      <c r="CJ130" s="1"/>
      <c r="DF130" s="2"/>
    </row>
    <row r="131" spans="1:110">
      <c r="A131" s="1"/>
      <c r="B131" s="4"/>
      <c r="C131" s="1"/>
      <c r="D131" s="1"/>
      <c r="E131" s="1"/>
      <c r="F131" s="1"/>
      <c r="G131" s="1"/>
      <c r="H131" s="2"/>
      <c r="I131" s="1"/>
      <c r="J131" s="1"/>
      <c r="K131" s="5"/>
      <c r="L131" s="6"/>
      <c r="Q131" s="5"/>
      <c r="R131" s="6"/>
      <c r="X131" s="2"/>
      <c r="Y131" s="1"/>
      <c r="AF131" s="2"/>
      <c r="AG131" s="1"/>
      <c r="BG131" s="1"/>
      <c r="BS131" s="3"/>
      <c r="CC131" s="1"/>
      <c r="CE131" s="1"/>
      <c r="CF131" s="1"/>
      <c r="CJ131" s="1"/>
      <c r="DF131" s="2"/>
    </row>
    <row r="132" spans="1:110">
      <c r="A132" s="1"/>
      <c r="B132" s="4"/>
      <c r="C132" s="1"/>
      <c r="D132" s="1"/>
      <c r="E132" s="1"/>
      <c r="F132" s="1"/>
      <c r="G132" s="1"/>
      <c r="H132" s="2"/>
      <c r="I132" s="1"/>
      <c r="J132" s="1"/>
      <c r="K132" s="5"/>
      <c r="L132" s="6"/>
      <c r="Q132" s="5"/>
      <c r="R132" s="6"/>
      <c r="X132" s="2"/>
      <c r="Y132" s="1"/>
      <c r="AF132" s="2"/>
      <c r="AG132" s="1"/>
      <c r="BG132" s="1"/>
      <c r="BS132" s="3"/>
      <c r="CC132" s="1"/>
      <c r="CE132" s="1"/>
      <c r="CF132" s="1"/>
      <c r="CJ132" s="1"/>
      <c r="DF132" s="2"/>
    </row>
    <row r="133" spans="1:110">
      <c r="A133" s="1"/>
      <c r="B133" s="4"/>
      <c r="C133" s="1"/>
      <c r="D133" s="1"/>
      <c r="E133" s="1"/>
      <c r="F133" s="1"/>
      <c r="G133" s="1"/>
      <c r="H133" s="2"/>
      <c r="I133" s="1"/>
      <c r="J133" s="1"/>
      <c r="K133" s="5"/>
      <c r="L133" s="6"/>
      <c r="Q133" s="5"/>
      <c r="R133" s="6"/>
      <c r="X133" s="2"/>
      <c r="Y133" s="1"/>
      <c r="AF133" s="2"/>
      <c r="AG133" s="1"/>
      <c r="BG133" s="1"/>
      <c r="BS133" s="3"/>
      <c r="CC133" s="1"/>
      <c r="CE133" s="1"/>
      <c r="CF133" s="1"/>
      <c r="CJ133" s="1"/>
      <c r="DF133" s="2"/>
    </row>
    <row r="134" spans="1:110">
      <c r="A134" s="1"/>
      <c r="B134" s="4"/>
      <c r="C134" s="1"/>
      <c r="D134" s="1"/>
      <c r="E134" s="1"/>
      <c r="F134" s="1"/>
      <c r="G134" s="1"/>
      <c r="H134" s="2"/>
      <c r="I134" s="1"/>
      <c r="J134" s="1"/>
      <c r="K134" s="5"/>
      <c r="L134" s="6"/>
      <c r="Q134" s="5"/>
      <c r="R134" s="6"/>
      <c r="X134" s="2"/>
      <c r="Y134" s="1"/>
      <c r="AF134" s="2"/>
      <c r="AG134" s="1"/>
      <c r="BG134" s="1"/>
      <c r="BS134" s="3"/>
      <c r="CC134" s="1"/>
      <c r="CE134" s="1"/>
      <c r="CF134" s="1"/>
      <c r="CJ134" s="1"/>
      <c r="DF134" s="2"/>
    </row>
    <row r="135" spans="1:110">
      <c r="A135" s="1"/>
      <c r="B135" s="4"/>
      <c r="C135" s="1"/>
      <c r="D135" s="1"/>
      <c r="E135" s="1"/>
      <c r="F135" s="1"/>
      <c r="G135" s="1"/>
      <c r="H135" s="2"/>
      <c r="I135" s="1"/>
      <c r="J135" s="1"/>
      <c r="K135" s="5"/>
      <c r="L135" s="6"/>
      <c r="Q135" s="5"/>
      <c r="R135" s="6"/>
      <c r="X135" s="2"/>
      <c r="Y135" s="1"/>
      <c r="AF135" s="2"/>
      <c r="AG135" s="1"/>
      <c r="BG135" s="1"/>
      <c r="BS135" s="3"/>
      <c r="CC135" s="1"/>
      <c r="CE135" s="1"/>
      <c r="CF135" s="1"/>
      <c r="CJ135" s="1"/>
      <c r="DF135" s="2"/>
    </row>
    <row r="136" spans="1:110">
      <c r="A136" s="1"/>
      <c r="B136" s="4"/>
      <c r="C136" s="1"/>
      <c r="D136" s="1"/>
      <c r="E136" s="1"/>
      <c r="F136" s="1"/>
      <c r="G136" s="1"/>
      <c r="H136" s="2"/>
      <c r="I136" s="1"/>
      <c r="J136" s="1"/>
      <c r="K136" s="5"/>
      <c r="L136" s="6"/>
      <c r="Q136" s="5"/>
      <c r="R136" s="6"/>
      <c r="X136" s="2"/>
      <c r="Y136" s="1"/>
      <c r="AF136" s="2"/>
      <c r="AG136" s="1"/>
      <c r="BG136" s="1"/>
      <c r="BS136" s="3"/>
      <c r="CC136" s="1"/>
      <c r="CE136" s="1"/>
      <c r="CF136" s="1"/>
      <c r="CJ136" s="1"/>
      <c r="DF136" s="2"/>
    </row>
    <row r="137" spans="1:110">
      <c r="A137" s="1"/>
      <c r="B137" s="4"/>
      <c r="C137" s="1"/>
      <c r="D137" s="1"/>
      <c r="E137" s="1"/>
      <c r="F137" s="1"/>
      <c r="G137" s="1"/>
      <c r="H137" s="2"/>
      <c r="I137" s="1"/>
      <c r="J137" s="1"/>
      <c r="K137" s="5"/>
      <c r="L137" s="6"/>
      <c r="Q137" s="5"/>
      <c r="R137" s="6"/>
      <c r="X137" s="2"/>
      <c r="Y137" s="1"/>
      <c r="AF137" s="2"/>
      <c r="AG137" s="1"/>
      <c r="BG137" s="1"/>
      <c r="BS137" s="3"/>
      <c r="CC137" s="1"/>
      <c r="CE137" s="1"/>
      <c r="CF137" s="1"/>
      <c r="CJ137" s="1"/>
      <c r="DF137" s="2"/>
    </row>
    <row r="138" spans="1:110">
      <c r="A138" s="1"/>
      <c r="B138" s="4"/>
      <c r="C138" s="1"/>
      <c r="D138" s="1"/>
      <c r="E138" s="1"/>
      <c r="F138" s="1"/>
      <c r="G138" s="1"/>
      <c r="H138" s="2"/>
      <c r="I138" s="1"/>
      <c r="J138" s="1"/>
      <c r="K138" s="5"/>
      <c r="L138" s="6"/>
      <c r="Q138" s="5"/>
      <c r="R138" s="6"/>
      <c r="X138" s="2"/>
      <c r="Y138" s="1"/>
      <c r="AF138" s="2"/>
      <c r="AG138" s="1"/>
      <c r="BG138" s="1"/>
      <c r="BS138" s="3"/>
      <c r="CC138" s="1"/>
      <c r="CE138" s="1"/>
      <c r="CF138" s="1"/>
      <c r="CJ138" s="1"/>
      <c r="DF138" s="2"/>
    </row>
    <row r="139" spans="1:110">
      <c r="A139" s="1"/>
      <c r="B139" s="4"/>
      <c r="C139" s="1"/>
      <c r="D139" s="1"/>
      <c r="E139" s="1"/>
      <c r="F139" s="1"/>
      <c r="G139" s="1"/>
      <c r="H139" s="2"/>
      <c r="I139" s="1"/>
      <c r="J139" s="1"/>
      <c r="K139" s="5"/>
      <c r="L139" s="6"/>
      <c r="Q139" s="5"/>
      <c r="R139" s="6"/>
      <c r="X139" s="2"/>
      <c r="Y139" s="1"/>
      <c r="AF139" s="2"/>
      <c r="AG139" s="1"/>
      <c r="BG139" s="1"/>
      <c r="BS139" s="3"/>
      <c r="CC139" s="1"/>
      <c r="CE139" s="1"/>
      <c r="CF139" s="1"/>
      <c r="CJ139" s="1"/>
      <c r="DF139" s="2"/>
    </row>
    <row r="140" spans="1:110">
      <c r="A140" s="1"/>
      <c r="B140" s="4"/>
      <c r="C140" s="1"/>
      <c r="D140" s="1"/>
      <c r="E140" s="1"/>
      <c r="F140" s="1"/>
      <c r="G140" s="1"/>
      <c r="H140" s="2"/>
      <c r="I140" s="1"/>
      <c r="J140" s="1"/>
      <c r="K140" s="5"/>
      <c r="L140" s="6"/>
      <c r="Q140" s="5"/>
      <c r="R140" s="6"/>
      <c r="X140" s="2"/>
      <c r="Y140" s="1"/>
      <c r="AF140" s="2"/>
      <c r="AG140" s="1"/>
      <c r="BG140" s="1"/>
      <c r="BS140" s="3"/>
      <c r="CC140" s="1"/>
      <c r="CE140" s="1"/>
      <c r="CF140" s="1"/>
      <c r="CJ140" s="1"/>
      <c r="DF140" s="2"/>
    </row>
    <row r="141" spans="1:110">
      <c r="A141" s="1"/>
      <c r="B141" s="4"/>
      <c r="C141" s="1"/>
      <c r="D141" s="1"/>
      <c r="E141" s="1"/>
      <c r="F141" s="1"/>
      <c r="G141" s="1"/>
      <c r="H141" s="2"/>
      <c r="I141" s="1"/>
      <c r="J141" s="1"/>
      <c r="K141" s="5"/>
      <c r="L141" s="6"/>
      <c r="Q141" s="5"/>
      <c r="R141" s="6"/>
      <c r="X141" s="2"/>
      <c r="Y141" s="1"/>
      <c r="AF141" s="2"/>
      <c r="AG141" s="1"/>
      <c r="BG141" s="1"/>
      <c r="BS141" s="3"/>
      <c r="CC141" s="1"/>
      <c r="CE141" s="1"/>
      <c r="CF141" s="1"/>
      <c r="CJ141" s="1"/>
      <c r="DF141" s="2"/>
    </row>
    <row r="142" spans="1:110">
      <c r="A142" s="1"/>
      <c r="B142" s="4"/>
      <c r="C142" s="1"/>
      <c r="D142" s="1"/>
      <c r="E142" s="1"/>
      <c r="F142" s="1"/>
      <c r="G142" s="1"/>
      <c r="H142" s="2"/>
      <c r="I142" s="1"/>
      <c r="J142" s="1"/>
      <c r="K142" s="5"/>
      <c r="L142" s="6"/>
      <c r="Q142" s="5"/>
      <c r="R142" s="6"/>
      <c r="X142" s="2"/>
      <c r="Y142" s="1"/>
      <c r="AF142" s="2"/>
      <c r="AG142" s="1"/>
      <c r="BG142" s="1"/>
      <c r="BS142" s="3"/>
      <c r="CC142" s="1"/>
      <c r="CE142" s="1"/>
      <c r="CF142" s="1"/>
      <c r="CJ142" s="1"/>
      <c r="DF142" s="2"/>
    </row>
    <row r="143" spans="1:110">
      <c r="A143" s="1"/>
      <c r="B143" s="4"/>
      <c r="C143" s="1"/>
      <c r="D143" s="1"/>
      <c r="E143" s="1"/>
      <c r="F143" s="1"/>
      <c r="G143" s="1"/>
      <c r="H143" s="2"/>
      <c r="I143" s="1"/>
      <c r="J143" s="1"/>
      <c r="K143" s="5"/>
      <c r="L143" s="6"/>
      <c r="Q143" s="5"/>
      <c r="R143" s="6"/>
      <c r="X143" s="2"/>
      <c r="Y143" s="1"/>
      <c r="AF143" s="2"/>
      <c r="AG143" s="1"/>
      <c r="BG143" s="1"/>
      <c r="BS143" s="3"/>
      <c r="CC143" s="1"/>
      <c r="CE143" s="1"/>
      <c r="CF143" s="1"/>
      <c r="CJ143" s="1"/>
      <c r="DF143" s="2"/>
    </row>
    <row r="144" spans="1:110">
      <c r="A144" s="1"/>
      <c r="B144" s="4"/>
      <c r="C144" s="1"/>
      <c r="D144" s="1"/>
      <c r="E144" s="1"/>
      <c r="F144" s="1"/>
      <c r="G144" s="1"/>
      <c r="H144" s="2"/>
      <c r="I144" s="1"/>
      <c r="J144" s="1"/>
      <c r="K144" s="5"/>
      <c r="L144" s="6"/>
      <c r="Q144" s="5"/>
      <c r="R144" s="6"/>
      <c r="X144" s="2"/>
      <c r="Y144" s="1"/>
      <c r="AF144" s="2"/>
      <c r="AG144" s="1"/>
      <c r="BG144" s="1"/>
      <c r="BS144" s="3"/>
      <c r="CC144" s="1"/>
      <c r="CE144" s="1"/>
      <c r="CF144" s="1"/>
      <c r="CJ144" s="1"/>
      <c r="DF144" s="2"/>
    </row>
    <row r="145" spans="1:110">
      <c r="A145" s="1"/>
      <c r="B145" s="4"/>
      <c r="C145" s="1"/>
      <c r="D145" s="1"/>
      <c r="E145" s="1"/>
      <c r="F145" s="1"/>
      <c r="G145" s="1"/>
      <c r="H145" s="2"/>
      <c r="I145" s="1"/>
      <c r="J145" s="1"/>
      <c r="K145" s="5"/>
      <c r="L145" s="6"/>
      <c r="Q145" s="5"/>
      <c r="R145" s="6"/>
      <c r="X145" s="2"/>
      <c r="Y145" s="1"/>
      <c r="AF145" s="2"/>
      <c r="AG145" s="1"/>
      <c r="BG145" s="1"/>
      <c r="BS145" s="3"/>
      <c r="CC145" s="1"/>
      <c r="CE145" s="1"/>
      <c r="CF145" s="1"/>
      <c r="CJ145" s="1"/>
      <c r="DF145" s="2"/>
    </row>
    <row r="146" spans="1:110">
      <c r="A146" s="1"/>
      <c r="B146" s="4"/>
      <c r="C146" s="1"/>
      <c r="D146" s="1"/>
      <c r="E146" s="1"/>
      <c r="F146" s="1"/>
      <c r="G146" s="1"/>
      <c r="H146" s="2"/>
      <c r="I146" s="1"/>
      <c r="J146" s="1"/>
      <c r="K146" s="5"/>
      <c r="L146" s="6"/>
      <c r="Q146" s="5"/>
      <c r="R146" s="6"/>
      <c r="X146" s="2"/>
      <c r="Y146" s="1"/>
      <c r="AF146" s="2"/>
      <c r="AG146" s="1"/>
      <c r="BG146" s="1"/>
      <c r="BS146" s="3"/>
      <c r="CC146" s="1"/>
      <c r="CE146" s="1"/>
      <c r="CF146" s="1"/>
      <c r="CJ146" s="1"/>
      <c r="DF146" s="2"/>
    </row>
    <row r="147" spans="1:110">
      <c r="A147" s="1"/>
      <c r="B147" s="4"/>
      <c r="C147" s="1"/>
      <c r="D147" s="1"/>
      <c r="E147" s="1"/>
      <c r="F147" s="1"/>
      <c r="G147" s="1"/>
      <c r="H147" s="2"/>
      <c r="I147" s="1"/>
      <c r="J147" s="1"/>
      <c r="K147" s="5"/>
      <c r="L147" s="6"/>
      <c r="Q147" s="5"/>
      <c r="R147" s="6"/>
      <c r="X147" s="2"/>
      <c r="Y147" s="1"/>
      <c r="AF147" s="2"/>
      <c r="AG147" s="1"/>
      <c r="BG147" s="1"/>
      <c r="BS147" s="3"/>
      <c r="CC147" s="1"/>
      <c r="CE147" s="1"/>
      <c r="CF147" s="1"/>
      <c r="CJ147" s="1"/>
      <c r="DF147" s="2"/>
    </row>
    <row r="148" spans="1:110">
      <c r="A148" s="1"/>
      <c r="B148" s="4"/>
      <c r="C148" s="1"/>
      <c r="D148" s="1"/>
      <c r="E148" s="1"/>
      <c r="F148" s="1"/>
      <c r="G148" s="1"/>
      <c r="H148" s="2"/>
      <c r="I148" s="1"/>
      <c r="J148" s="1"/>
      <c r="K148" s="5"/>
      <c r="L148" s="6"/>
      <c r="Q148" s="5"/>
      <c r="R148" s="6"/>
      <c r="X148" s="2"/>
      <c r="Y148" s="1"/>
      <c r="AF148" s="2"/>
      <c r="AG148" s="1"/>
      <c r="BG148" s="1"/>
      <c r="BS148" s="3"/>
      <c r="CC148" s="1"/>
      <c r="CE148" s="1"/>
      <c r="CF148" s="1"/>
      <c r="CJ148" s="1"/>
      <c r="DF148" s="2"/>
    </row>
    <row r="149" spans="1:110">
      <c r="A149" s="1"/>
      <c r="B149" s="4"/>
      <c r="C149" s="1"/>
      <c r="D149" s="1"/>
      <c r="E149" s="1"/>
      <c r="F149" s="1"/>
      <c r="G149" s="1"/>
      <c r="H149" s="2"/>
      <c r="I149" s="1"/>
      <c r="J149" s="1"/>
      <c r="K149" s="5"/>
      <c r="L149" s="6"/>
      <c r="Q149" s="5"/>
      <c r="R149" s="6"/>
      <c r="X149" s="2"/>
      <c r="Y149" s="1"/>
      <c r="AF149" s="2"/>
      <c r="AG149" s="1"/>
      <c r="BG149" s="1"/>
      <c r="BS149" s="3"/>
      <c r="CC149" s="1"/>
      <c r="CE149" s="1"/>
      <c r="CF149" s="1"/>
      <c r="CJ149" s="1"/>
      <c r="DF149" s="2"/>
    </row>
    <row r="150" spans="1:110">
      <c r="A150" s="1"/>
      <c r="B150" s="4"/>
      <c r="C150" s="1"/>
      <c r="D150" s="1"/>
      <c r="E150" s="1"/>
      <c r="F150" s="1"/>
      <c r="G150" s="1"/>
      <c r="H150" s="2"/>
      <c r="I150" s="1"/>
      <c r="J150" s="1"/>
      <c r="K150" s="5"/>
      <c r="L150" s="6"/>
      <c r="Q150" s="5"/>
      <c r="R150" s="6"/>
      <c r="X150" s="2"/>
      <c r="Y150" s="1"/>
      <c r="AF150" s="2"/>
      <c r="AG150" s="1"/>
      <c r="BG150" s="1"/>
      <c r="BS150" s="3"/>
      <c r="CC150" s="1"/>
      <c r="CE150" s="1"/>
      <c r="CF150" s="1"/>
      <c r="CJ150" s="1"/>
      <c r="DF150" s="2"/>
    </row>
    <row r="151" spans="1:110">
      <c r="A151" s="1"/>
      <c r="B151" s="4"/>
      <c r="C151" s="1"/>
      <c r="D151" s="1"/>
      <c r="E151" s="1"/>
      <c r="F151" s="1"/>
      <c r="G151" s="1"/>
      <c r="H151" s="2"/>
      <c r="I151" s="1"/>
      <c r="J151" s="1"/>
      <c r="K151" s="5"/>
      <c r="L151" s="6"/>
      <c r="Q151" s="5"/>
      <c r="R151" s="6"/>
      <c r="X151" s="2"/>
      <c r="Y151" s="1"/>
      <c r="AF151" s="2"/>
      <c r="AG151" s="1"/>
      <c r="BG151" s="1"/>
      <c r="BS151" s="3"/>
      <c r="CC151" s="1"/>
      <c r="CE151" s="1"/>
      <c r="CF151" s="1"/>
      <c r="CJ151" s="1"/>
      <c r="DF151" s="2"/>
    </row>
    <row r="152" spans="1:110">
      <c r="A152" s="1"/>
      <c r="B152" s="4"/>
      <c r="C152" s="1"/>
      <c r="D152" s="1"/>
      <c r="E152" s="1"/>
      <c r="F152" s="1"/>
      <c r="G152" s="1"/>
      <c r="H152" s="2"/>
      <c r="I152" s="1"/>
      <c r="J152" s="1"/>
      <c r="K152" s="5"/>
      <c r="L152" s="6"/>
      <c r="Q152" s="5"/>
      <c r="R152" s="6"/>
      <c r="X152" s="2"/>
      <c r="Y152" s="1"/>
      <c r="AF152" s="2"/>
      <c r="AG152" s="1"/>
      <c r="BG152" s="1"/>
      <c r="BS152" s="3"/>
      <c r="CC152" s="1"/>
      <c r="CE152" s="1"/>
      <c r="CF152" s="1"/>
      <c r="CJ152" s="1"/>
      <c r="DF152" s="2"/>
    </row>
    <row r="153" spans="1:110">
      <c r="A153" s="1"/>
      <c r="B153" s="4"/>
      <c r="C153" s="1"/>
      <c r="D153" s="1"/>
      <c r="E153" s="1"/>
      <c r="F153" s="1"/>
      <c r="G153" s="1"/>
      <c r="H153" s="2"/>
      <c r="I153" s="1"/>
      <c r="J153" s="1"/>
      <c r="K153" s="5"/>
      <c r="L153" s="6"/>
      <c r="Q153" s="5"/>
      <c r="R153" s="6"/>
      <c r="X153" s="2"/>
      <c r="Y153" s="1"/>
      <c r="AF153" s="2"/>
      <c r="AG153" s="1"/>
      <c r="BG153" s="1"/>
      <c r="BS153" s="3"/>
      <c r="CC153" s="1"/>
      <c r="CE153" s="1"/>
      <c r="CF153" s="1"/>
      <c r="CJ153" s="1"/>
      <c r="DF153" s="2"/>
    </row>
    <row r="154" spans="1:110">
      <c r="A154" s="1"/>
      <c r="B154" s="4"/>
      <c r="C154" s="1"/>
      <c r="D154" s="1"/>
      <c r="E154" s="1"/>
      <c r="F154" s="1"/>
      <c r="G154" s="1"/>
      <c r="H154" s="2"/>
      <c r="I154" s="1"/>
      <c r="J154" s="1"/>
      <c r="K154" s="5"/>
      <c r="L154" s="6"/>
      <c r="Q154" s="5"/>
      <c r="R154" s="6"/>
      <c r="X154" s="2"/>
      <c r="Y154" s="1"/>
      <c r="AF154" s="2"/>
      <c r="AG154" s="1"/>
      <c r="BG154" s="1"/>
      <c r="BS154" s="3"/>
      <c r="CC154" s="1"/>
      <c r="CE154" s="1"/>
      <c r="CF154" s="1"/>
      <c r="CJ154" s="1"/>
      <c r="DF154" s="2"/>
    </row>
    <row r="155" spans="1:110">
      <c r="A155" s="1"/>
      <c r="B155" s="4"/>
      <c r="C155" s="1"/>
      <c r="D155" s="1"/>
      <c r="E155" s="1"/>
      <c r="F155" s="1"/>
      <c r="G155" s="1"/>
      <c r="H155" s="2"/>
      <c r="I155" s="1"/>
      <c r="J155" s="1"/>
      <c r="K155" s="5"/>
      <c r="L155" s="6"/>
      <c r="Q155" s="5"/>
      <c r="R155" s="6"/>
      <c r="X155" s="2"/>
      <c r="Y155" s="1"/>
      <c r="AF155" s="2"/>
      <c r="AG155" s="1"/>
      <c r="BG155" s="1"/>
      <c r="BS155" s="3"/>
      <c r="CC155" s="1"/>
      <c r="CE155" s="1"/>
      <c r="CF155" s="1"/>
      <c r="CJ155" s="1"/>
      <c r="DF155" s="2"/>
    </row>
    <row r="156" spans="1:110">
      <c r="A156" s="1"/>
      <c r="B156" s="4"/>
      <c r="C156" s="1"/>
      <c r="D156" s="1"/>
      <c r="E156" s="1"/>
      <c r="F156" s="1"/>
      <c r="G156" s="1"/>
      <c r="H156" s="2"/>
      <c r="I156" s="1"/>
      <c r="J156" s="1"/>
      <c r="K156" s="5"/>
      <c r="L156" s="6"/>
      <c r="Q156" s="5"/>
      <c r="R156" s="6"/>
      <c r="X156" s="2"/>
      <c r="Y156" s="1"/>
      <c r="AF156" s="2"/>
      <c r="AG156" s="1"/>
      <c r="BG156" s="1"/>
      <c r="BS156" s="3"/>
      <c r="CC156" s="1"/>
      <c r="CE156" s="1"/>
      <c r="CF156" s="1"/>
      <c r="CJ156" s="1"/>
      <c r="DF156" s="2"/>
    </row>
    <row r="157" spans="1:110">
      <c r="A157" s="1"/>
      <c r="B157" s="4"/>
      <c r="C157" s="1"/>
      <c r="D157" s="1"/>
      <c r="E157" s="1"/>
      <c r="F157" s="1"/>
      <c r="G157" s="1"/>
      <c r="H157" s="2"/>
      <c r="I157" s="1"/>
      <c r="J157" s="1"/>
      <c r="K157" s="5"/>
      <c r="L157" s="6"/>
      <c r="Q157" s="5"/>
      <c r="R157" s="6"/>
      <c r="X157" s="2"/>
      <c r="Y157" s="1"/>
      <c r="AF157" s="2"/>
      <c r="AG157" s="1"/>
      <c r="BG157" s="1"/>
      <c r="BS157" s="3"/>
      <c r="CC157" s="1"/>
      <c r="CE157" s="1"/>
      <c r="CF157" s="1"/>
      <c r="CJ157" s="1"/>
      <c r="DF157" s="2"/>
    </row>
    <row r="158" spans="1:110">
      <c r="A158" s="1"/>
      <c r="B158" s="4"/>
      <c r="C158" s="1"/>
      <c r="D158" s="1"/>
      <c r="E158" s="1"/>
      <c r="F158" s="1"/>
      <c r="G158" s="1"/>
      <c r="H158" s="2"/>
      <c r="I158" s="1"/>
      <c r="J158" s="1"/>
      <c r="K158" s="5"/>
      <c r="L158" s="6"/>
      <c r="Q158" s="5"/>
      <c r="R158" s="6"/>
      <c r="X158" s="2"/>
      <c r="Y158" s="1"/>
      <c r="AF158" s="2"/>
      <c r="AG158" s="1"/>
      <c r="BG158" s="1"/>
      <c r="BS158" s="3"/>
      <c r="CC158" s="1"/>
      <c r="CE158" s="1"/>
      <c r="CF158" s="1"/>
      <c r="CJ158" s="1"/>
      <c r="DF158" s="2"/>
    </row>
    <row r="159" spans="1:110">
      <c r="A159" s="1"/>
      <c r="B159" s="4"/>
      <c r="C159" s="1"/>
      <c r="D159" s="1"/>
      <c r="E159" s="1"/>
      <c r="F159" s="1"/>
      <c r="G159" s="1"/>
      <c r="H159" s="2"/>
      <c r="I159" s="1"/>
      <c r="J159" s="1"/>
      <c r="K159" s="5"/>
      <c r="L159" s="6"/>
      <c r="Q159" s="5"/>
      <c r="R159" s="6"/>
      <c r="X159" s="2"/>
      <c r="Y159" s="1"/>
      <c r="AF159" s="2"/>
      <c r="AG159" s="1"/>
      <c r="BG159" s="1"/>
      <c r="BS159" s="3"/>
      <c r="CC159" s="1"/>
      <c r="CE159" s="1"/>
      <c r="CF159" s="1"/>
      <c r="CJ159" s="1"/>
      <c r="DF159" s="2"/>
    </row>
    <row r="160" spans="1:110">
      <c r="A160" s="1"/>
      <c r="B160" s="4"/>
      <c r="C160" s="1"/>
      <c r="D160" s="1"/>
      <c r="E160" s="1"/>
      <c r="F160" s="1"/>
      <c r="G160" s="1"/>
      <c r="H160" s="2"/>
      <c r="I160" s="1"/>
      <c r="J160" s="1"/>
      <c r="K160" s="5"/>
      <c r="L160" s="6"/>
      <c r="Q160" s="5"/>
      <c r="R160" s="6"/>
      <c r="X160" s="2"/>
      <c r="Y160" s="1"/>
      <c r="AF160" s="2"/>
      <c r="AG160" s="1"/>
      <c r="BG160" s="1"/>
      <c r="BS160" s="3"/>
      <c r="CC160" s="1"/>
      <c r="CE160" s="1"/>
      <c r="CF160" s="1"/>
      <c r="CJ160" s="1"/>
      <c r="DF160" s="2"/>
    </row>
    <row r="161" spans="1:110">
      <c r="A161" s="1"/>
      <c r="B161" s="4"/>
      <c r="C161" s="1"/>
      <c r="D161" s="1"/>
      <c r="E161" s="1"/>
      <c r="F161" s="1"/>
      <c r="G161" s="1"/>
      <c r="H161" s="2"/>
      <c r="I161" s="1"/>
      <c r="J161" s="1"/>
      <c r="K161" s="5"/>
      <c r="L161" s="6"/>
      <c r="Q161" s="5"/>
      <c r="R161" s="6"/>
      <c r="X161" s="2"/>
      <c r="Y161" s="1"/>
      <c r="AF161" s="2"/>
      <c r="AG161" s="1"/>
      <c r="BG161" s="1"/>
      <c r="BS161" s="3"/>
      <c r="CC161" s="1"/>
      <c r="CE161" s="1"/>
      <c r="CF161" s="1"/>
      <c r="CJ161" s="1"/>
      <c r="DF161" s="2"/>
    </row>
    <row r="162" spans="1:110">
      <c r="A162" s="1"/>
      <c r="B162" s="4"/>
      <c r="C162" s="1"/>
      <c r="D162" s="1"/>
      <c r="E162" s="1"/>
      <c r="F162" s="1"/>
      <c r="G162" s="1"/>
      <c r="H162" s="2"/>
      <c r="I162" s="1"/>
      <c r="J162" s="1"/>
      <c r="K162" s="5"/>
      <c r="L162" s="6"/>
      <c r="Q162" s="5"/>
      <c r="R162" s="6"/>
      <c r="X162" s="2"/>
      <c r="Y162" s="1"/>
      <c r="AF162" s="2"/>
      <c r="AG162" s="1"/>
      <c r="BG162" s="1"/>
      <c r="BS162" s="3"/>
      <c r="CC162" s="1"/>
      <c r="CE162" s="1"/>
      <c r="CF162" s="1"/>
      <c r="CJ162" s="1"/>
      <c r="DF162" s="2"/>
    </row>
    <row r="163" spans="1:110">
      <c r="A163" s="1"/>
      <c r="B163" s="4"/>
      <c r="C163" s="1"/>
      <c r="D163" s="1"/>
      <c r="E163" s="1"/>
      <c r="F163" s="1"/>
      <c r="G163" s="1"/>
      <c r="H163" s="2"/>
      <c r="I163" s="1"/>
      <c r="J163" s="1"/>
      <c r="K163" s="5"/>
      <c r="L163" s="6"/>
      <c r="Q163" s="5"/>
      <c r="R163" s="6"/>
      <c r="X163" s="2"/>
      <c r="Y163" s="1"/>
      <c r="AF163" s="2"/>
      <c r="AG163" s="1"/>
      <c r="BG163" s="1"/>
      <c r="BS163" s="3"/>
      <c r="CC163" s="1"/>
      <c r="CE163" s="1"/>
      <c r="CF163" s="1"/>
      <c r="CJ163" s="1"/>
      <c r="DF163" s="2"/>
    </row>
    <row r="164" spans="1:110">
      <c r="A164" s="1"/>
      <c r="B164" s="4"/>
      <c r="C164" s="1"/>
      <c r="D164" s="1"/>
      <c r="E164" s="1"/>
      <c r="F164" s="1"/>
      <c r="G164" s="1"/>
      <c r="H164" s="2"/>
      <c r="I164" s="1"/>
      <c r="J164" s="1"/>
      <c r="K164" s="5"/>
      <c r="L164" s="6"/>
      <c r="Q164" s="5"/>
      <c r="R164" s="6"/>
      <c r="X164" s="2"/>
      <c r="Y164" s="1"/>
      <c r="AF164" s="2"/>
      <c r="AG164" s="1"/>
      <c r="BG164" s="1"/>
      <c r="BS164" s="3"/>
      <c r="CC164" s="1"/>
      <c r="CE164" s="1"/>
      <c r="CF164" s="1"/>
      <c r="CJ164" s="1"/>
      <c r="DF164" s="2"/>
    </row>
    <row r="165" spans="1:110">
      <c r="A165" s="1"/>
      <c r="B165" s="4"/>
      <c r="C165" s="1"/>
      <c r="D165" s="1"/>
      <c r="E165" s="1"/>
      <c r="F165" s="1"/>
      <c r="G165" s="1"/>
      <c r="H165" s="2"/>
      <c r="I165" s="1"/>
      <c r="J165" s="1"/>
      <c r="K165" s="5"/>
      <c r="L165" s="6"/>
      <c r="Q165" s="5"/>
      <c r="R165" s="6"/>
      <c r="X165" s="2"/>
      <c r="Y165" s="1"/>
      <c r="AF165" s="2"/>
      <c r="AG165" s="1"/>
      <c r="BG165" s="1"/>
      <c r="BS165" s="3"/>
      <c r="CC165" s="1"/>
      <c r="CE165" s="1"/>
      <c r="CF165" s="1"/>
      <c r="CJ165" s="1"/>
      <c r="DF165" s="2"/>
    </row>
    <row r="166" spans="1:110">
      <c r="A166" s="1"/>
      <c r="B166" s="4"/>
      <c r="C166" s="1"/>
      <c r="D166" s="1"/>
      <c r="E166" s="1"/>
      <c r="F166" s="1"/>
      <c r="G166" s="1"/>
      <c r="H166" s="2"/>
      <c r="I166" s="1"/>
      <c r="J166" s="1"/>
      <c r="K166" s="5"/>
      <c r="L166" s="6"/>
      <c r="Q166" s="5"/>
      <c r="R166" s="6"/>
      <c r="X166" s="2"/>
      <c r="Y166" s="1"/>
      <c r="AF166" s="2"/>
      <c r="AG166" s="1"/>
      <c r="BG166" s="1"/>
      <c r="BS166" s="3"/>
      <c r="CC166" s="1"/>
      <c r="CE166" s="1"/>
      <c r="CF166" s="1"/>
      <c r="CJ166" s="1"/>
      <c r="DF166" s="2"/>
    </row>
    <row r="167" spans="1:110">
      <c r="A167" s="1"/>
      <c r="B167" s="4"/>
      <c r="C167" s="1"/>
      <c r="D167" s="1"/>
      <c r="E167" s="1"/>
      <c r="F167" s="1"/>
      <c r="G167" s="1"/>
      <c r="H167" s="2"/>
      <c r="I167" s="1"/>
      <c r="J167" s="1"/>
      <c r="K167" s="5"/>
      <c r="L167" s="6"/>
      <c r="Q167" s="5"/>
      <c r="R167" s="6"/>
      <c r="X167" s="2"/>
      <c r="Y167" s="1"/>
      <c r="AF167" s="2"/>
      <c r="AG167" s="1"/>
      <c r="BG167" s="1"/>
      <c r="BS167" s="3"/>
      <c r="CC167" s="1"/>
      <c r="CE167" s="1"/>
      <c r="CF167" s="1"/>
      <c r="CJ167" s="1"/>
      <c r="DF167" s="2"/>
    </row>
    <row r="168" spans="1:110">
      <c r="A168" s="1"/>
      <c r="B168" s="4"/>
      <c r="C168" s="1"/>
      <c r="D168" s="1"/>
      <c r="E168" s="1"/>
      <c r="F168" s="1"/>
      <c r="G168" s="1"/>
      <c r="H168" s="2"/>
      <c r="I168" s="1"/>
      <c r="J168" s="1"/>
      <c r="K168" s="5"/>
      <c r="L168" s="6"/>
      <c r="Q168" s="5"/>
      <c r="R168" s="6"/>
      <c r="X168" s="2"/>
      <c r="Y168" s="1"/>
      <c r="AF168" s="2"/>
      <c r="AG168" s="1"/>
      <c r="BG168" s="1"/>
      <c r="BS168" s="3"/>
      <c r="CC168" s="1"/>
      <c r="CE168" s="1"/>
      <c r="CF168" s="1"/>
      <c r="CJ168" s="1"/>
      <c r="DF168" s="2"/>
    </row>
    <row r="169" spans="1:110">
      <c r="A169" s="1"/>
      <c r="B169" s="4"/>
      <c r="C169" s="1"/>
      <c r="D169" s="1"/>
      <c r="E169" s="1"/>
      <c r="F169" s="1"/>
      <c r="G169" s="1"/>
      <c r="H169" s="2"/>
      <c r="I169" s="1"/>
      <c r="J169" s="1"/>
      <c r="K169" s="5"/>
      <c r="L169" s="6"/>
      <c r="Q169" s="5"/>
      <c r="R169" s="6"/>
      <c r="X169" s="2"/>
      <c r="Y169" s="1"/>
      <c r="AF169" s="2"/>
      <c r="AG169" s="1"/>
      <c r="BG169" s="1"/>
      <c r="BS169" s="3"/>
      <c r="CC169" s="1"/>
      <c r="CE169" s="1"/>
      <c r="CF169" s="1"/>
      <c r="CJ169" s="1"/>
      <c r="DF169" s="2"/>
    </row>
    <row r="170" spans="1:110">
      <c r="A170" s="1"/>
      <c r="B170" s="4"/>
      <c r="C170" s="1"/>
      <c r="D170" s="1"/>
      <c r="E170" s="1"/>
      <c r="F170" s="1"/>
      <c r="G170" s="1"/>
      <c r="H170" s="2"/>
      <c r="I170" s="1"/>
      <c r="J170" s="1"/>
      <c r="K170" s="5"/>
      <c r="L170" s="6"/>
      <c r="Q170" s="5"/>
      <c r="R170" s="6"/>
      <c r="X170" s="2"/>
      <c r="Y170" s="1"/>
      <c r="AF170" s="2"/>
      <c r="AG170" s="1"/>
      <c r="BG170" s="1"/>
      <c r="BS170" s="3"/>
      <c r="CC170" s="1"/>
      <c r="CE170" s="1"/>
      <c r="CF170" s="1"/>
      <c r="CJ170" s="1"/>
      <c r="DF170" s="2"/>
    </row>
    <row r="171" spans="1:110">
      <c r="A171" s="1"/>
      <c r="B171" s="4"/>
      <c r="C171" s="1"/>
      <c r="D171" s="1"/>
      <c r="E171" s="1"/>
      <c r="F171" s="1"/>
      <c r="G171" s="1"/>
      <c r="H171" s="2"/>
      <c r="I171" s="1"/>
      <c r="J171" s="1"/>
      <c r="K171" s="5"/>
      <c r="L171" s="6"/>
      <c r="Q171" s="5"/>
      <c r="R171" s="6"/>
      <c r="X171" s="2"/>
      <c r="Y171" s="1"/>
      <c r="AF171" s="2"/>
      <c r="AG171" s="1"/>
      <c r="BG171" s="1"/>
      <c r="BS171" s="3"/>
      <c r="CC171" s="1"/>
      <c r="CE171" s="1"/>
      <c r="CF171" s="1"/>
      <c r="CJ171" s="1"/>
      <c r="DF171" s="2"/>
    </row>
    <row r="172" spans="1:110">
      <c r="A172" s="1"/>
      <c r="B172" s="4"/>
      <c r="C172" s="1"/>
      <c r="D172" s="1"/>
      <c r="E172" s="1"/>
      <c r="F172" s="1"/>
      <c r="G172" s="1"/>
      <c r="H172" s="2"/>
      <c r="I172" s="1"/>
      <c r="J172" s="1"/>
      <c r="K172" s="5"/>
      <c r="L172" s="6"/>
      <c r="Q172" s="5"/>
      <c r="R172" s="6"/>
      <c r="X172" s="2"/>
      <c r="Y172" s="1"/>
      <c r="AF172" s="2"/>
      <c r="AG172" s="1"/>
      <c r="BG172" s="1"/>
      <c r="BS172" s="3"/>
      <c r="CC172" s="1"/>
      <c r="CE172" s="1"/>
      <c r="CF172" s="1"/>
      <c r="CJ172" s="1"/>
      <c r="DF172" s="2"/>
    </row>
    <row r="173" spans="1:110">
      <c r="A173" s="1"/>
      <c r="B173" s="4"/>
      <c r="C173" s="1"/>
      <c r="D173" s="1"/>
      <c r="E173" s="1"/>
      <c r="F173" s="1"/>
      <c r="G173" s="1"/>
      <c r="H173" s="2"/>
      <c r="I173" s="1"/>
      <c r="J173" s="1"/>
      <c r="K173" s="5"/>
      <c r="L173" s="6"/>
      <c r="Q173" s="5"/>
      <c r="R173" s="6"/>
      <c r="X173" s="2"/>
      <c r="Y173" s="1"/>
      <c r="AF173" s="2"/>
      <c r="AG173" s="1"/>
      <c r="BG173" s="1"/>
      <c r="BS173" s="3"/>
      <c r="CC173" s="1"/>
      <c r="CE173" s="1"/>
      <c r="CF173" s="1"/>
      <c r="CJ173" s="1"/>
      <c r="DF173" s="2"/>
    </row>
    <row r="174" spans="1:110">
      <c r="A174" s="1"/>
      <c r="B174" s="4"/>
      <c r="C174" s="1"/>
      <c r="D174" s="1"/>
      <c r="E174" s="1"/>
      <c r="F174" s="1"/>
      <c r="G174" s="1"/>
      <c r="H174" s="2"/>
      <c r="I174" s="1"/>
      <c r="J174" s="1"/>
      <c r="K174" s="5"/>
      <c r="L174" s="6"/>
      <c r="Q174" s="5"/>
      <c r="R174" s="6"/>
      <c r="X174" s="2"/>
      <c r="Y174" s="1"/>
      <c r="AF174" s="2"/>
      <c r="AG174" s="1"/>
      <c r="BG174" s="1"/>
      <c r="BS174" s="3"/>
      <c r="CC174" s="1"/>
      <c r="CE174" s="1"/>
      <c r="CF174" s="1"/>
      <c r="CJ174" s="1"/>
      <c r="DF174" s="2"/>
    </row>
    <row r="175" spans="1:110">
      <c r="A175" s="1"/>
      <c r="B175" s="4"/>
      <c r="C175" s="1"/>
      <c r="D175" s="1"/>
      <c r="E175" s="1"/>
      <c r="F175" s="1"/>
      <c r="G175" s="1"/>
      <c r="H175" s="2"/>
      <c r="I175" s="1"/>
      <c r="J175" s="1"/>
      <c r="K175" s="5"/>
      <c r="L175" s="6"/>
      <c r="Q175" s="5"/>
      <c r="R175" s="6"/>
      <c r="X175" s="2"/>
      <c r="Y175" s="1"/>
      <c r="AF175" s="2"/>
      <c r="AG175" s="1"/>
      <c r="BG175" s="1"/>
      <c r="BS175" s="3"/>
      <c r="CC175" s="1"/>
      <c r="CE175" s="1"/>
      <c r="CF175" s="1"/>
      <c r="CJ175" s="1"/>
      <c r="DF175" s="2"/>
    </row>
    <row r="176" spans="1:110">
      <c r="A176" s="1"/>
      <c r="B176" s="4"/>
      <c r="C176" s="1"/>
      <c r="D176" s="1"/>
      <c r="E176" s="1"/>
      <c r="F176" s="1"/>
      <c r="G176" s="1"/>
      <c r="H176" s="2"/>
      <c r="I176" s="1"/>
      <c r="J176" s="1"/>
      <c r="K176" s="5"/>
      <c r="L176" s="6"/>
      <c r="Q176" s="5"/>
      <c r="R176" s="6"/>
      <c r="X176" s="2"/>
      <c r="Y176" s="1"/>
      <c r="AF176" s="2"/>
      <c r="AG176" s="1"/>
      <c r="BG176" s="1"/>
      <c r="BS176" s="3"/>
      <c r="CC176" s="1"/>
      <c r="CE176" s="1"/>
      <c r="CF176" s="1"/>
      <c r="CJ176" s="1"/>
      <c r="DF176" s="2"/>
    </row>
    <row r="177" spans="1:110">
      <c r="A177" s="1"/>
      <c r="B177" s="4"/>
      <c r="C177" s="1"/>
      <c r="D177" s="1"/>
      <c r="E177" s="1"/>
      <c r="F177" s="1"/>
      <c r="G177" s="1"/>
      <c r="H177" s="2"/>
      <c r="I177" s="1"/>
      <c r="J177" s="1"/>
      <c r="K177" s="5"/>
      <c r="L177" s="6"/>
      <c r="Q177" s="5"/>
      <c r="R177" s="6"/>
      <c r="X177" s="2"/>
      <c r="Y177" s="1"/>
      <c r="AF177" s="2"/>
      <c r="AG177" s="1"/>
      <c r="BG177" s="1"/>
      <c r="BS177" s="3"/>
      <c r="CC177" s="1"/>
      <c r="CE177" s="1"/>
      <c r="CF177" s="1"/>
      <c r="CJ177" s="1"/>
      <c r="DF177" s="2"/>
    </row>
    <row r="178" spans="1:110">
      <c r="A178" s="1"/>
      <c r="B178" s="4"/>
      <c r="C178" s="1"/>
      <c r="D178" s="1"/>
      <c r="E178" s="1"/>
      <c r="F178" s="1"/>
      <c r="G178" s="1"/>
      <c r="H178" s="2"/>
      <c r="I178" s="1"/>
      <c r="J178" s="1"/>
      <c r="K178" s="5"/>
      <c r="L178" s="6"/>
      <c r="Q178" s="5"/>
      <c r="R178" s="6"/>
      <c r="X178" s="2"/>
      <c r="Y178" s="1"/>
      <c r="AF178" s="2"/>
      <c r="AG178" s="1"/>
      <c r="BG178" s="1"/>
      <c r="BS178" s="3"/>
      <c r="CC178" s="1"/>
      <c r="CE178" s="1"/>
      <c r="CF178" s="1"/>
      <c r="CJ178" s="1"/>
      <c r="DF178" s="2"/>
    </row>
    <row r="179" spans="1:110">
      <c r="A179" s="1"/>
      <c r="B179" s="4"/>
      <c r="C179" s="1"/>
      <c r="D179" s="1"/>
      <c r="E179" s="1"/>
      <c r="F179" s="1"/>
      <c r="G179" s="1"/>
      <c r="H179" s="2"/>
      <c r="I179" s="1"/>
      <c r="J179" s="1"/>
      <c r="K179" s="5"/>
      <c r="L179" s="6"/>
      <c r="Q179" s="5"/>
      <c r="R179" s="6"/>
      <c r="X179" s="2"/>
      <c r="Y179" s="1"/>
      <c r="AF179" s="2"/>
      <c r="AG179" s="1"/>
      <c r="BG179" s="1"/>
      <c r="BS179" s="3"/>
      <c r="CC179" s="1"/>
      <c r="CE179" s="1"/>
      <c r="CF179" s="1"/>
      <c r="CJ179" s="1"/>
      <c r="DF179" s="2"/>
    </row>
    <row r="180" spans="1:110">
      <c r="A180" s="1"/>
      <c r="B180" s="4"/>
      <c r="C180" s="1"/>
      <c r="D180" s="1"/>
      <c r="E180" s="1"/>
      <c r="F180" s="1"/>
      <c r="G180" s="1"/>
      <c r="H180" s="2"/>
      <c r="I180" s="1"/>
      <c r="J180" s="1"/>
      <c r="K180" s="5"/>
      <c r="L180" s="6"/>
      <c r="Q180" s="5"/>
      <c r="R180" s="6"/>
      <c r="X180" s="2"/>
      <c r="Y180" s="1"/>
      <c r="AF180" s="2"/>
      <c r="AG180" s="1"/>
      <c r="BG180" s="1"/>
      <c r="BS180" s="3"/>
      <c r="CC180" s="1"/>
      <c r="CE180" s="1"/>
      <c r="CF180" s="1"/>
      <c r="CJ180" s="1"/>
      <c r="DF180" s="2"/>
    </row>
    <row r="181" spans="1:110">
      <c r="A181" s="1"/>
      <c r="B181" s="4"/>
      <c r="C181" s="1"/>
      <c r="D181" s="1"/>
      <c r="E181" s="1"/>
      <c r="F181" s="1"/>
      <c r="G181" s="1"/>
      <c r="H181" s="2"/>
      <c r="I181" s="1"/>
      <c r="J181" s="1"/>
      <c r="K181" s="5"/>
      <c r="L181" s="6"/>
      <c r="Q181" s="5"/>
      <c r="R181" s="6"/>
      <c r="X181" s="2"/>
      <c r="Y181" s="1"/>
      <c r="AF181" s="2"/>
      <c r="AG181" s="1"/>
      <c r="BG181" s="1"/>
      <c r="BS181" s="3"/>
      <c r="CC181" s="1"/>
      <c r="CE181" s="1"/>
      <c r="CF181" s="1"/>
      <c r="CJ181" s="1"/>
      <c r="DF181" s="2"/>
    </row>
    <row r="182" spans="1:110">
      <c r="A182" s="1"/>
      <c r="B182" s="4"/>
      <c r="C182" s="1"/>
      <c r="D182" s="1"/>
      <c r="E182" s="1"/>
      <c r="F182" s="1"/>
      <c r="G182" s="1"/>
      <c r="H182" s="2"/>
      <c r="I182" s="1"/>
      <c r="J182" s="1"/>
      <c r="K182" s="5"/>
      <c r="L182" s="6"/>
      <c r="Q182" s="5"/>
      <c r="R182" s="6"/>
      <c r="X182" s="2"/>
      <c r="Y182" s="1"/>
      <c r="AF182" s="2"/>
      <c r="AG182" s="1"/>
      <c r="BG182" s="1"/>
      <c r="BS182" s="3"/>
      <c r="CC182" s="1"/>
      <c r="CE182" s="1"/>
      <c r="CF182" s="1"/>
      <c r="CJ182" s="1"/>
      <c r="DF182" s="2"/>
    </row>
    <row r="183" spans="1:110">
      <c r="A183" s="1"/>
      <c r="B183" s="4"/>
      <c r="C183" s="1"/>
      <c r="D183" s="1"/>
      <c r="E183" s="1"/>
      <c r="F183" s="1"/>
      <c r="G183" s="1"/>
      <c r="H183" s="2"/>
      <c r="I183" s="1"/>
      <c r="J183" s="1"/>
      <c r="K183" s="5"/>
      <c r="L183" s="6"/>
      <c r="Q183" s="5"/>
      <c r="R183" s="6"/>
      <c r="X183" s="2"/>
      <c r="Y183" s="1"/>
      <c r="AF183" s="2"/>
      <c r="AG183" s="1"/>
      <c r="BG183" s="1"/>
      <c r="BS183" s="3"/>
      <c r="CC183" s="1"/>
      <c r="CE183" s="1"/>
      <c r="CF183" s="1"/>
      <c r="CJ183" s="1"/>
      <c r="DF183" s="2"/>
    </row>
    <row r="184" spans="1:110">
      <c r="A184" s="1"/>
      <c r="B184" s="4"/>
      <c r="C184" s="1"/>
      <c r="D184" s="1"/>
      <c r="E184" s="1"/>
      <c r="F184" s="1"/>
      <c r="G184" s="1"/>
      <c r="H184" s="2"/>
      <c r="I184" s="1"/>
      <c r="J184" s="1"/>
      <c r="K184" s="5"/>
      <c r="L184" s="6"/>
      <c r="Q184" s="5"/>
      <c r="R184" s="6"/>
      <c r="X184" s="2"/>
      <c r="Y184" s="1"/>
      <c r="AF184" s="2"/>
      <c r="AG184" s="1"/>
      <c r="BG184" s="1"/>
      <c r="BS184" s="3"/>
      <c r="CC184" s="1"/>
      <c r="CE184" s="1"/>
      <c r="CF184" s="1"/>
      <c r="CJ184" s="1"/>
      <c r="DF184" s="2"/>
    </row>
    <row r="185" spans="1:110">
      <c r="A185" s="1"/>
      <c r="B185" s="4"/>
      <c r="C185" s="1"/>
      <c r="D185" s="1"/>
      <c r="E185" s="1"/>
      <c r="F185" s="1"/>
      <c r="G185" s="1"/>
      <c r="H185" s="2"/>
      <c r="I185" s="1"/>
      <c r="J185" s="1"/>
      <c r="K185" s="5"/>
      <c r="L185" s="6"/>
      <c r="Q185" s="5"/>
      <c r="R185" s="6"/>
      <c r="X185" s="2"/>
      <c r="Y185" s="1"/>
      <c r="AF185" s="2"/>
      <c r="AG185" s="1"/>
      <c r="BG185" s="1"/>
      <c r="BS185" s="3"/>
      <c r="CC185" s="1"/>
      <c r="CE185" s="1"/>
      <c r="CF185" s="1"/>
      <c r="CJ185" s="1"/>
      <c r="DF185" s="2"/>
    </row>
    <row r="186" spans="1:110">
      <c r="A186" s="1"/>
      <c r="B186" s="4"/>
      <c r="C186" s="1"/>
      <c r="D186" s="1"/>
      <c r="E186" s="1"/>
      <c r="F186" s="1"/>
      <c r="G186" s="1"/>
      <c r="H186" s="2"/>
      <c r="I186" s="1"/>
      <c r="J186" s="1"/>
      <c r="K186" s="5"/>
      <c r="L186" s="6"/>
      <c r="Q186" s="5"/>
      <c r="R186" s="6"/>
      <c r="X186" s="2"/>
      <c r="Y186" s="1"/>
      <c r="AF186" s="2"/>
      <c r="AG186" s="1"/>
      <c r="BG186" s="1"/>
      <c r="BS186" s="3"/>
      <c r="CC186" s="1"/>
      <c r="CE186" s="1"/>
      <c r="CF186" s="1"/>
      <c r="CJ186" s="1"/>
      <c r="DF186" s="2"/>
    </row>
    <row r="187" spans="1:110">
      <c r="A187" s="1"/>
      <c r="B187" s="4"/>
      <c r="C187" s="1"/>
      <c r="D187" s="1"/>
      <c r="E187" s="1"/>
      <c r="F187" s="1"/>
      <c r="G187" s="1"/>
      <c r="H187" s="2"/>
      <c r="I187" s="1"/>
      <c r="J187" s="1"/>
      <c r="K187" s="5"/>
      <c r="L187" s="6"/>
      <c r="Q187" s="5"/>
      <c r="R187" s="6"/>
      <c r="X187" s="2"/>
      <c r="Y187" s="1"/>
      <c r="AF187" s="2"/>
      <c r="AG187" s="1"/>
      <c r="BG187" s="1"/>
      <c r="BS187" s="3"/>
      <c r="CC187" s="1"/>
      <c r="CE187" s="1"/>
      <c r="CF187" s="1"/>
      <c r="CJ187" s="1"/>
      <c r="DF187" s="2"/>
    </row>
    <row r="188" spans="1:110">
      <c r="A188" s="1"/>
      <c r="B188" s="4"/>
      <c r="C188" s="1"/>
      <c r="D188" s="1"/>
      <c r="E188" s="1"/>
      <c r="F188" s="1"/>
      <c r="G188" s="1"/>
      <c r="H188" s="2"/>
      <c r="I188" s="1"/>
      <c r="J188" s="1"/>
      <c r="K188" s="5"/>
      <c r="L188" s="6"/>
      <c r="Q188" s="5"/>
      <c r="R188" s="6"/>
      <c r="X188" s="2"/>
      <c r="Y188" s="1"/>
      <c r="AF188" s="2"/>
      <c r="AG188" s="1"/>
      <c r="BG188" s="1"/>
      <c r="BS188" s="3"/>
      <c r="CC188" s="1"/>
      <c r="CE188" s="1"/>
      <c r="CF188" s="1"/>
      <c r="CJ188" s="1"/>
      <c r="DF188" s="2"/>
    </row>
    <row r="189" spans="1:110">
      <c r="A189" s="1"/>
      <c r="B189" s="4"/>
      <c r="C189" s="1"/>
      <c r="D189" s="1"/>
      <c r="E189" s="1"/>
      <c r="F189" s="1"/>
      <c r="G189" s="1"/>
      <c r="H189" s="2"/>
      <c r="I189" s="1"/>
      <c r="J189" s="1"/>
      <c r="K189" s="5"/>
      <c r="L189" s="6"/>
      <c r="Q189" s="5"/>
      <c r="R189" s="6"/>
      <c r="X189" s="2"/>
      <c r="Y189" s="1"/>
      <c r="AF189" s="2"/>
      <c r="AG189" s="1"/>
      <c r="BG189" s="1"/>
      <c r="BS189" s="3"/>
      <c r="CC189" s="1"/>
      <c r="CE189" s="1"/>
      <c r="CF189" s="1"/>
      <c r="CJ189" s="1"/>
      <c r="DF189" s="2"/>
    </row>
    <row r="190" spans="1:110">
      <c r="A190" s="1"/>
      <c r="B190" s="4"/>
      <c r="C190" s="1"/>
      <c r="D190" s="1"/>
      <c r="E190" s="1"/>
      <c r="F190" s="1"/>
      <c r="G190" s="1"/>
      <c r="H190" s="2"/>
      <c r="I190" s="1"/>
      <c r="J190" s="1"/>
      <c r="K190" s="5"/>
      <c r="L190" s="6"/>
      <c r="Q190" s="5"/>
      <c r="R190" s="6"/>
      <c r="X190" s="2"/>
      <c r="Y190" s="1"/>
      <c r="AF190" s="2"/>
      <c r="AG190" s="1"/>
      <c r="BG190" s="1"/>
      <c r="BS190" s="3"/>
      <c r="CC190" s="1"/>
      <c r="CE190" s="1"/>
      <c r="CF190" s="1"/>
      <c r="CJ190" s="1"/>
      <c r="DF190" s="2"/>
    </row>
    <row r="191" spans="1:110">
      <c r="A191" s="1"/>
      <c r="B191" s="4"/>
      <c r="C191" s="1"/>
      <c r="D191" s="1"/>
      <c r="E191" s="1"/>
      <c r="F191" s="1"/>
      <c r="G191" s="1"/>
      <c r="H191" s="2"/>
      <c r="I191" s="1"/>
      <c r="J191" s="1"/>
      <c r="K191" s="5"/>
      <c r="L191" s="6"/>
      <c r="Q191" s="5"/>
      <c r="R191" s="6"/>
      <c r="X191" s="2"/>
      <c r="Y191" s="1"/>
      <c r="AF191" s="2"/>
      <c r="AG191" s="1"/>
      <c r="BG191" s="1"/>
      <c r="BS191" s="3"/>
      <c r="CC191" s="1"/>
      <c r="CE191" s="1"/>
      <c r="CF191" s="1"/>
      <c r="CJ191" s="1"/>
      <c r="DF191" s="2"/>
    </row>
    <row r="192" spans="1:110">
      <c r="A192" s="1"/>
      <c r="B192" s="4"/>
      <c r="C192" s="1"/>
      <c r="D192" s="1"/>
      <c r="E192" s="1"/>
      <c r="F192" s="1"/>
      <c r="G192" s="1"/>
      <c r="H192" s="2"/>
      <c r="I192" s="1"/>
      <c r="J192" s="1"/>
      <c r="K192" s="5"/>
      <c r="L192" s="6"/>
      <c r="Q192" s="5"/>
      <c r="R192" s="6"/>
      <c r="X192" s="2"/>
      <c r="Y192" s="1"/>
      <c r="AF192" s="2"/>
      <c r="AG192" s="1"/>
      <c r="BG192" s="1"/>
      <c r="BS192" s="3"/>
      <c r="CC192" s="1"/>
      <c r="CE192" s="1"/>
      <c r="CF192" s="1"/>
      <c r="CJ192" s="1"/>
      <c r="DF192" s="2"/>
    </row>
    <row r="193" spans="1:110">
      <c r="A193" s="1"/>
      <c r="B193" s="4"/>
      <c r="C193" s="1"/>
      <c r="D193" s="1"/>
      <c r="E193" s="1"/>
      <c r="F193" s="1"/>
      <c r="G193" s="1"/>
      <c r="H193" s="2"/>
      <c r="I193" s="1"/>
      <c r="J193" s="1"/>
      <c r="K193" s="5"/>
      <c r="L193" s="6"/>
      <c r="Q193" s="5"/>
      <c r="R193" s="6"/>
      <c r="X193" s="2"/>
      <c r="Y193" s="1"/>
      <c r="AF193" s="2"/>
      <c r="AG193" s="1"/>
      <c r="BG193" s="1"/>
      <c r="BS193" s="3"/>
      <c r="CC193" s="1"/>
      <c r="CE193" s="1"/>
      <c r="CF193" s="1"/>
      <c r="CJ193" s="1"/>
      <c r="DF193" s="2"/>
    </row>
    <row r="194" spans="1:110">
      <c r="A194" s="1"/>
      <c r="B194" s="4"/>
      <c r="C194" s="1"/>
      <c r="D194" s="1"/>
      <c r="E194" s="1"/>
      <c r="F194" s="1"/>
      <c r="G194" s="1"/>
      <c r="H194" s="2"/>
      <c r="I194" s="1"/>
      <c r="J194" s="1"/>
      <c r="K194" s="5"/>
      <c r="L194" s="6"/>
      <c r="Q194" s="5"/>
      <c r="R194" s="6"/>
      <c r="X194" s="2"/>
      <c r="Y194" s="1"/>
      <c r="AF194" s="2"/>
      <c r="AG194" s="1"/>
      <c r="BG194" s="1"/>
      <c r="BS194" s="3"/>
      <c r="CC194" s="1"/>
      <c r="CE194" s="1"/>
      <c r="CF194" s="1"/>
      <c r="CJ194" s="1"/>
      <c r="DF194" s="2"/>
    </row>
    <row r="195" spans="1:110">
      <c r="A195" s="1"/>
      <c r="B195" s="4"/>
      <c r="C195" s="1"/>
      <c r="D195" s="1"/>
      <c r="E195" s="1"/>
      <c r="F195" s="1"/>
      <c r="G195" s="1"/>
      <c r="H195" s="2"/>
      <c r="I195" s="1"/>
      <c r="J195" s="1"/>
      <c r="K195" s="5"/>
      <c r="L195" s="6"/>
      <c r="Q195" s="5"/>
      <c r="R195" s="6"/>
      <c r="X195" s="2"/>
      <c r="Y195" s="1"/>
      <c r="AF195" s="2"/>
      <c r="AG195" s="1"/>
      <c r="BG195" s="1"/>
      <c r="BS195" s="3"/>
      <c r="CC195" s="1"/>
      <c r="CE195" s="1"/>
      <c r="CF195" s="1"/>
      <c r="CJ195" s="1"/>
      <c r="DF195" s="2"/>
    </row>
    <row r="196" spans="1:110">
      <c r="A196" s="1"/>
      <c r="B196" s="4"/>
      <c r="C196" s="1"/>
      <c r="D196" s="1"/>
      <c r="E196" s="1"/>
      <c r="F196" s="1"/>
      <c r="G196" s="1"/>
      <c r="H196" s="2"/>
      <c r="I196" s="1"/>
      <c r="J196" s="1"/>
      <c r="K196" s="5"/>
      <c r="L196" s="6"/>
      <c r="Q196" s="5"/>
      <c r="R196" s="6"/>
      <c r="X196" s="2"/>
      <c r="Y196" s="1"/>
      <c r="AF196" s="2"/>
      <c r="AG196" s="1"/>
      <c r="BG196" s="1"/>
      <c r="BS196" s="3"/>
      <c r="CC196" s="1"/>
      <c r="CE196" s="1"/>
      <c r="CF196" s="1"/>
      <c r="CJ196" s="1"/>
      <c r="DF196" s="2"/>
    </row>
    <row r="197" spans="1:110">
      <c r="A197" s="1"/>
      <c r="B197" s="4"/>
      <c r="C197" s="1"/>
      <c r="D197" s="1"/>
      <c r="E197" s="1"/>
      <c r="F197" s="1"/>
      <c r="G197" s="1"/>
      <c r="H197" s="2"/>
      <c r="I197" s="1"/>
      <c r="J197" s="1"/>
      <c r="K197" s="5"/>
      <c r="L197" s="6"/>
      <c r="Q197" s="5"/>
      <c r="R197" s="6"/>
      <c r="X197" s="2"/>
      <c r="Y197" s="1"/>
      <c r="AF197" s="2"/>
      <c r="AG197" s="1"/>
      <c r="BG197" s="1"/>
      <c r="BS197" s="3"/>
      <c r="CC197" s="1"/>
      <c r="CE197" s="1"/>
      <c r="CF197" s="1"/>
      <c r="CJ197" s="1"/>
      <c r="DF197" s="2"/>
    </row>
    <row r="198" spans="1:110">
      <c r="A198" s="1"/>
      <c r="B198" s="4"/>
      <c r="C198" s="1"/>
      <c r="D198" s="1"/>
      <c r="E198" s="1"/>
      <c r="F198" s="1"/>
      <c r="G198" s="1"/>
      <c r="H198" s="2"/>
      <c r="I198" s="1"/>
      <c r="J198" s="1"/>
      <c r="K198" s="5"/>
      <c r="L198" s="6"/>
      <c r="Q198" s="5"/>
      <c r="R198" s="6"/>
      <c r="X198" s="2"/>
      <c r="Y198" s="1"/>
      <c r="AF198" s="2"/>
      <c r="AG198" s="1"/>
      <c r="BG198" s="1"/>
      <c r="BS198" s="3"/>
      <c r="CC198" s="1"/>
      <c r="CE198" s="1"/>
      <c r="CF198" s="1"/>
      <c r="CJ198" s="1"/>
      <c r="DF198" s="2"/>
    </row>
    <row r="199" spans="1:110">
      <c r="A199" s="1"/>
      <c r="B199" s="4"/>
      <c r="C199" s="1"/>
      <c r="D199" s="1"/>
      <c r="E199" s="1"/>
      <c r="F199" s="1"/>
      <c r="G199" s="1"/>
      <c r="H199" s="2"/>
      <c r="I199" s="1"/>
      <c r="J199" s="1"/>
      <c r="K199" s="5"/>
      <c r="L199" s="6"/>
      <c r="Q199" s="5"/>
      <c r="R199" s="6"/>
      <c r="X199" s="2"/>
      <c r="Y199" s="1"/>
      <c r="AF199" s="2"/>
      <c r="AG199" s="1"/>
      <c r="BG199" s="1"/>
      <c r="BS199" s="3"/>
      <c r="CC199" s="1"/>
      <c r="CE199" s="1"/>
      <c r="CF199" s="1"/>
      <c r="CJ199" s="1"/>
      <c r="DF199" s="2"/>
    </row>
    <row r="200" spans="1:110">
      <c r="A200" s="1"/>
      <c r="B200" s="4"/>
      <c r="C200" s="1"/>
      <c r="D200" s="1"/>
      <c r="E200" s="1"/>
      <c r="F200" s="1"/>
      <c r="G200" s="1"/>
      <c r="H200" s="2"/>
      <c r="I200" s="1"/>
      <c r="J200" s="1"/>
      <c r="K200" s="5"/>
      <c r="L200" s="6"/>
      <c r="Q200" s="5"/>
      <c r="R200" s="6"/>
      <c r="X200" s="2"/>
      <c r="Y200" s="1"/>
      <c r="AF200" s="2"/>
      <c r="AG200" s="1"/>
      <c r="BG200" s="1"/>
      <c r="BS200" s="3"/>
      <c r="CC200" s="1"/>
      <c r="CE200" s="1"/>
      <c r="CF200" s="1"/>
      <c r="CJ200" s="1"/>
      <c r="DF200" s="2"/>
    </row>
    <row r="201" spans="1:110">
      <c r="A201" s="1"/>
      <c r="B201" s="4"/>
      <c r="C201" s="1"/>
      <c r="D201" s="1"/>
      <c r="E201" s="1"/>
      <c r="F201" s="1"/>
      <c r="G201" s="1"/>
      <c r="H201" s="2"/>
      <c r="I201" s="1"/>
      <c r="J201" s="1"/>
      <c r="K201" s="5"/>
      <c r="L201" s="6"/>
      <c r="Q201" s="5"/>
      <c r="R201" s="6"/>
      <c r="X201" s="2"/>
      <c r="Y201" s="1"/>
      <c r="AF201" s="2"/>
      <c r="AG201" s="1"/>
      <c r="BG201" s="1"/>
      <c r="BS201" s="3"/>
      <c r="CC201" s="1"/>
      <c r="CE201" s="1"/>
      <c r="CF201" s="1"/>
      <c r="CJ201" s="1"/>
      <c r="DF201" s="2"/>
    </row>
    <row r="202" spans="1:110">
      <c r="A202" s="1"/>
      <c r="B202" s="4"/>
      <c r="C202" s="1"/>
      <c r="D202" s="1"/>
      <c r="E202" s="1"/>
      <c r="F202" s="1"/>
      <c r="G202" s="1"/>
      <c r="H202" s="2"/>
      <c r="I202" s="1"/>
      <c r="J202" s="1"/>
      <c r="K202" s="5"/>
      <c r="L202" s="6"/>
      <c r="Q202" s="5"/>
      <c r="R202" s="6"/>
      <c r="X202" s="2"/>
      <c r="Y202" s="1"/>
      <c r="AF202" s="2"/>
      <c r="AG202" s="1"/>
      <c r="BG202" s="1"/>
      <c r="BS202" s="3"/>
      <c r="CC202" s="1"/>
      <c r="CE202" s="1"/>
      <c r="CF202" s="1"/>
      <c r="CJ202" s="1"/>
      <c r="DF202" s="2"/>
    </row>
    <row r="203" spans="1:110">
      <c r="A203" s="1"/>
      <c r="B203" s="4"/>
      <c r="C203" s="1"/>
      <c r="D203" s="1"/>
      <c r="E203" s="1"/>
      <c r="F203" s="1"/>
      <c r="G203" s="1"/>
      <c r="H203" s="2"/>
      <c r="I203" s="1"/>
      <c r="J203" s="1"/>
      <c r="K203" s="5"/>
      <c r="L203" s="6"/>
      <c r="Q203" s="5"/>
      <c r="R203" s="6"/>
      <c r="X203" s="2"/>
      <c r="Y203" s="1"/>
      <c r="AF203" s="2"/>
      <c r="AG203" s="1"/>
      <c r="BG203" s="1"/>
      <c r="BS203" s="3"/>
      <c r="CC203" s="1"/>
      <c r="CE203" s="1"/>
      <c r="CF203" s="1"/>
      <c r="CJ203" s="1"/>
      <c r="DF203" s="2"/>
    </row>
    <row r="204" spans="1:110">
      <c r="A204" s="1"/>
      <c r="B204" s="4"/>
      <c r="C204" s="1"/>
      <c r="D204" s="1"/>
      <c r="E204" s="1"/>
      <c r="F204" s="1"/>
      <c r="G204" s="1"/>
      <c r="H204" s="2"/>
      <c r="I204" s="1"/>
      <c r="J204" s="1"/>
      <c r="K204" s="5"/>
      <c r="L204" s="6"/>
      <c r="Q204" s="5"/>
      <c r="R204" s="6"/>
      <c r="X204" s="2"/>
      <c r="Y204" s="1"/>
      <c r="AF204" s="2"/>
      <c r="AG204" s="1"/>
      <c r="BG204" s="1"/>
      <c r="BS204" s="3"/>
      <c r="CC204" s="1"/>
      <c r="CE204" s="1"/>
      <c r="CF204" s="1"/>
      <c r="CJ204" s="1"/>
      <c r="DF204" s="2"/>
    </row>
    <row r="205" spans="1:110">
      <c r="A205" s="1"/>
      <c r="B205" s="4"/>
      <c r="C205" s="1"/>
      <c r="D205" s="1"/>
      <c r="E205" s="1"/>
      <c r="F205" s="1"/>
      <c r="G205" s="1"/>
      <c r="H205" s="2"/>
      <c r="I205" s="1"/>
      <c r="J205" s="1"/>
      <c r="K205" s="5"/>
      <c r="L205" s="6"/>
      <c r="Q205" s="5"/>
      <c r="R205" s="6"/>
      <c r="X205" s="2"/>
      <c r="Y205" s="1"/>
      <c r="AF205" s="2"/>
      <c r="AG205" s="1"/>
      <c r="BG205" s="1"/>
      <c r="BS205" s="3"/>
      <c r="CC205" s="1"/>
      <c r="CE205" s="1"/>
      <c r="CF205" s="1"/>
      <c r="CJ205" s="1"/>
      <c r="DF205" s="2"/>
    </row>
    <row r="206" spans="1:110">
      <c r="A206" s="1"/>
      <c r="B206" s="4"/>
      <c r="C206" s="1"/>
      <c r="D206" s="1"/>
      <c r="E206" s="1"/>
      <c r="F206" s="1"/>
      <c r="G206" s="1"/>
      <c r="H206" s="2"/>
      <c r="I206" s="1"/>
      <c r="J206" s="1"/>
      <c r="K206" s="5"/>
      <c r="L206" s="6"/>
      <c r="Q206" s="5"/>
      <c r="R206" s="6"/>
      <c r="X206" s="2"/>
      <c r="Y206" s="1"/>
      <c r="AF206" s="2"/>
      <c r="AG206" s="1"/>
      <c r="BG206" s="1"/>
      <c r="BS206" s="3"/>
      <c r="CC206" s="1"/>
      <c r="CE206" s="1"/>
      <c r="CF206" s="1"/>
      <c r="CJ206" s="1"/>
      <c r="DF206" s="2"/>
    </row>
    <row r="207" spans="1:110">
      <c r="A207" s="1"/>
      <c r="B207" s="4"/>
      <c r="C207" s="1"/>
      <c r="D207" s="1"/>
      <c r="E207" s="1"/>
      <c r="F207" s="1"/>
      <c r="G207" s="1"/>
      <c r="H207" s="2"/>
      <c r="I207" s="1"/>
      <c r="J207" s="1"/>
      <c r="K207" s="5"/>
      <c r="L207" s="6"/>
      <c r="Q207" s="5"/>
      <c r="R207" s="6"/>
      <c r="X207" s="2"/>
      <c r="Y207" s="1"/>
      <c r="AF207" s="2"/>
      <c r="AG207" s="1"/>
      <c r="BG207" s="1"/>
      <c r="BS207" s="3"/>
      <c r="CC207" s="1"/>
      <c r="CE207" s="1"/>
      <c r="CF207" s="1"/>
      <c r="CJ207" s="1"/>
      <c r="DF207" s="2"/>
    </row>
    <row r="208" spans="1:110">
      <c r="A208" s="1"/>
      <c r="B208" s="4"/>
      <c r="C208" s="1"/>
      <c r="D208" s="1"/>
      <c r="E208" s="1"/>
      <c r="F208" s="1"/>
      <c r="G208" s="1"/>
      <c r="H208" s="2"/>
      <c r="I208" s="1"/>
      <c r="J208" s="1"/>
      <c r="K208" s="5"/>
      <c r="L208" s="6"/>
      <c r="Q208" s="5"/>
      <c r="R208" s="6"/>
      <c r="X208" s="2"/>
      <c r="Y208" s="1"/>
      <c r="AF208" s="2"/>
      <c r="AG208" s="1"/>
      <c r="BG208" s="1"/>
      <c r="BS208" s="3"/>
      <c r="CC208" s="1"/>
      <c r="CE208" s="1"/>
      <c r="CF208" s="1"/>
      <c r="CJ208" s="1"/>
      <c r="DF208" s="2"/>
    </row>
    <row r="209" spans="1:110">
      <c r="A209" s="1"/>
      <c r="B209" s="4"/>
      <c r="C209" s="1"/>
      <c r="D209" s="1"/>
      <c r="E209" s="1"/>
      <c r="F209" s="1"/>
      <c r="G209" s="1"/>
      <c r="H209" s="2"/>
      <c r="I209" s="1"/>
      <c r="J209" s="1"/>
      <c r="K209" s="5"/>
      <c r="L209" s="6"/>
      <c r="Q209" s="5"/>
      <c r="R209" s="6"/>
      <c r="X209" s="2"/>
      <c r="Y209" s="1"/>
      <c r="AF209" s="2"/>
      <c r="AG209" s="1"/>
      <c r="BG209" s="1"/>
      <c r="BS209" s="3"/>
      <c r="CC209" s="1"/>
      <c r="CE209" s="1"/>
      <c r="CF209" s="1"/>
      <c r="CJ209" s="1"/>
      <c r="DF209" s="2"/>
    </row>
    <row r="210" spans="1:110">
      <c r="A210" s="1"/>
      <c r="B210" s="4"/>
      <c r="C210" s="1"/>
      <c r="D210" s="1"/>
      <c r="E210" s="1"/>
      <c r="F210" s="1"/>
      <c r="G210" s="1"/>
      <c r="H210" s="2"/>
      <c r="I210" s="1"/>
      <c r="J210" s="1"/>
      <c r="K210" s="5"/>
      <c r="L210" s="6"/>
      <c r="Q210" s="5"/>
      <c r="R210" s="6"/>
      <c r="X210" s="2"/>
      <c r="Y210" s="1"/>
      <c r="AF210" s="2"/>
      <c r="AG210" s="1"/>
      <c r="BG210" s="1"/>
      <c r="BS210" s="3"/>
      <c r="CC210" s="1"/>
      <c r="CE210" s="1"/>
      <c r="CF210" s="1"/>
      <c r="CJ210" s="1"/>
      <c r="DF210" s="2"/>
    </row>
    <row r="211" spans="1:110">
      <c r="A211" s="1"/>
      <c r="B211" s="4"/>
      <c r="C211" s="1"/>
      <c r="D211" s="1"/>
      <c r="E211" s="1"/>
      <c r="F211" s="1"/>
      <c r="G211" s="1"/>
      <c r="H211" s="2"/>
      <c r="I211" s="1"/>
      <c r="J211" s="1"/>
      <c r="K211" s="5"/>
      <c r="L211" s="6"/>
      <c r="Q211" s="5"/>
      <c r="R211" s="6"/>
      <c r="X211" s="2"/>
      <c r="Y211" s="1"/>
      <c r="AF211" s="2"/>
      <c r="AG211" s="1"/>
      <c r="BG211" s="1"/>
      <c r="BS211" s="3"/>
      <c r="CC211" s="1"/>
      <c r="CE211" s="1"/>
      <c r="CF211" s="1"/>
      <c r="CJ211" s="1"/>
      <c r="DF211" s="2"/>
    </row>
    <row r="212" spans="1:110">
      <c r="A212" s="1"/>
      <c r="B212" s="4"/>
      <c r="C212" s="1"/>
      <c r="D212" s="1"/>
      <c r="E212" s="1"/>
      <c r="F212" s="1"/>
      <c r="G212" s="1"/>
      <c r="H212" s="2"/>
      <c r="I212" s="1"/>
      <c r="J212" s="1"/>
      <c r="K212" s="5"/>
      <c r="L212" s="6"/>
      <c r="Q212" s="5"/>
      <c r="R212" s="6"/>
      <c r="X212" s="2"/>
      <c r="Y212" s="1"/>
      <c r="AF212" s="2"/>
      <c r="AG212" s="1"/>
      <c r="BG212" s="1"/>
      <c r="BS212" s="3"/>
      <c r="CC212" s="1"/>
      <c r="CE212" s="1"/>
      <c r="CF212" s="1"/>
      <c r="CJ212" s="1"/>
      <c r="DF212" s="2"/>
    </row>
    <row r="213" spans="1:110">
      <c r="A213" s="1"/>
      <c r="B213" s="4"/>
      <c r="C213" s="1"/>
      <c r="D213" s="1"/>
      <c r="E213" s="1"/>
      <c r="F213" s="1"/>
      <c r="G213" s="1"/>
      <c r="H213" s="2"/>
      <c r="I213" s="1"/>
      <c r="J213" s="1"/>
      <c r="K213" s="5"/>
      <c r="L213" s="6"/>
      <c r="Q213" s="5"/>
      <c r="R213" s="6"/>
      <c r="X213" s="2"/>
      <c r="Y213" s="1"/>
      <c r="AF213" s="2"/>
      <c r="AG213" s="1"/>
      <c r="BG213" s="1"/>
      <c r="BS213" s="3"/>
      <c r="CC213" s="1"/>
      <c r="CE213" s="1"/>
      <c r="CF213" s="1"/>
      <c r="CJ213" s="1"/>
      <c r="DF213" s="2"/>
    </row>
    <row r="214" spans="1:110">
      <c r="A214" s="1"/>
      <c r="B214" s="4"/>
      <c r="C214" s="1"/>
      <c r="D214" s="1"/>
      <c r="E214" s="1"/>
      <c r="F214" s="1"/>
      <c r="G214" s="1"/>
      <c r="H214" s="2"/>
      <c r="I214" s="1"/>
      <c r="J214" s="1"/>
      <c r="K214" s="5"/>
      <c r="L214" s="6"/>
      <c r="Q214" s="5"/>
      <c r="R214" s="6"/>
      <c r="X214" s="2"/>
      <c r="Y214" s="1"/>
      <c r="AF214" s="2"/>
      <c r="AG214" s="1"/>
      <c r="BG214" s="1"/>
      <c r="BS214" s="3"/>
      <c r="CC214" s="1"/>
      <c r="CE214" s="1"/>
      <c r="CF214" s="1"/>
      <c r="CJ214" s="1"/>
      <c r="DF214" s="2"/>
    </row>
    <row r="215" spans="1:110">
      <c r="A215" s="1"/>
      <c r="B215" s="4"/>
      <c r="C215" s="1"/>
      <c r="D215" s="1"/>
      <c r="E215" s="1"/>
      <c r="F215" s="1"/>
      <c r="G215" s="1"/>
      <c r="H215" s="2"/>
      <c r="I215" s="1"/>
      <c r="J215" s="1"/>
      <c r="K215" s="5"/>
      <c r="L215" s="6"/>
      <c r="Q215" s="5"/>
      <c r="R215" s="6"/>
      <c r="X215" s="2"/>
      <c r="Y215" s="1"/>
      <c r="AF215" s="2"/>
      <c r="AG215" s="1"/>
      <c r="BG215" s="1"/>
      <c r="BS215" s="3"/>
      <c r="CC215" s="1"/>
      <c r="CE215" s="1"/>
      <c r="CF215" s="1"/>
      <c r="CJ215" s="1"/>
      <c r="DF215" s="2"/>
    </row>
    <row r="216" spans="1:110">
      <c r="A216" s="1"/>
      <c r="B216" s="4"/>
      <c r="C216" s="1"/>
      <c r="D216" s="1"/>
      <c r="E216" s="1"/>
      <c r="F216" s="1"/>
      <c r="G216" s="1"/>
      <c r="H216" s="2"/>
      <c r="I216" s="1"/>
      <c r="J216" s="1"/>
      <c r="K216" s="5"/>
      <c r="L216" s="6"/>
      <c r="Q216" s="5"/>
      <c r="R216" s="6"/>
      <c r="X216" s="2"/>
      <c r="Y216" s="1"/>
      <c r="AF216" s="2"/>
      <c r="AG216" s="1"/>
      <c r="BG216" s="1"/>
      <c r="BS216" s="3"/>
      <c r="CC216" s="1"/>
      <c r="CE216" s="1"/>
      <c r="CF216" s="1"/>
      <c r="CJ216" s="1"/>
      <c r="DF216" s="2"/>
    </row>
    <row r="217" spans="1:110">
      <c r="A217" s="1"/>
      <c r="B217" s="4"/>
      <c r="C217" s="1"/>
      <c r="D217" s="1"/>
      <c r="E217" s="1"/>
      <c r="F217" s="1"/>
      <c r="G217" s="1"/>
      <c r="H217" s="2"/>
      <c r="I217" s="1"/>
      <c r="J217" s="1"/>
      <c r="K217" s="5"/>
      <c r="L217" s="6"/>
      <c r="Q217" s="5"/>
      <c r="R217" s="6"/>
      <c r="X217" s="2"/>
      <c r="Y217" s="1"/>
      <c r="AF217" s="2"/>
      <c r="AG217" s="1"/>
      <c r="BG217" s="1"/>
      <c r="BS217" s="3"/>
      <c r="CC217" s="1"/>
      <c r="CE217" s="1"/>
      <c r="CF217" s="1"/>
      <c r="CJ217" s="1"/>
      <c r="DF217" s="2"/>
    </row>
    <row r="218" spans="1:110">
      <c r="A218" s="1"/>
      <c r="B218" s="4"/>
      <c r="C218" s="1"/>
      <c r="D218" s="1"/>
      <c r="E218" s="1"/>
      <c r="F218" s="1"/>
      <c r="G218" s="1"/>
      <c r="H218" s="2"/>
      <c r="I218" s="1"/>
      <c r="J218" s="1"/>
      <c r="K218" s="5"/>
      <c r="L218" s="6"/>
      <c r="Q218" s="5"/>
      <c r="R218" s="6"/>
      <c r="X218" s="2"/>
      <c r="Y218" s="1"/>
      <c r="AF218" s="2"/>
      <c r="AG218" s="1"/>
      <c r="BG218" s="1"/>
      <c r="BS218" s="3"/>
      <c r="CC218" s="1"/>
      <c r="CE218" s="1"/>
      <c r="CF218" s="1"/>
      <c r="CJ218" s="1"/>
      <c r="DF218" s="2"/>
    </row>
    <row r="219" spans="1:110">
      <c r="A219" s="1"/>
      <c r="B219" s="4"/>
      <c r="C219" s="1"/>
      <c r="D219" s="1"/>
      <c r="E219" s="1"/>
      <c r="F219" s="1"/>
      <c r="G219" s="1"/>
      <c r="H219" s="2"/>
      <c r="I219" s="1"/>
      <c r="J219" s="1"/>
      <c r="K219" s="5"/>
      <c r="L219" s="6"/>
      <c r="Q219" s="5"/>
      <c r="R219" s="6"/>
      <c r="X219" s="2"/>
      <c r="Y219" s="1"/>
      <c r="AF219" s="2"/>
      <c r="AG219" s="1"/>
      <c r="BG219" s="1"/>
      <c r="BS219" s="3"/>
      <c r="CC219" s="1"/>
      <c r="CE219" s="1"/>
      <c r="CF219" s="1"/>
      <c r="CJ219" s="1"/>
      <c r="DF219" s="2"/>
    </row>
    <row r="220" spans="1:110">
      <c r="A220" s="1"/>
      <c r="B220" s="4"/>
      <c r="C220" s="1"/>
      <c r="D220" s="1"/>
      <c r="E220" s="1"/>
      <c r="F220" s="1"/>
      <c r="G220" s="1"/>
      <c r="H220" s="2"/>
      <c r="I220" s="1"/>
      <c r="J220" s="1"/>
      <c r="K220" s="5"/>
      <c r="L220" s="6"/>
      <c r="Q220" s="5"/>
      <c r="R220" s="6"/>
      <c r="X220" s="2"/>
      <c r="Y220" s="1"/>
      <c r="AF220" s="2"/>
      <c r="AG220" s="1"/>
      <c r="BG220" s="1"/>
      <c r="BS220" s="3"/>
      <c r="CC220" s="1"/>
      <c r="CE220" s="1"/>
      <c r="CF220" s="1"/>
      <c r="CJ220" s="1"/>
      <c r="DF220" s="2"/>
    </row>
    <row r="221" spans="1:110">
      <c r="A221" s="1"/>
      <c r="B221" s="4"/>
      <c r="C221" s="1"/>
      <c r="D221" s="1"/>
      <c r="E221" s="1"/>
      <c r="F221" s="1"/>
      <c r="G221" s="1"/>
      <c r="H221" s="2"/>
      <c r="I221" s="1"/>
      <c r="J221" s="1"/>
      <c r="K221" s="5"/>
      <c r="L221" s="6"/>
      <c r="Q221" s="5"/>
      <c r="R221" s="6"/>
      <c r="X221" s="2"/>
      <c r="Y221" s="1"/>
      <c r="AF221" s="2"/>
      <c r="AG221" s="1"/>
      <c r="BG221" s="1"/>
      <c r="BS221" s="3"/>
      <c r="CC221" s="1"/>
      <c r="CE221" s="1"/>
      <c r="CF221" s="1"/>
      <c r="CJ221" s="1"/>
      <c r="DF221" s="2"/>
    </row>
    <row r="222" spans="1:110">
      <c r="A222" s="1"/>
      <c r="B222" s="4"/>
      <c r="C222" s="1"/>
      <c r="D222" s="1"/>
      <c r="E222" s="1"/>
      <c r="F222" s="1"/>
      <c r="G222" s="1"/>
      <c r="H222" s="2"/>
      <c r="I222" s="1"/>
      <c r="J222" s="1"/>
      <c r="K222" s="5"/>
      <c r="L222" s="6"/>
      <c r="Q222" s="5"/>
      <c r="R222" s="6"/>
      <c r="X222" s="2"/>
      <c r="Y222" s="1"/>
      <c r="AF222" s="2"/>
      <c r="AG222" s="1"/>
      <c r="BG222" s="1"/>
      <c r="BS222" s="3"/>
      <c r="CC222" s="1"/>
      <c r="CE222" s="1"/>
      <c r="CF222" s="1"/>
      <c r="CJ222" s="1"/>
      <c r="DF222" s="2"/>
    </row>
    <row r="223" spans="1:110">
      <c r="A223" s="1"/>
      <c r="B223" s="4"/>
      <c r="C223" s="1"/>
      <c r="D223" s="1"/>
      <c r="E223" s="1"/>
      <c r="F223" s="1"/>
      <c r="G223" s="1"/>
      <c r="H223" s="2"/>
      <c r="I223" s="1"/>
      <c r="J223" s="1"/>
      <c r="K223" s="5"/>
      <c r="L223" s="6"/>
      <c r="Q223" s="5"/>
      <c r="R223" s="6"/>
      <c r="X223" s="2"/>
      <c r="Y223" s="1"/>
      <c r="AF223" s="2"/>
      <c r="AG223" s="1"/>
      <c r="BG223" s="1"/>
      <c r="BS223" s="3"/>
      <c r="CC223" s="1"/>
      <c r="CE223" s="1"/>
      <c r="CF223" s="1"/>
      <c r="CJ223" s="1"/>
      <c r="DF223" s="2"/>
    </row>
    <row r="224" spans="1:110">
      <c r="A224" s="1"/>
      <c r="B224" s="4"/>
      <c r="C224" s="1"/>
      <c r="D224" s="1"/>
      <c r="E224" s="1"/>
      <c r="F224" s="1"/>
      <c r="G224" s="1"/>
      <c r="H224" s="2"/>
      <c r="I224" s="1"/>
      <c r="J224" s="1"/>
      <c r="K224" s="5"/>
      <c r="L224" s="6"/>
      <c r="Q224" s="5"/>
      <c r="R224" s="6"/>
      <c r="X224" s="2"/>
      <c r="Y224" s="1"/>
      <c r="AF224" s="2"/>
      <c r="AG224" s="1"/>
      <c r="BG224" s="1"/>
      <c r="BS224" s="3"/>
      <c r="CC224" s="1"/>
      <c r="CE224" s="1"/>
      <c r="CF224" s="1"/>
      <c r="CJ224" s="1"/>
      <c r="DF224" s="2"/>
    </row>
    <row r="225" spans="1:110">
      <c r="A225" s="1"/>
      <c r="B225" s="4"/>
      <c r="C225" s="1"/>
      <c r="D225" s="1"/>
      <c r="E225" s="1"/>
      <c r="F225" s="1"/>
      <c r="G225" s="1"/>
      <c r="H225" s="2"/>
      <c r="I225" s="1"/>
      <c r="J225" s="1"/>
      <c r="K225" s="5"/>
      <c r="L225" s="6"/>
      <c r="Q225" s="5"/>
      <c r="R225" s="6"/>
      <c r="X225" s="2"/>
      <c r="Y225" s="1"/>
      <c r="AF225" s="2"/>
      <c r="AG225" s="1"/>
      <c r="BG225" s="1"/>
      <c r="BS225" s="3"/>
      <c r="CC225" s="1"/>
      <c r="CE225" s="1"/>
      <c r="CF225" s="1"/>
      <c r="CJ225" s="1"/>
      <c r="DF225" s="2"/>
    </row>
    <row r="226" spans="1:110">
      <c r="A226" s="1"/>
      <c r="B226" s="4"/>
      <c r="C226" s="1"/>
      <c r="D226" s="1"/>
      <c r="E226" s="1"/>
      <c r="F226" s="1"/>
      <c r="G226" s="1"/>
      <c r="H226" s="2"/>
      <c r="I226" s="1"/>
      <c r="J226" s="1"/>
      <c r="K226" s="5"/>
      <c r="L226" s="6"/>
      <c r="Q226" s="5"/>
      <c r="R226" s="6"/>
      <c r="X226" s="2"/>
      <c r="Y226" s="1"/>
      <c r="AF226" s="2"/>
      <c r="AG226" s="1"/>
      <c r="BG226" s="1"/>
      <c r="BS226" s="3"/>
      <c r="CC226" s="1"/>
      <c r="CE226" s="1"/>
      <c r="CF226" s="1"/>
      <c r="CJ226" s="1"/>
      <c r="DF226" s="2"/>
    </row>
    <row r="227" spans="1:110">
      <c r="A227" s="1"/>
      <c r="B227" s="4"/>
      <c r="C227" s="1"/>
      <c r="D227" s="1"/>
      <c r="E227" s="1"/>
      <c r="F227" s="1"/>
      <c r="G227" s="1"/>
      <c r="H227" s="2"/>
      <c r="I227" s="1"/>
      <c r="J227" s="1"/>
      <c r="K227" s="5"/>
      <c r="L227" s="6"/>
      <c r="Q227" s="5"/>
      <c r="R227" s="6"/>
      <c r="X227" s="2"/>
      <c r="Y227" s="1"/>
      <c r="AF227" s="2"/>
      <c r="AG227" s="1"/>
      <c r="BG227" s="1"/>
      <c r="BS227" s="3"/>
      <c r="CC227" s="1"/>
      <c r="CE227" s="1"/>
      <c r="CF227" s="1"/>
      <c r="CJ227" s="1"/>
      <c r="DF227" s="2"/>
    </row>
    <row r="228" spans="1:110">
      <c r="A228" s="1"/>
      <c r="B228" s="4"/>
      <c r="C228" s="1"/>
      <c r="D228" s="1"/>
      <c r="E228" s="1"/>
      <c r="F228" s="1"/>
      <c r="G228" s="1"/>
      <c r="H228" s="2"/>
      <c r="I228" s="1"/>
      <c r="J228" s="1"/>
      <c r="K228" s="5"/>
      <c r="L228" s="6"/>
      <c r="Q228" s="5"/>
      <c r="R228" s="6"/>
      <c r="X228" s="2"/>
      <c r="Y228" s="1"/>
      <c r="AF228" s="2"/>
      <c r="AG228" s="1"/>
      <c r="BG228" s="1"/>
      <c r="BS228" s="3"/>
      <c r="CC228" s="1"/>
      <c r="CE228" s="1"/>
      <c r="CF228" s="1"/>
      <c r="CJ228" s="1"/>
      <c r="DF228" s="2"/>
    </row>
    <row r="229" spans="1:110">
      <c r="A229" s="1"/>
      <c r="B229" s="4"/>
      <c r="C229" s="1"/>
      <c r="D229" s="1"/>
      <c r="E229" s="1"/>
      <c r="F229" s="1"/>
      <c r="G229" s="1"/>
      <c r="H229" s="2"/>
      <c r="I229" s="1"/>
      <c r="J229" s="1"/>
      <c r="K229" s="5"/>
      <c r="L229" s="6"/>
      <c r="Q229" s="5"/>
      <c r="R229" s="6"/>
      <c r="X229" s="2"/>
      <c r="Y229" s="1"/>
      <c r="AF229" s="2"/>
      <c r="AG229" s="1"/>
      <c r="BG229" s="1"/>
      <c r="BS229" s="3"/>
      <c r="CC229" s="1"/>
      <c r="CE229" s="1"/>
      <c r="CF229" s="1"/>
      <c r="CJ229" s="1"/>
      <c r="DF229" s="2"/>
    </row>
    <row r="230" spans="1:110">
      <c r="A230" s="1"/>
      <c r="B230" s="4"/>
      <c r="C230" s="1"/>
      <c r="D230" s="1"/>
      <c r="E230" s="1"/>
      <c r="F230" s="1"/>
      <c r="G230" s="1"/>
      <c r="H230" s="2"/>
      <c r="I230" s="1"/>
      <c r="J230" s="1"/>
      <c r="K230" s="5"/>
      <c r="L230" s="6"/>
      <c r="Q230" s="5"/>
      <c r="R230" s="6"/>
      <c r="X230" s="2"/>
      <c r="Y230" s="1"/>
      <c r="AF230" s="2"/>
      <c r="AG230" s="1"/>
      <c r="BG230" s="1"/>
      <c r="BS230" s="3"/>
      <c r="CC230" s="1"/>
      <c r="CE230" s="1"/>
      <c r="CF230" s="1"/>
      <c r="CJ230" s="1"/>
      <c r="DF230" s="2"/>
    </row>
    <row r="231" spans="1:110">
      <c r="A231" s="1"/>
      <c r="B231" s="4"/>
      <c r="C231" s="1"/>
      <c r="D231" s="1"/>
      <c r="E231" s="1"/>
      <c r="F231" s="1"/>
      <c r="G231" s="1"/>
      <c r="H231" s="2"/>
      <c r="I231" s="1"/>
      <c r="J231" s="1"/>
      <c r="K231" s="5"/>
      <c r="L231" s="6"/>
      <c r="Q231" s="5"/>
      <c r="R231" s="6"/>
      <c r="X231" s="2"/>
      <c r="Y231" s="1"/>
      <c r="AF231" s="2"/>
      <c r="AG231" s="1"/>
      <c r="BG231" s="1"/>
      <c r="BS231" s="3"/>
      <c r="CC231" s="1"/>
      <c r="CE231" s="1"/>
      <c r="CF231" s="1"/>
      <c r="CJ231" s="1"/>
      <c r="DF231" s="2"/>
    </row>
    <row r="232" spans="1:110">
      <c r="A232" s="1"/>
      <c r="B232" s="4"/>
      <c r="C232" s="1"/>
      <c r="D232" s="1"/>
      <c r="E232" s="1"/>
      <c r="F232" s="1"/>
      <c r="G232" s="1"/>
      <c r="H232" s="2"/>
      <c r="I232" s="1"/>
      <c r="J232" s="1"/>
      <c r="K232" s="5"/>
      <c r="L232" s="6"/>
      <c r="Q232" s="5"/>
      <c r="R232" s="6"/>
      <c r="X232" s="2"/>
      <c r="Y232" s="1"/>
      <c r="AF232" s="2"/>
      <c r="AG232" s="1"/>
      <c r="BG232" s="1"/>
      <c r="BS232" s="3"/>
      <c r="CC232" s="1"/>
      <c r="CE232" s="1"/>
      <c r="CF232" s="1"/>
      <c r="CJ232" s="1"/>
      <c r="DF232" s="2"/>
    </row>
    <row r="233" spans="1:110">
      <c r="A233" s="1"/>
      <c r="B233" s="4"/>
      <c r="C233" s="1"/>
      <c r="D233" s="1"/>
      <c r="E233" s="1"/>
      <c r="F233" s="1"/>
      <c r="G233" s="1"/>
      <c r="H233" s="2"/>
      <c r="I233" s="1"/>
      <c r="J233" s="1"/>
      <c r="K233" s="5"/>
      <c r="L233" s="6"/>
      <c r="Q233" s="5"/>
      <c r="R233" s="6"/>
      <c r="X233" s="2"/>
      <c r="Y233" s="1"/>
      <c r="AF233" s="2"/>
      <c r="AG233" s="1"/>
      <c r="BG233" s="1"/>
      <c r="BS233" s="3"/>
      <c r="CC233" s="1"/>
      <c r="CE233" s="1"/>
      <c r="CF233" s="1"/>
      <c r="CJ233" s="1"/>
      <c r="DF233" s="2"/>
    </row>
    <row r="234" spans="1:110">
      <c r="A234" s="1"/>
      <c r="B234" s="4"/>
      <c r="C234" s="1"/>
      <c r="D234" s="1"/>
      <c r="E234" s="1"/>
      <c r="F234" s="1"/>
      <c r="G234" s="1"/>
      <c r="H234" s="2"/>
      <c r="I234" s="1"/>
      <c r="J234" s="1"/>
      <c r="K234" s="5"/>
      <c r="L234" s="6"/>
      <c r="Q234" s="5"/>
      <c r="R234" s="6"/>
      <c r="X234" s="2"/>
      <c r="Y234" s="1"/>
      <c r="AF234" s="2"/>
      <c r="AG234" s="1"/>
      <c r="BG234" s="1"/>
      <c r="BS234" s="3"/>
      <c r="CC234" s="1"/>
      <c r="CE234" s="1"/>
      <c r="CF234" s="1"/>
      <c r="CJ234" s="1"/>
      <c r="DF234" s="2"/>
    </row>
    <row r="235" spans="1:110">
      <c r="A235" s="1"/>
      <c r="B235" s="4"/>
      <c r="C235" s="1"/>
      <c r="D235" s="1"/>
      <c r="E235" s="1"/>
      <c r="F235" s="1"/>
      <c r="G235" s="1"/>
      <c r="H235" s="2"/>
      <c r="I235" s="1"/>
      <c r="J235" s="1"/>
      <c r="K235" s="5"/>
      <c r="L235" s="6"/>
      <c r="Q235" s="5"/>
      <c r="R235" s="6"/>
      <c r="X235" s="2"/>
      <c r="Y235" s="1"/>
      <c r="AF235" s="2"/>
      <c r="AG235" s="1"/>
      <c r="BG235" s="1"/>
      <c r="BS235" s="3"/>
      <c r="CC235" s="1"/>
      <c r="CE235" s="1"/>
      <c r="CF235" s="1"/>
      <c r="CJ235" s="1"/>
      <c r="DF235" s="2"/>
    </row>
    <row r="236" spans="1:110">
      <c r="A236" s="1"/>
      <c r="B236" s="4"/>
      <c r="C236" s="1"/>
      <c r="D236" s="1"/>
      <c r="E236" s="1"/>
      <c r="F236" s="1"/>
      <c r="G236" s="1"/>
      <c r="H236" s="2"/>
      <c r="I236" s="1"/>
      <c r="J236" s="1"/>
      <c r="K236" s="5"/>
      <c r="L236" s="6"/>
      <c r="Q236" s="5"/>
      <c r="R236" s="6"/>
      <c r="X236" s="2"/>
      <c r="Y236" s="1"/>
      <c r="AF236" s="2"/>
      <c r="AG236" s="1"/>
      <c r="BG236" s="1"/>
      <c r="BS236" s="3"/>
      <c r="CC236" s="1"/>
      <c r="CE236" s="1"/>
      <c r="CF236" s="1"/>
      <c r="CJ236" s="1"/>
      <c r="DF236" s="2"/>
    </row>
    <row r="237" spans="1:110">
      <c r="A237" s="1"/>
      <c r="B237" s="4"/>
      <c r="C237" s="1"/>
      <c r="D237" s="1"/>
      <c r="E237" s="1"/>
      <c r="F237" s="1"/>
      <c r="G237" s="1"/>
      <c r="H237" s="2"/>
      <c r="I237" s="1"/>
      <c r="J237" s="1"/>
      <c r="K237" s="5"/>
      <c r="L237" s="6"/>
      <c r="Q237" s="5"/>
      <c r="R237" s="6"/>
      <c r="X237" s="2"/>
      <c r="Y237" s="1"/>
      <c r="AF237" s="2"/>
      <c r="AG237" s="1"/>
      <c r="BG237" s="1"/>
      <c r="BS237" s="3"/>
      <c r="CC237" s="1"/>
      <c r="CE237" s="1"/>
      <c r="CF237" s="1"/>
      <c r="CJ237" s="1"/>
      <c r="DF237" s="2"/>
    </row>
    <row r="238" spans="1:110">
      <c r="A238" s="1"/>
      <c r="B238" s="4"/>
      <c r="C238" s="1"/>
      <c r="D238" s="1"/>
      <c r="E238" s="1"/>
      <c r="F238" s="1"/>
      <c r="G238" s="1"/>
      <c r="H238" s="2"/>
      <c r="I238" s="1"/>
      <c r="J238" s="1"/>
      <c r="K238" s="5"/>
      <c r="L238" s="6"/>
      <c r="Q238" s="5"/>
      <c r="R238" s="6"/>
      <c r="X238" s="2"/>
      <c r="Y238" s="1"/>
      <c r="AF238" s="2"/>
      <c r="AG238" s="1"/>
      <c r="BG238" s="1"/>
      <c r="BS238" s="3"/>
      <c r="CC238" s="1"/>
      <c r="CE238" s="1"/>
      <c r="CF238" s="1"/>
      <c r="CJ238" s="1"/>
      <c r="DF238" s="2"/>
    </row>
    <row r="239" spans="1:110">
      <c r="A239" s="1"/>
      <c r="B239" s="4"/>
      <c r="C239" s="1"/>
      <c r="D239" s="1"/>
      <c r="E239" s="1"/>
      <c r="F239" s="1"/>
      <c r="G239" s="1"/>
      <c r="H239" s="2"/>
      <c r="I239" s="1"/>
      <c r="J239" s="1"/>
      <c r="K239" s="5"/>
      <c r="L239" s="6"/>
      <c r="Q239" s="5"/>
      <c r="R239" s="6"/>
      <c r="X239" s="2"/>
      <c r="Y239" s="1"/>
      <c r="AF239" s="2"/>
      <c r="AG239" s="1"/>
      <c r="BG239" s="1"/>
      <c r="BS239" s="3"/>
      <c r="CC239" s="1"/>
      <c r="CE239" s="1"/>
      <c r="CF239" s="1"/>
      <c r="CJ239" s="1"/>
      <c r="DF239" s="2"/>
    </row>
    <row r="240" spans="1:110">
      <c r="A240" s="1"/>
      <c r="B240" s="4"/>
      <c r="C240" s="1"/>
      <c r="D240" s="1"/>
      <c r="E240" s="1"/>
      <c r="F240" s="1"/>
      <c r="G240" s="1"/>
      <c r="H240" s="2"/>
      <c r="I240" s="1"/>
      <c r="J240" s="1"/>
      <c r="K240" s="5"/>
      <c r="L240" s="6"/>
      <c r="Q240" s="5"/>
      <c r="R240" s="6"/>
      <c r="X240" s="2"/>
      <c r="Y240" s="1"/>
      <c r="AF240" s="2"/>
      <c r="AG240" s="1"/>
      <c r="BG240" s="1"/>
      <c r="BS240" s="3"/>
      <c r="CC240" s="1"/>
      <c r="CE240" s="1"/>
      <c r="CF240" s="1"/>
      <c r="CJ240" s="1"/>
      <c r="DF240" s="2"/>
    </row>
    <row r="241" spans="1:110">
      <c r="A241" s="1"/>
      <c r="B241" s="4"/>
      <c r="C241" s="1"/>
      <c r="D241" s="1"/>
      <c r="E241" s="1"/>
      <c r="F241" s="1"/>
      <c r="G241" s="1"/>
      <c r="H241" s="2"/>
      <c r="I241" s="1"/>
      <c r="J241" s="1"/>
      <c r="K241" s="5"/>
      <c r="L241" s="6"/>
      <c r="Q241" s="5"/>
      <c r="R241" s="6"/>
      <c r="X241" s="2"/>
      <c r="Y241" s="1"/>
      <c r="AF241" s="2"/>
      <c r="AG241" s="1"/>
      <c r="BG241" s="1"/>
      <c r="BS241" s="3"/>
      <c r="CC241" s="1"/>
      <c r="CE241" s="1"/>
      <c r="CF241" s="1"/>
      <c r="CJ241" s="1"/>
      <c r="DF241" s="2"/>
    </row>
    <row r="242" spans="1:110">
      <c r="A242" s="1"/>
      <c r="B242" s="4"/>
      <c r="C242" s="1"/>
      <c r="D242" s="1"/>
      <c r="E242" s="1"/>
      <c r="F242" s="1"/>
      <c r="G242" s="1"/>
      <c r="H242" s="2"/>
      <c r="I242" s="1"/>
      <c r="J242" s="1"/>
      <c r="K242" s="5"/>
      <c r="L242" s="6"/>
      <c r="Q242" s="5"/>
      <c r="R242" s="6"/>
      <c r="X242" s="2"/>
      <c r="Y242" s="1"/>
      <c r="AF242" s="2"/>
      <c r="AG242" s="1"/>
      <c r="BG242" s="1"/>
      <c r="BS242" s="3"/>
      <c r="CC242" s="1"/>
      <c r="CE242" s="1"/>
      <c r="CF242" s="1"/>
      <c r="CJ242" s="1"/>
      <c r="DF242" s="2"/>
    </row>
    <row r="243" spans="1:110">
      <c r="A243" s="1"/>
      <c r="B243" s="4"/>
      <c r="C243" s="1"/>
      <c r="D243" s="1"/>
      <c r="E243" s="1"/>
      <c r="F243" s="1"/>
      <c r="G243" s="1"/>
      <c r="H243" s="2"/>
      <c r="I243" s="1"/>
      <c r="J243" s="1"/>
      <c r="K243" s="5"/>
      <c r="L243" s="6"/>
      <c r="Q243" s="5"/>
      <c r="R243" s="6"/>
      <c r="X243" s="2"/>
      <c r="Y243" s="1"/>
      <c r="AF243" s="2"/>
      <c r="AG243" s="1"/>
      <c r="BG243" s="1"/>
      <c r="BS243" s="3"/>
      <c r="CC243" s="1"/>
      <c r="CE243" s="1"/>
      <c r="CF243" s="1"/>
      <c r="CJ243" s="1"/>
      <c r="DF243" s="2"/>
    </row>
    <row r="244" spans="1:110">
      <c r="A244" s="1"/>
      <c r="B244" s="4"/>
      <c r="C244" s="1"/>
      <c r="D244" s="1"/>
      <c r="E244" s="1"/>
      <c r="F244" s="1"/>
      <c r="G244" s="1"/>
      <c r="H244" s="2"/>
      <c r="I244" s="1"/>
      <c r="J244" s="1"/>
      <c r="K244" s="5"/>
      <c r="L244" s="6"/>
      <c r="Q244" s="5"/>
      <c r="R244" s="6"/>
      <c r="X244" s="2"/>
      <c r="Y244" s="1"/>
      <c r="AF244" s="2"/>
      <c r="AG244" s="1"/>
      <c r="BG244" s="1"/>
      <c r="BS244" s="3"/>
      <c r="CC244" s="1"/>
      <c r="CE244" s="1"/>
      <c r="CF244" s="1"/>
      <c r="CJ244" s="1"/>
      <c r="DF244" s="2"/>
    </row>
    <row r="245" spans="1:110">
      <c r="A245" s="1"/>
      <c r="B245" s="4"/>
      <c r="C245" s="1"/>
      <c r="D245" s="1"/>
      <c r="E245" s="1"/>
      <c r="F245" s="1"/>
      <c r="G245" s="1"/>
      <c r="H245" s="2"/>
      <c r="I245" s="1"/>
      <c r="J245" s="1"/>
      <c r="K245" s="5"/>
      <c r="L245" s="6"/>
      <c r="Q245" s="5"/>
      <c r="R245" s="6"/>
      <c r="X245" s="2"/>
      <c r="Y245" s="1"/>
      <c r="AF245" s="2"/>
      <c r="AG245" s="1"/>
      <c r="BG245" s="1"/>
      <c r="BS245" s="3"/>
      <c r="CC245" s="1"/>
      <c r="CE245" s="1"/>
      <c r="CF245" s="1"/>
      <c r="CJ245" s="1"/>
      <c r="DF245" s="2"/>
    </row>
    <row r="246" spans="1:110">
      <c r="A246" s="1"/>
      <c r="B246" s="4"/>
      <c r="C246" s="1"/>
      <c r="D246" s="1"/>
      <c r="E246" s="1"/>
      <c r="F246" s="1"/>
      <c r="G246" s="1"/>
      <c r="H246" s="2"/>
      <c r="I246" s="1"/>
      <c r="J246" s="1"/>
      <c r="K246" s="5"/>
      <c r="L246" s="6"/>
      <c r="Q246" s="5"/>
      <c r="R246" s="6"/>
      <c r="X246" s="2"/>
      <c r="Y246" s="1"/>
      <c r="AF246" s="2"/>
      <c r="AG246" s="1"/>
      <c r="BG246" s="1"/>
      <c r="BS246" s="3"/>
      <c r="CC246" s="1"/>
      <c r="CE246" s="1"/>
      <c r="CF246" s="1"/>
      <c r="CJ246" s="1"/>
      <c r="DF246" s="2"/>
    </row>
    <row r="247" spans="1:110">
      <c r="A247" s="1"/>
      <c r="B247" s="4"/>
      <c r="C247" s="1"/>
      <c r="D247" s="1"/>
      <c r="E247" s="1"/>
      <c r="F247" s="1"/>
      <c r="G247" s="1"/>
      <c r="H247" s="2"/>
      <c r="I247" s="1"/>
      <c r="J247" s="1"/>
      <c r="K247" s="5"/>
      <c r="L247" s="6"/>
      <c r="Q247" s="5"/>
      <c r="R247" s="6"/>
      <c r="X247" s="2"/>
      <c r="Y247" s="1"/>
      <c r="AF247" s="2"/>
      <c r="AG247" s="1"/>
      <c r="BG247" s="1"/>
      <c r="BS247" s="3"/>
      <c r="CC247" s="1"/>
      <c r="CE247" s="1"/>
      <c r="CF247" s="1"/>
      <c r="CJ247" s="1"/>
      <c r="DF247" s="2"/>
    </row>
    <row r="248" spans="1:110">
      <c r="A248" s="1"/>
      <c r="B248" s="4"/>
      <c r="C248" s="1"/>
      <c r="D248" s="1"/>
      <c r="E248" s="1"/>
      <c r="F248" s="1"/>
      <c r="G248" s="1"/>
      <c r="H248" s="2"/>
      <c r="I248" s="1"/>
      <c r="J248" s="1"/>
      <c r="K248" s="5"/>
      <c r="L248" s="6"/>
      <c r="Q248" s="5"/>
      <c r="R248" s="6"/>
      <c r="X248" s="2"/>
      <c r="Y248" s="1"/>
      <c r="AF248" s="2"/>
      <c r="AG248" s="1"/>
      <c r="BG248" s="1"/>
      <c r="BS248" s="3"/>
      <c r="CC248" s="1"/>
      <c r="CE248" s="1"/>
      <c r="CF248" s="1"/>
      <c r="CJ248" s="1"/>
      <c r="DF248" s="2"/>
    </row>
    <row r="249" spans="1:110">
      <c r="A249" s="1"/>
      <c r="B249" s="4"/>
      <c r="C249" s="1"/>
      <c r="D249" s="1"/>
      <c r="E249" s="1"/>
      <c r="F249" s="1"/>
      <c r="G249" s="1"/>
      <c r="H249" s="2"/>
      <c r="I249" s="1"/>
      <c r="J249" s="1"/>
      <c r="K249" s="5"/>
      <c r="L249" s="6"/>
      <c r="Q249" s="5"/>
      <c r="R249" s="6"/>
      <c r="X249" s="2"/>
      <c r="Y249" s="1"/>
      <c r="AF249" s="2"/>
      <c r="AG249" s="1"/>
      <c r="BG249" s="1"/>
      <c r="BS249" s="3"/>
      <c r="CC249" s="1"/>
      <c r="CE249" s="1"/>
      <c r="CF249" s="1"/>
      <c r="CJ249" s="1"/>
      <c r="DF249" s="2"/>
    </row>
    <row r="250" spans="1:110">
      <c r="A250" s="1"/>
      <c r="B250" s="4"/>
      <c r="C250" s="1"/>
      <c r="D250" s="1"/>
      <c r="E250" s="1"/>
      <c r="F250" s="1"/>
      <c r="G250" s="1"/>
      <c r="H250" s="2"/>
      <c r="I250" s="1"/>
      <c r="J250" s="1"/>
      <c r="K250" s="5"/>
      <c r="L250" s="6"/>
      <c r="Q250" s="5"/>
      <c r="R250" s="6"/>
      <c r="X250" s="2"/>
      <c r="Y250" s="1"/>
      <c r="AF250" s="2"/>
      <c r="AG250" s="1"/>
      <c r="BG250" s="1"/>
      <c r="BS250" s="3"/>
      <c r="CC250" s="1"/>
      <c r="CE250" s="1"/>
      <c r="CF250" s="1"/>
      <c r="CJ250" s="1"/>
      <c r="DF250" s="2"/>
    </row>
    <row r="251" spans="1:110">
      <c r="A251" s="1"/>
      <c r="B251" s="4"/>
      <c r="C251" s="1"/>
      <c r="D251" s="1"/>
      <c r="E251" s="1"/>
      <c r="F251" s="1"/>
      <c r="G251" s="1"/>
      <c r="H251" s="2"/>
      <c r="I251" s="1"/>
      <c r="J251" s="1"/>
      <c r="K251" s="5"/>
      <c r="L251" s="6"/>
      <c r="Q251" s="5"/>
      <c r="R251" s="6"/>
      <c r="X251" s="2"/>
      <c r="Y251" s="1"/>
      <c r="AF251" s="2"/>
      <c r="AG251" s="1"/>
      <c r="BG251" s="1"/>
      <c r="BS251" s="3"/>
      <c r="CC251" s="1"/>
      <c r="CE251" s="1"/>
      <c r="CF251" s="1"/>
      <c r="CJ251" s="1"/>
      <c r="DF251" s="2"/>
    </row>
    <row r="252" spans="1:110">
      <c r="A252" s="1"/>
      <c r="B252" s="4"/>
      <c r="C252" s="1"/>
      <c r="D252" s="1"/>
      <c r="E252" s="1"/>
      <c r="F252" s="1"/>
      <c r="G252" s="1"/>
      <c r="H252" s="2"/>
      <c r="I252" s="1"/>
      <c r="J252" s="1"/>
      <c r="K252" s="5"/>
      <c r="L252" s="6"/>
      <c r="Q252" s="5"/>
      <c r="R252" s="6"/>
      <c r="X252" s="2"/>
      <c r="Y252" s="1"/>
      <c r="AF252" s="2"/>
      <c r="AG252" s="1"/>
      <c r="BG252" s="1"/>
      <c r="BS252" s="3"/>
      <c r="CC252" s="1"/>
      <c r="CE252" s="1"/>
      <c r="CF252" s="1"/>
      <c r="CJ252" s="1"/>
      <c r="DF252" s="2"/>
    </row>
    <row r="253" spans="1:110">
      <c r="A253" s="1"/>
      <c r="B253" s="4"/>
      <c r="C253" s="1"/>
      <c r="D253" s="1"/>
      <c r="E253" s="1"/>
      <c r="F253" s="1"/>
      <c r="G253" s="1"/>
      <c r="H253" s="2"/>
      <c r="I253" s="1"/>
      <c r="J253" s="1"/>
      <c r="K253" s="5"/>
      <c r="L253" s="6"/>
      <c r="Q253" s="5"/>
      <c r="R253" s="6"/>
      <c r="X253" s="2"/>
      <c r="Y253" s="1"/>
      <c r="AF253" s="2"/>
      <c r="AG253" s="1"/>
      <c r="BG253" s="1"/>
      <c r="BS253" s="3"/>
      <c r="CC253" s="1"/>
      <c r="CE253" s="1"/>
      <c r="CF253" s="1"/>
      <c r="CJ253" s="1"/>
      <c r="DF253" s="2"/>
    </row>
    <row r="254" spans="1:110">
      <c r="A254" s="1"/>
      <c r="B254" s="4"/>
      <c r="C254" s="1"/>
      <c r="D254" s="1"/>
      <c r="E254" s="1"/>
      <c r="F254" s="1"/>
      <c r="G254" s="1"/>
      <c r="H254" s="2"/>
      <c r="I254" s="1"/>
      <c r="J254" s="1"/>
      <c r="K254" s="5"/>
      <c r="L254" s="6"/>
      <c r="Q254" s="5"/>
      <c r="R254" s="6"/>
      <c r="X254" s="2"/>
      <c r="Y254" s="1"/>
      <c r="AF254" s="2"/>
      <c r="AG254" s="1"/>
      <c r="BG254" s="1"/>
      <c r="BS254" s="3"/>
      <c r="CC254" s="1"/>
      <c r="CE254" s="1"/>
      <c r="CF254" s="1"/>
      <c r="CJ254" s="1"/>
      <c r="DF254" s="2"/>
    </row>
    <row r="255" spans="1:110">
      <c r="A255" s="1"/>
      <c r="B255" s="4"/>
      <c r="C255" s="1"/>
      <c r="D255" s="1"/>
      <c r="E255" s="1"/>
      <c r="F255" s="1"/>
      <c r="G255" s="1"/>
      <c r="H255" s="2"/>
      <c r="I255" s="1"/>
      <c r="J255" s="1"/>
      <c r="K255" s="5"/>
      <c r="L255" s="6"/>
      <c r="Q255" s="5"/>
      <c r="R255" s="6"/>
      <c r="X255" s="2"/>
      <c r="Y255" s="1"/>
      <c r="AF255" s="2"/>
      <c r="AG255" s="1"/>
      <c r="BG255" s="1"/>
      <c r="BS255" s="3"/>
      <c r="CC255" s="1"/>
      <c r="CE255" s="1"/>
      <c r="CF255" s="1"/>
      <c r="CJ255" s="1"/>
      <c r="DF255" s="2"/>
    </row>
    <row r="256" spans="1:110">
      <c r="A256" s="1"/>
      <c r="B256" s="4"/>
      <c r="C256" s="1"/>
      <c r="D256" s="1"/>
      <c r="E256" s="1"/>
      <c r="F256" s="1"/>
      <c r="G256" s="1"/>
      <c r="H256" s="2"/>
      <c r="I256" s="1"/>
      <c r="J256" s="1"/>
      <c r="K256" s="5"/>
      <c r="L256" s="6"/>
      <c r="Q256" s="5"/>
      <c r="R256" s="6"/>
      <c r="X256" s="2"/>
      <c r="Y256" s="1"/>
      <c r="AF256" s="2"/>
      <c r="AG256" s="1"/>
      <c r="BG256" s="1"/>
      <c r="BS256" s="3"/>
      <c r="CC256" s="1"/>
      <c r="CE256" s="1"/>
      <c r="CF256" s="1"/>
      <c r="CJ256" s="1"/>
      <c r="DF256" s="2"/>
    </row>
    <row r="257" spans="1:110">
      <c r="A257" s="1"/>
      <c r="B257" s="4"/>
      <c r="C257" s="1"/>
      <c r="D257" s="1"/>
      <c r="E257" s="1"/>
      <c r="F257" s="1"/>
      <c r="G257" s="1"/>
      <c r="H257" s="2"/>
      <c r="I257" s="1"/>
      <c r="J257" s="1"/>
      <c r="K257" s="5"/>
      <c r="L257" s="6"/>
      <c r="Q257" s="5"/>
      <c r="R257" s="6"/>
      <c r="X257" s="2"/>
      <c r="Y257" s="1"/>
      <c r="AF257" s="2"/>
      <c r="AG257" s="1"/>
      <c r="BG257" s="1"/>
      <c r="BS257" s="3"/>
      <c r="CC257" s="1"/>
      <c r="CE257" s="1"/>
      <c r="CF257" s="1"/>
      <c r="CJ257" s="1"/>
      <c r="DF257" s="2"/>
    </row>
    <row r="258" spans="1:110">
      <c r="A258" s="1"/>
      <c r="B258" s="4"/>
      <c r="C258" s="1"/>
      <c r="D258" s="1"/>
      <c r="E258" s="1"/>
      <c r="F258" s="1"/>
      <c r="G258" s="1"/>
      <c r="H258" s="2"/>
      <c r="I258" s="1"/>
      <c r="J258" s="1"/>
      <c r="K258" s="5"/>
      <c r="L258" s="6"/>
      <c r="Q258" s="5"/>
      <c r="R258" s="6"/>
      <c r="X258" s="2"/>
      <c r="Y258" s="1"/>
      <c r="AF258" s="2"/>
      <c r="AG258" s="1"/>
      <c r="BG258" s="1"/>
      <c r="BS258" s="3"/>
      <c r="CC258" s="1"/>
      <c r="CE258" s="1"/>
      <c r="CF258" s="1"/>
      <c r="CJ258" s="1"/>
      <c r="DF258" s="2"/>
    </row>
    <row r="259" spans="1:110">
      <c r="A259" s="1"/>
      <c r="B259" s="4"/>
      <c r="C259" s="1"/>
      <c r="D259" s="1"/>
      <c r="E259" s="1"/>
      <c r="F259" s="1"/>
      <c r="G259" s="1"/>
      <c r="H259" s="2"/>
      <c r="I259" s="1"/>
      <c r="J259" s="1"/>
      <c r="K259" s="5"/>
      <c r="L259" s="6"/>
      <c r="Q259" s="5"/>
      <c r="R259" s="6"/>
      <c r="X259" s="2"/>
      <c r="Y259" s="1"/>
      <c r="AF259" s="2"/>
      <c r="AG259" s="1"/>
      <c r="BG259" s="1"/>
      <c r="BS259" s="3"/>
      <c r="CC259" s="1"/>
      <c r="CE259" s="1"/>
      <c r="CF259" s="1"/>
      <c r="CJ259" s="1"/>
      <c r="DF259" s="2"/>
    </row>
    <row r="260" spans="1:110">
      <c r="A260" s="1"/>
      <c r="B260" s="4"/>
      <c r="C260" s="1"/>
      <c r="D260" s="1"/>
      <c r="E260" s="1"/>
      <c r="F260" s="1"/>
      <c r="G260" s="1"/>
      <c r="H260" s="2"/>
      <c r="I260" s="1"/>
      <c r="J260" s="1"/>
      <c r="K260" s="5"/>
      <c r="L260" s="6"/>
      <c r="Q260" s="5"/>
      <c r="R260" s="6"/>
      <c r="X260" s="2"/>
      <c r="Y260" s="1"/>
      <c r="AF260" s="2"/>
      <c r="AG260" s="1"/>
      <c r="BG260" s="1"/>
      <c r="BS260" s="3"/>
      <c r="CC260" s="1"/>
      <c r="CE260" s="1"/>
      <c r="CF260" s="1"/>
      <c r="CJ260" s="1"/>
      <c r="DF260" s="2"/>
    </row>
    <row r="261" spans="1:110">
      <c r="A261" s="1"/>
      <c r="B261" s="4"/>
      <c r="C261" s="1"/>
      <c r="D261" s="1"/>
      <c r="E261" s="1"/>
      <c r="F261" s="1"/>
      <c r="G261" s="1"/>
      <c r="H261" s="2"/>
      <c r="I261" s="1"/>
      <c r="J261" s="1"/>
      <c r="K261" s="5"/>
      <c r="L261" s="6"/>
      <c r="Q261" s="5"/>
      <c r="R261" s="6"/>
      <c r="X261" s="2"/>
      <c r="Y261" s="1"/>
      <c r="AF261" s="2"/>
      <c r="AG261" s="1"/>
      <c r="BG261" s="1"/>
      <c r="BS261" s="3"/>
      <c r="CC261" s="1"/>
      <c r="CE261" s="1"/>
      <c r="CF261" s="1"/>
      <c r="CJ261" s="1"/>
      <c r="DF261" s="2"/>
    </row>
    <row r="262" spans="1:110">
      <c r="A262" s="1"/>
      <c r="B262" s="4"/>
      <c r="C262" s="1"/>
      <c r="D262" s="1"/>
      <c r="E262" s="1"/>
      <c r="F262" s="1"/>
      <c r="G262" s="1"/>
      <c r="H262" s="2"/>
      <c r="I262" s="1"/>
      <c r="J262" s="1"/>
      <c r="K262" s="5"/>
      <c r="L262" s="6"/>
      <c r="Q262" s="5"/>
      <c r="R262" s="6"/>
      <c r="X262" s="2"/>
      <c r="Y262" s="1"/>
      <c r="AF262" s="2"/>
      <c r="AG262" s="1"/>
      <c r="BG262" s="1"/>
      <c r="BS262" s="3"/>
      <c r="CC262" s="1"/>
      <c r="CE262" s="1"/>
      <c r="CF262" s="1"/>
      <c r="CJ262" s="1"/>
      <c r="DF262" s="2"/>
    </row>
    <row r="263" spans="1:110">
      <c r="A263" s="1"/>
      <c r="B263" s="4"/>
      <c r="C263" s="1"/>
      <c r="D263" s="1"/>
      <c r="E263" s="1"/>
      <c r="F263" s="1"/>
      <c r="G263" s="1"/>
      <c r="H263" s="2"/>
      <c r="I263" s="1"/>
      <c r="J263" s="1"/>
      <c r="K263" s="5"/>
      <c r="L263" s="6"/>
      <c r="Q263" s="5"/>
      <c r="R263" s="6"/>
      <c r="X263" s="2"/>
      <c r="Y263" s="1"/>
      <c r="AF263" s="2"/>
      <c r="AG263" s="1"/>
      <c r="BG263" s="1"/>
      <c r="BS263" s="3"/>
      <c r="CC263" s="1"/>
      <c r="CE263" s="1"/>
      <c r="CF263" s="1"/>
      <c r="CJ263" s="1"/>
      <c r="DF263" s="2"/>
    </row>
    <row r="264" spans="1:110">
      <c r="A264" s="1"/>
      <c r="B264" s="4"/>
      <c r="C264" s="1"/>
      <c r="D264" s="1"/>
      <c r="E264" s="1"/>
      <c r="F264" s="1"/>
      <c r="G264" s="1"/>
      <c r="H264" s="2"/>
      <c r="I264" s="1"/>
      <c r="J264" s="1"/>
      <c r="K264" s="5"/>
      <c r="L264" s="6"/>
      <c r="Q264" s="5"/>
      <c r="R264" s="6"/>
      <c r="X264" s="2"/>
      <c r="Y264" s="1"/>
      <c r="AF264" s="2"/>
      <c r="AG264" s="1"/>
      <c r="BG264" s="1"/>
      <c r="BS264" s="3"/>
      <c r="CC264" s="1"/>
      <c r="CE264" s="1"/>
      <c r="CF264" s="1"/>
      <c r="CJ264" s="1"/>
      <c r="DF264" s="2"/>
    </row>
    <row r="265" spans="1:110">
      <c r="A265" s="1"/>
      <c r="B265" s="4"/>
      <c r="C265" s="1"/>
      <c r="D265" s="1"/>
      <c r="E265" s="1"/>
      <c r="F265" s="1"/>
      <c r="G265" s="1"/>
      <c r="H265" s="2"/>
      <c r="I265" s="1"/>
      <c r="J265" s="1"/>
      <c r="K265" s="5"/>
      <c r="L265" s="6"/>
      <c r="Q265" s="5"/>
      <c r="R265" s="6"/>
      <c r="X265" s="2"/>
      <c r="Y265" s="1"/>
      <c r="AF265" s="2"/>
      <c r="AG265" s="1"/>
      <c r="BG265" s="1"/>
      <c r="BS265" s="3"/>
      <c r="CC265" s="1"/>
      <c r="CE265" s="1"/>
      <c r="CF265" s="1"/>
      <c r="CJ265" s="1"/>
      <c r="DF265" s="2"/>
    </row>
    <row r="266" spans="1:110">
      <c r="A266" s="1"/>
      <c r="B266" s="4"/>
      <c r="C266" s="1"/>
      <c r="D266" s="1"/>
      <c r="E266" s="1"/>
      <c r="F266" s="1"/>
      <c r="G266" s="1"/>
      <c r="H266" s="2"/>
      <c r="I266" s="1"/>
      <c r="J266" s="1"/>
      <c r="K266" s="5"/>
      <c r="L266" s="6"/>
      <c r="Q266" s="5"/>
      <c r="R266" s="6"/>
      <c r="X266" s="2"/>
      <c r="Y266" s="1"/>
      <c r="AF266" s="2"/>
      <c r="AG266" s="1"/>
      <c r="BG266" s="1"/>
      <c r="BS266" s="3"/>
      <c r="CC266" s="1"/>
      <c r="CE266" s="1"/>
      <c r="CF266" s="1"/>
      <c r="CJ266" s="1"/>
      <c r="DF266" s="2"/>
    </row>
    <row r="267" spans="1:110">
      <c r="A267" s="1"/>
      <c r="B267" s="4"/>
      <c r="C267" s="1"/>
      <c r="D267" s="1"/>
      <c r="E267" s="1"/>
      <c r="F267" s="1"/>
      <c r="G267" s="1"/>
      <c r="H267" s="2"/>
      <c r="I267" s="1"/>
      <c r="J267" s="1"/>
      <c r="K267" s="5"/>
      <c r="L267" s="6"/>
      <c r="Q267" s="5"/>
      <c r="R267" s="6"/>
      <c r="X267" s="2"/>
      <c r="Y267" s="1"/>
      <c r="AF267" s="2"/>
      <c r="AG267" s="1"/>
      <c r="BG267" s="1"/>
      <c r="BS267" s="3"/>
      <c r="CC267" s="1"/>
      <c r="CE267" s="1"/>
      <c r="CF267" s="1"/>
      <c r="CJ267" s="1"/>
      <c r="DF267" s="2"/>
    </row>
    <row r="268" spans="1:110">
      <c r="A268" s="1"/>
      <c r="B268" s="4"/>
      <c r="C268" s="1"/>
      <c r="D268" s="1"/>
      <c r="E268" s="1"/>
      <c r="F268" s="1"/>
      <c r="G268" s="1"/>
      <c r="H268" s="2"/>
      <c r="I268" s="1"/>
      <c r="J268" s="1"/>
      <c r="K268" s="5"/>
      <c r="L268" s="6"/>
      <c r="Q268" s="5"/>
      <c r="R268" s="6"/>
      <c r="X268" s="2"/>
      <c r="Y268" s="1"/>
      <c r="AF268" s="2"/>
      <c r="AG268" s="1"/>
      <c r="BG268" s="1"/>
      <c r="BS268" s="3"/>
      <c r="CC268" s="1"/>
      <c r="CE268" s="1"/>
      <c r="CF268" s="1"/>
      <c r="CJ268" s="1"/>
      <c r="DF268" s="2"/>
    </row>
    <row r="269" spans="1:110">
      <c r="A269" s="1"/>
      <c r="B269" s="4"/>
      <c r="C269" s="1"/>
      <c r="D269" s="1"/>
      <c r="E269" s="1"/>
      <c r="F269" s="1"/>
      <c r="G269" s="1"/>
      <c r="H269" s="2"/>
      <c r="I269" s="1"/>
      <c r="J269" s="1"/>
      <c r="K269" s="5"/>
      <c r="L269" s="6"/>
      <c r="Q269" s="5"/>
      <c r="R269" s="6"/>
      <c r="X269" s="2"/>
      <c r="Y269" s="1"/>
      <c r="AF269" s="2"/>
      <c r="AG269" s="1"/>
      <c r="BG269" s="1"/>
      <c r="BS269" s="3"/>
      <c r="CC269" s="1"/>
      <c r="CE269" s="1"/>
      <c r="CF269" s="1"/>
      <c r="CJ269" s="1"/>
      <c r="DF269" s="2"/>
    </row>
    <row r="270" spans="1:110">
      <c r="A270" s="1"/>
      <c r="B270" s="4"/>
      <c r="C270" s="1"/>
      <c r="D270" s="1"/>
      <c r="E270" s="1"/>
      <c r="F270" s="1"/>
      <c r="G270" s="1"/>
      <c r="H270" s="2"/>
      <c r="I270" s="1"/>
      <c r="J270" s="1"/>
      <c r="K270" s="5"/>
      <c r="L270" s="6"/>
      <c r="Q270" s="5"/>
      <c r="R270" s="6"/>
      <c r="X270" s="2"/>
      <c r="Y270" s="1"/>
      <c r="AF270" s="2"/>
      <c r="AG270" s="1"/>
      <c r="BG270" s="1"/>
      <c r="BS270" s="3"/>
      <c r="CC270" s="1"/>
      <c r="CE270" s="1"/>
      <c r="CF270" s="1"/>
      <c r="CJ270" s="1"/>
      <c r="DF270" s="2"/>
    </row>
    <row r="271" spans="1:110">
      <c r="A271" s="1"/>
      <c r="B271" s="4"/>
      <c r="C271" s="1"/>
      <c r="D271" s="1"/>
      <c r="E271" s="1"/>
      <c r="F271" s="1"/>
      <c r="G271" s="1"/>
      <c r="H271" s="2"/>
      <c r="I271" s="1"/>
      <c r="J271" s="1"/>
      <c r="K271" s="5"/>
      <c r="L271" s="6"/>
      <c r="Q271" s="5"/>
      <c r="R271" s="6"/>
      <c r="X271" s="2"/>
      <c r="Y271" s="1"/>
      <c r="AF271" s="2"/>
      <c r="AG271" s="1"/>
      <c r="BG271" s="1"/>
      <c r="BS271" s="3"/>
      <c r="CC271" s="1"/>
      <c r="CE271" s="1"/>
      <c r="CF271" s="1"/>
      <c r="CJ271" s="1"/>
      <c r="DF271" s="2"/>
    </row>
    <row r="272" spans="1:110">
      <c r="A272" s="1"/>
      <c r="B272" s="4"/>
      <c r="C272" s="1"/>
      <c r="D272" s="1"/>
      <c r="E272" s="1"/>
      <c r="F272" s="1"/>
      <c r="G272" s="1"/>
      <c r="H272" s="2"/>
      <c r="I272" s="1"/>
      <c r="J272" s="1"/>
      <c r="K272" s="5"/>
      <c r="L272" s="6"/>
      <c r="Q272" s="5"/>
      <c r="R272" s="6"/>
      <c r="X272" s="2"/>
      <c r="Y272" s="1"/>
      <c r="AF272" s="2"/>
      <c r="AG272" s="1"/>
      <c r="BG272" s="1"/>
      <c r="BS272" s="3"/>
      <c r="CC272" s="1"/>
      <c r="CE272" s="1"/>
      <c r="CF272" s="1"/>
      <c r="CJ272" s="1"/>
      <c r="DF272" s="2"/>
    </row>
    <row r="273" spans="1:110">
      <c r="A273" s="1"/>
      <c r="B273" s="4"/>
      <c r="C273" s="1"/>
      <c r="D273" s="1"/>
      <c r="E273" s="1"/>
      <c r="F273" s="1"/>
      <c r="G273" s="1"/>
      <c r="H273" s="2"/>
      <c r="I273" s="1"/>
      <c r="J273" s="1"/>
      <c r="K273" s="5"/>
      <c r="L273" s="6"/>
      <c r="Q273" s="5"/>
      <c r="R273" s="6"/>
      <c r="X273" s="2"/>
      <c r="Y273" s="1"/>
      <c r="AF273" s="2"/>
      <c r="AG273" s="1"/>
      <c r="BG273" s="1"/>
      <c r="BS273" s="3"/>
      <c r="CC273" s="1"/>
      <c r="CE273" s="1"/>
      <c r="CF273" s="1"/>
      <c r="CJ273" s="1"/>
      <c r="DF273" s="2"/>
    </row>
    <row r="274" spans="1:110">
      <c r="A274" s="1"/>
      <c r="B274" s="4"/>
      <c r="C274" s="1"/>
      <c r="D274" s="1"/>
      <c r="E274" s="1"/>
      <c r="F274" s="1"/>
      <c r="G274" s="1"/>
      <c r="H274" s="2"/>
      <c r="I274" s="1"/>
      <c r="J274" s="1"/>
      <c r="K274" s="5"/>
      <c r="L274" s="6"/>
      <c r="Q274" s="5"/>
      <c r="R274" s="6"/>
      <c r="X274" s="2"/>
      <c r="Y274" s="1"/>
      <c r="AF274" s="2"/>
      <c r="AG274" s="1"/>
      <c r="BG274" s="1"/>
      <c r="BS274" s="3"/>
      <c r="CC274" s="1"/>
      <c r="CE274" s="1"/>
      <c r="CF274" s="1"/>
      <c r="CJ274" s="1"/>
      <c r="DF274" s="2"/>
    </row>
    <row r="275" spans="1:110">
      <c r="A275" s="1"/>
      <c r="B275" s="4"/>
      <c r="C275" s="1"/>
      <c r="D275" s="1"/>
      <c r="E275" s="1"/>
      <c r="F275" s="1"/>
      <c r="G275" s="1"/>
      <c r="H275" s="2"/>
      <c r="I275" s="1"/>
      <c r="J275" s="1"/>
      <c r="K275" s="5"/>
      <c r="L275" s="6"/>
      <c r="Q275" s="5"/>
      <c r="R275" s="6"/>
      <c r="X275" s="2"/>
      <c r="Y275" s="1"/>
      <c r="AF275" s="2"/>
      <c r="AG275" s="1"/>
      <c r="BG275" s="1"/>
      <c r="BS275" s="3"/>
      <c r="CC275" s="1"/>
      <c r="CE275" s="1"/>
      <c r="CF275" s="1"/>
      <c r="CJ275" s="1"/>
      <c r="DF275" s="2"/>
    </row>
    <row r="276" spans="1:110">
      <c r="A276" s="1"/>
      <c r="B276" s="4"/>
      <c r="C276" s="1"/>
      <c r="D276" s="1"/>
      <c r="E276" s="1"/>
      <c r="F276" s="1"/>
      <c r="G276" s="1"/>
      <c r="H276" s="2"/>
      <c r="I276" s="1"/>
      <c r="J276" s="1"/>
      <c r="K276" s="5"/>
      <c r="L276" s="6"/>
      <c r="Q276" s="5"/>
      <c r="R276" s="6"/>
      <c r="X276" s="2"/>
      <c r="Y276" s="1"/>
      <c r="AF276" s="2"/>
      <c r="AG276" s="1"/>
      <c r="BG276" s="1"/>
      <c r="BS276" s="3"/>
      <c r="CC276" s="1"/>
      <c r="CE276" s="1"/>
      <c r="CF276" s="1"/>
      <c r="CJ276" s="1"/>
      <c r="DF276" s="2"/>
    </row>
    <row r="277" spans="1:110">
      <c r="A277" s="1"/>
      <c r="B277" s="4"/>
      <c r="C277" s="1"/>
      <c r="D277" s="1"/>
      <c r="E277" s="1"/>
      <c r="F277" s="1"/>
      <c r="G277" s="1"/>
      <c r="H277" s="2"/>
      <c r="I277" s="1"/>
      <c r="J277" s="1"/>
      <c r="K277" s="5"/>
      <c r="L277" s="6"/>
      <c r="Q277" s="5"/>
      <c r="R277" s="6"/>
      <c r="X277" s="2"/>
      <c r="Y277" s="1"/>
      <c r="AF277" s="2"/>
      <c r="AG277" s="1"/>
      <c r="BG277" s="1"/>
      <c r="BS277" s="3"/>
      <c r="CC277" s="1"/>
      <c r="CE277" s="1"/>
      <c r="CF277" s="1"/>
      <c r="CJ277" s="1"/>
      <c r="DF277" s="2"/>
    </row>
    <row r="278" spans="1:110">
      <c r="A278" s="1"/>
      <c r="B278" s="4"/>
      <c r="C278" s="1"/>
      <c r="D278" s="1"/>
      <c r="E278" s="1"/>
      <c r="F278" s="1"/>
      <c r="G278" s="1"/>
      <c r="H278" s="2"/>
      <c r="I278" s="1"/>
      <c r="J278" s="1"/>
      <c r="K278" s="5"/>
      <c r="L278" s="6"/>
      <c r="Q278" s="5"/>
      <c r="R278" s="6"/>
      <c r="X278" s="2"/>
      <c r="Y278" s="1"/>
      <c r="AF278" s="2"/>
      <c r="AG278" s="1"/>
      <c r="BG278" s="1"/>
      <c r="BS278" s="3"/>
      <c r="CC278" s="1"/>
      <c r="CE278" s="1"/>
      <c r="CF278" s="1"/>
      <c r="CJ278" s="1"/>
      <c r="DF278" s="2"/>
    </row>
    <row r="279" spans="1:110">
      <c r="A279" s="1"/>
      <c r="B279" s="4"/>
      <c r="C279" s="1"/>
      <c r="D279" s="1"/>
      <c r="E279" s="1"/>
      <c r="F279" s="1"/>
      <c r="G279" s="1"/>
      <c r="H279" s="2"/>
      <c r="I279" s="1"/>
      <c r="J279" s="1"/>
      <c r="K279" s="5"/>
      <c r="L279" s="6"/>
      <c r="Q279" s="5"/>
      <c r="R279" s="6"/>
      <c r="X279" s="2"/>
      <c r="Y279" s="1"/>
      <c r="AF279" s="2"/>
      <c r="AG279" s="1"/>
      <c r="BG279" s="1"/>
      <c r="BS279" s="3"/>
      <c r="CC279" s="1"/>
      <c r="CE279" s="1"/>
      <c r="CF279" s="1"/>
      <c r="CJ279" s="1"/>
      <c r="DF279" s="2"/>
    </row>
    <row r="280" spans="1:110">
      <c r="A280" s="1"/>
      <c r="B280" s="4"/>
      <c r="C280" s="1"/>
      <c r="D280" s="1"/>
      <c r="E280" s="1"/>
      <c r="F280" s="1"/>
      <c r="G280" s="1"/>
      <c r="H280" s="2"/>
      <c r="I280" s="1"/>
      <c r="J280" s="1"/>
      <c r="K280" s="5"/>
      <c r="L280" s="6"/>
      <c r="Q280" s="5"/>
      <c r="R280" s="6"/>
      <c r="X280" s="2"/>
      <c r="Y280" s="1"/>
      <c r="AF280" s="2"/>
      <c r="AG280" s="1"/>
      <c r="BG280" s="1"/>
      <c r="BS280" s="3"/>
      <c r="CC280" s="1"/>
      <c r="CE280" s="1"/>
      <c r="CF280" s="1"/>
      <c r="CJ280" s="1"/>
      <c r="DF280" s="2"/>
    </row>
    <row r="281" spans="1:110">
      <c r="A281" s="1"/>
      <c r="B281" s="4"/>
      <c r="C281" s="1"/>
      <c r="D281" s="1"/>
      <c r="E281" s="1"/>
      <c r="F281" s="1"/>
      <c r="G281" s="1"/>
      <c r="H281" s="2"/>
      <c r="I281" s="1"/>
      <c r="J281" s="1"/>
      <c r="K281" s="5"/>
      <c r="L281" s="6"/>
      <c r="Q281" s="5"/>
      <c r="R281" s="6"/>
      <c r="X281" s="2"/>
      <c r="Y281" s="1"/>
      <c r="AF281" s="2"/>
      <c r="AG281" s="1"/>
      <c r="BG281" s="1"/>
      <c r="BS281" s="3"/>
      <c r="CC281" s="1"/>
      <c r="CE281" s="1"/>
      <c r="CF281" s="1"/>
      <c r="CJ281" s="1"/>
      <c r="DF281" s="2"/>
    </row>
    <row r="282" spans="1:110">
      <c r="A282" s="1"/>
      <c r="B282" s="4"/>
      <c r="C282" s="1"/>
      <c r="D282" s="1"/>
      <c r="E282" s="1"/>
      <c r="F282" s="1"/>
      <c r="G282" s="1"/>
      <c r="H282" s="2"/>
      <c r="I282" s="1"/>
      <c r="J282" s="1"/>
      <c r="K282" s="5"/>
      <c r="L282" s="6"/>
      <c r="Q282" s="5"/>
      <c r="R282" s="6"/>
      <c r="X282" s="2"/>
      <c r="Y282" s="1"/>
      <c r="AF282" s="2"/>
      <c r="AG282" s="1"/>
      <c r="BG282" s="1"/>
      <c r="BS282" s="3"/>
      <c r="CC282" s="1"/>
      <c r="CE282" s="1"/>
      <c r="CF282" s="1"/>
      <c r="CJ282" s="1"/>
      <c r="DF282" s="2"/>
    </row>
    <row r="283" spans="1:110">
      <c r="A283" s="1"/>
      <c r="B283" s="4"/>
      <c r="C283" s="1"/>
      <c r="D283" s="1"/>
      <c r="E283" s="1"/>
      <c r="F283" s="1"/>
      <c r="G283" s="1"/>
      <c r="H283" s="2"/>
      <c r="I283" s="1"/>
      <c r="J283" s="1"/>
      <c r="K283" s="5"/>
      <c r="L283" s="6"/>
      <c r="Q283" s="5"/>
      <c r="R283" s="6"/>
      <c r="X283" s="2"/>
      <c r="Y283" s="1"/>
      <c r="AF283" s="2"/>
      <c r="AG283" s="1"/>
      <c r="BG283" s="1"/>
      <c r="BS283" s="3"/>
      <c r="CC283" s="1"/>
      <c r="CE283" s="1"/>
      <c r="CF283" s="1"/>
      <c r="CJ283" s="1"/>
      <c r="DF283" s="2"/>
    </row>
    <row r="284" spans="1:110">
      <c r="A284" s="1"/>
      <c r="B284" s="4"/>
      <c r="C284" s="1"/>
      <c r="D284" s="1"/>
      <c r="E284" s="1"/>
      <c r="F284" s="1"/>
      <c r="G284" s="1"/>
      <c r="H284" s="2"/>
      <c r="I284" s="1"/>
      <c r="J284" s="1"/>
      <c r="K284" s="5"/>
      <c r="L284" s="6"/>
      <c r="Q284" s="5"/>
      <c r="R284" s="6"/>
      <c r="X284" s="2"/>
      <c r="Y284" s="1"/>
      <c r="AF284" s="2"/>
      <c r="AG284" s="1"/>
      <c r="BG284" s="1"/>
      <c r="BS284" s="3"/>
      <c r="CC284" s="1"/>
      <c r="CE284" s="1"/>
      <c r="CF284" s="1"/>
      <c r="CJ284" s="1"/>
      <c r="DF284" s="2"/>
    </row>
    <row r="285" spans="1:110">
      <c r="A285" s="1"/>
      <c r="B285" s="4"/>
      <c r="C285" s="1"/>
      <c r="D285" s="1"/>
      <c r="E285" s="1"/>
      <c r="F285" s="1"/>
      <c r="G285" s="1"/>
      <c r="H285" s="2"/>
      <c r="I285" s="1"/>
      <c r="J285" s="1"/>
      <c r="K285" s="5"/>
      <c r="L285" s="6"/>
      <c r="Q285" s="5"/>
      <c r="R285" s="6"/>
      <c r="X285" s="2"/>
      <c r="Y285" s="1"/>
      <c r="AF285" s="2"/>
      <c r="AG285" s="1"/>
      <c r="BG285" s="1"/>
      <c r="BS285" s="3"/>
      <c r="CC285" s="1"/>
      <c r="CE285" s="1"/>
      <c r="CF285" s="1"/>
      <c r="CJ285" s="1"/>
      <c r="DF285" s="2"/>
    </row>
    <row r="286" spans="1:110">
      <c r="A286" s="1"/>
      <c r="B286" s="4"/>
      <c r="C286" s="1"/>
      <c r="D286" s="1"/>
      <c r="E286" s="1"/>
      <c r="F286" s="1"/>
      <c r="G286" s="1"/>
      <c r="H286" s="2"/>
      <c r="I286" s="1"/>
      <c r="J286" s="1"/>
      <c r="K286" s="5"/>
      <c r="L286" s="6"/>
      <c r="Q286" s="5"/>
      <c r="R286" s="6"/>
      <c r="X286" s="2"/>
      <c r="Y286" s="1"/>
      <c r="AF286" s="2"/>
      <c r="AG286" s="1"/>
      <c r="BG286" s="1"/>
      <c r="BS286" s="3"/>
      <c r="CC286" s="1"/>
      <c r="CE286" s="1"/>
      <c r="CF286" s="1"/>
      <c r="CJ286" s="1"/>
      <c r="DF286" s="2"/>
    </row>
    <row r="287" spans="1:110">
      <c r="A287" s="1"/>
      <c r="B287" s="4"/>
      <c r="C287" s="1"/>
      <c r="D287" s="1"/>
      <c r="E287" s="1"/>
      <c r="F287" s="1"/>
      <c r="G287" s="1"/>
      <c r="H287" s="2"/>
      <c r="I287" s="1"/>
      <c r="J287" s="1"/>
      <c r="K287" s="5"/>
      <c r="L287" s="6"/>
      <c r="Q287" s="5"/>
      <c r="R287" s="6"/>
      <c r="X287" s="2"/>
      <c r="Y287" s="1"/>
      <c r="AF287" s="2"/>
      <c r="AG287" s="1"/>
      <c r="BG287" s="1"/>
      <c r="BS287" s="3"/>
      <c r="CC287" s="1"/>
      <c r="CE287" s="1"/>
      <c r="CF287" s="1"/>
      <c r="CJ287" s="1"/>
      <c r="DF287" s="2"/>
    </row>
    <row r="288" spans="1:110">
      <c r="A288" s="1"/>
      <c r="B288" s="4"/>
      <c r="C288" s="1"/>
      <c r="D288" s="1"/>
      <c r="E288" s="1"/>
      <c r="F288" s="1"/>
      <c r="G288" s="1"/>
      <c r="H288" s="2"/>
      <c r="I288" s="1"/>
      <c r="J288" s="1"/>
      <c r="K288" s="5"/>
      <c r="L288" s="6"/>
      <c r="Q288" s="5"/>
      <c r="R288" s="6"/>
      <c r="X288" s="2"/>
      <c r="Y288" s="1"/>
      <c r="AF288" s="2"/>
      <c r="AG288" s="1"/>
      <c r="BG288" s="1"/>
      <c r="BS288" s="3"/>
      <c r="CC288" s="1"/>
      <c r="CE288" s="1"/>
      <c r="CF288" s="1"/>
      <c r="CJ288" s="1"/>
      <c r="DF288" s="2"/>
    </row>
    <row r="289" spans="1:110">
      <c r="A289" s="1"/>
      <c r="B289" s="4"/>
      <c r="C289" s="1"/>
      <c r="D289" s="1"/>
      <c r="E289" s="1"/>
      <c r="F289" s="1"/>
      <c r="G289" s="1"/>
      <c r="H289" s="2"/>
      <c r="I289" s="1"/>
      <c r="J289" s="1"/>
      <c r="K289" s="5"/>
      <c r="L289" s="6"/>
      <c r="Q289" s="5"/>
      <c r="R289" s="6"/>
      <c r="X289" s="2"/>
      <c r="Y289" s="1"/>
      <c r="AF289" s="2"/>
      <c r="AG289" s="1"/>
      <c r="BG289" s="1"/>
      <c r="BS289" s="3"/>
      <c r="CC289" s="1"/>
      <c r="CE289" s="1"/>
      <c r="CF289" s="1"/>
      <c r="CJ289" s="1"/>
      <c r="DF289" s="2"/>
    </row>
    <row r="290" spans="1:110">
      <c r="A290" s="1"/>
      <c r="B290" s="4"/>
      <c r="C290" s="1"/>
      <c r="D290" s="1"/>
      <c r="E290" s="1"/>
      <c r="F290" s="1"/>
      <c r="G290" s="1"/>
      <c r="H290" s="2"/>
      <c r="I290" s="1"/>
      <c r="J290" s="1"/>
      <c r="K290" s="5"/>
      <c r="L290" s="6"/>
      <c r="Q290" s="5"/>
      <c r="R290" s="6"/>
      <c r="X290" s="2"/>
      <c r="Y290" s="1"/>
      <c r="AF290" s="2"/>
      <c r="AG290" s="1"/>
      <c r="BG290" s="1"/>
      <c r="BS290" s="3"/>
      <c r="CC290" s="1"/>
      <c r="CE290" s="1"/>
      <c r="CF290" s="1"/>
      <c r="CJ290" s="1"/>
      <c r="DF290" s="2"/>
    </row>
    <row r="291" spans="1:110">
      <c r="A291" s="1"/>
      <c r="B291" s="4"/>
      <c r="C291" s="1"/>
      <c r="D291" s="1"/>
      <c r="E291" s="1"/>
      <c r="F291" s="1"/>
      <c r="G291" s="1"/>
      <c r="H291" s="2"/>
      <c r="I291" s="1"/>
      <c r="J291" s="1"/>
      <c r="K291" s="5"/>
      <c r="L291" s="6"/>
      <c r="Q291" s="5"/>
      <c r="R291" s="6"/>
      <c r="X291" s="2"/>
      <c r="Y291" s="1"/>
      <c r="AF291" s="2"/>
      <c r="AG291" s="1"/>
      <c r="BG291" s="1"/>
      <c r="BS291" s="3"/>
      <c r="CC291" s="1"/>
      <c r="CE291" s="1"/>
      <c r="CF291" s="1"/>
      <c r="CJ291" s="1"/>
      <c r="DF291" s="2"/>
    </row>
    <row r="292" spans="1:110">
      <c r="A292" s="1"/>
      <c r="B292" s="4"/>
      <c r="C292" s="1"/>
      <c r="D292" s="1"/>
      <c r="E292" s="1"/>
      <c r="F292" s="1"/>
      <c r="G292" s="1"/>
      <c r="H292" s="2"/>
      <c r="I292" s="1"/>
      <c r="J292" s="1"/>
      <c r="K292" s="5"/>
      <c r="L292" s="6"/>
      <c r="Q292" s="5"/>
      <c r="R292" s="6"/>
      <c r="X292" s="2"/>
      <c r="Y292" s="1"/>
      <c r="AF292" s="2"/>
      <c r="AG292" s="1"/>
      <c r="BG292" s="1"/>
      <c r="BS292" s="3"/>
      <c r="CC292" s="1"/>
      <c r="CE292" s="1"/>
      <c r="CF292" s="1"/>
      <c r="CJ292" s="1"/>
      <c r="DF292" s="2"/>
    </row>
    <row r="293" spans="1:110">
      <c r="A293" s="1"/>
      <c r="B293" s="4"/>
      <c r="C293" s="1"/>
      <c r="D293" s="1"/>
      <c r="E293" s="1"/>
      <c r="F293" s="1"/>
      <c r="G293" s="1"/>
      <c r="H293" s="2"/>
      <c r="I293" s="1"/>
      <c r="J293" s="1"/>
      <c r="K293" s="5"/>
      <c r="L293" s="6"/>
      <c r="Q293" s="5"/>
      <c r="R293" s="6"/>
      <c r="X293" s="2"/>
      <c r="Y293" s="1"/>
      <c r="AF293" s="2"/>
      <c r="AG293" s="1"/>
      <c r="BG293" s="1"/>
      <c r="BS293" s="3"/>
      <c r="CC293" s="1"/>
      <c r="CE293" s="1"/>
      <c r="CF293" s="1"/>
      <c r="CJ293" s="1"/>
      <c r="DF293" s="2"/>
    </row>
    <row r="294" spans="1:110">
      <c r="A294" s="1"/>
      <c r="B294" s="4"/>
      <c r="C294" s="1"/>
      <c r="D294" s="1"/>
      <c r="E294" s="1"/>
      <c r="F294" s="1"/>
      <c r="G294" s="1"/>
      <c r="H294" s="2"/>
      <c r="I294" s="1"/>
      <c r="J294" s="1"/>
      <c r="K294" s="5"/>
      <c r="L294" s="6"/>
      <c r="Q294" s="5"/>
      <c r="R294" s="6"/>
      <c r="X294" s="2"/>
      <c r="Y294" s="1"/>
      <c r="AF294" s="2"/>
      <c r="AG294" s="1"/>
      <c r="BG294" s="1"/>
      <c r="BS294" s="3"/>
      <c r="CC294" s="1"/>
      <c r="CE294" s="1"/>
      <c r="CF294" s="1"/>
      <c r="CJ294" s="1"/>
      <c r="DF294" s="2"/>
    </row>
    <row r="295" spans="1:110">
      <c r="A295" s="1"/>
      <c r="B295" s="4"/>
      <c r="C295" s="1"/>
      <c r="D295" s="1"/>
      <c r="E295" s="1"/>
      <c r="F295" s="1"/>
      <c r="G295" s="1"/>
      <c r="H295" s="2"/>
      <c r="I295" s="1"/>
      <c r="J295" s="1"/>
      <c r="K295" s="5"/>
      <c r="L295" s="6"/>
      <c r="Q295" s="5"/>
      <c r="R295" s="6"/>
      <c r="X295" s="2"/>
      <c r="Y295" s="1"/>
      <c r="AF295" s="2"/>
      <c r="AG295" s="1"/>
      <c r="BG295" s="1"/>
      <c r="BS295" s="3"/>
      <c r="CC295" s="1"/>
      <c r="CE295" s="1"/>
      <c r="CF295" s="1"/>
      <c r="CJ295" s="1"/>
      <c r="DF295" s="2"/>
    </row>
    <row r="296" spans="1:110">
      <c r="A296" s="1"/>
      <c r="B296" s="4"/>
      <c r="C296" s="1"/>
      <c r="D296" s="1"/>
      <c r="E296" s="1"/>
      <c r="F296" s="1"/>
      <c r="G296" s="1"/>
      <c r="H296" s="2"/>
      <c r="I296" s="1"/>
      <c r="J296" s="1"/>
      <c r="K296" s="5"/>
      <c r="L296" s="6"/>
      <c r="Q296" s="5"/>
      <c r="R296" s="6"/>
      <c r="X296" s="2"/>
      <c r="Y296" s="1"/>
      <c r="AF296" s="2"/>
      <c r="AG296" s="1"/>
      <c r="BG296" s="1"/>
      <c r="BS296" s="3"/>
      <c r="CC296" s="1"/>
      <c r="CE296" s="1"/>
      <c r="CF296" s="1"/>
      <c r="CJ296" s="1"/>
      <c r="DF296" s="2"/>
    </row>
    <row r="297" spans="1:110">
      <c r="A297" s="1"/>
      <c r="B297" s="4"/>
      <c r="C297" s="1"/>
      <c r="D297" s="1"/>
      <c r="E297" s="1"/>
      <c r="F297" s="1"/>
      <c r="G297" s="1"/>
      <c r="H297" s="2"/>
      <c r="I297" s="1"/>
      <c r="J297" s="1"/>
      <c r="K297" s="5"/>
      <c r="L297" s="6"/>
      <c r="Q297" s="5"/>
      <c r="R297" s="6"/>
      <c r="X297" s="2"/>
      <c r="Y297" s="1"/>
      <c r="AF297" s="2"/>
      <c r="AG297" s="1"/>
      <c r="BG297" s="1"/>
      <c r="BS297" s="3"/>
      <c r="CC297" s="1"/>
      <c r="CE297" s="1"/>
      <c r="CF297" s="1"/>
      <c r="CJ297" s="1"/>
      <c r="DF297" s="2"/>
    </row>
    <row r="298" spans="1:110">
      <c r="A298" s="1"/>
      <c r="B298" s="4"/>
      <c r="C298" s="1"/>
      <c r="D298" s="1"/>
      <c r="E298" s="1"/>
      <c r="F298" s="1"/>
      <c r="G298" s="1"/>
      <c r="H298" s="2"/>
      <c r="I298" s="1"/>
      <c r="J298" s="1"/>
      <c r="K298" s="5"/>
      <c r="L298" s="6"/>
      <c r="Q298" s="5"/>
      <c r="R298" s="6"/>
      <c r="X298" s="2"/>
      <c r="Y298" s="1"/>
      <c r="AF298" s="2"/>
      <c r="AG298" s="1"/>
      <c r="BG298" s="1"/>
      <c r="BS298" s="3"/>
      <c r="CC298" s="1"/>
      <c r="CE298" s="1"/>
      <c r="CF298" s="1"/>
      <c r="CJ298" s="1"/>
      <c r="DF298" s="2"/>
    </row>
    <row r="299" spans="1:110">
      <c r="A299" s="1"/>
      <c r="B299" s="4"/>
      <c r="C299" s="1"/>
      <c r="D299" s="1"/>
      <c r="E299" s="1"/>
      <c r="F299" s="1"/>
      <c r="G299" s="1"/>
      <c r="H299" s="2"/>
      <c r="I299" s="1"/>
      <c r="J299" s="1"/>
      <c r="K299" s="5"/>
      <c r="L299" s="6"/>
      <c r="Q299" s="5"/>
      <c r="R299" s="6"/>
      <c r="X299" s="2"/>
      <c r="Y299" s="1"/>
      <c r="AF299" s="2"/>
      <c r="AG299" s="1"/>
      <c r="BG299" s="1"/>
      <c r="BS299" s="3"/>
      <c r="CC299" s="1"/>
      <c r="CE299" s="1"/>
      <c r="CF299" s="1"/>
      <c r="CJ299" s="1"/>
      <c r="DF299" s="2"/>
    </row>
    <row r="300" spans="1:110">
      <c r="A300" s="1"/>
      <c r="B300" s="4"/>
      <c r="C300" s="1"/>
      <c r="D300" s="1"/>
      <c r="E300" s="1"/>
      <c r="F300" s="1"/>
      <c r="G300" s="1"/>
      <c r="H300" s="2"/>
      <c r="I300" s="1"/>
      <c r="J300" s="1"/>
      <c r="K300" s="5"/>
      <c r="L300" s="6"/>
      <c r="Q300" s="5"/>
      <c r="R300" s="6"/>
      <c r="X300" s="2"/>
      <c r="Y300" s="1"/>
      <c r="AF300" s="2"/>
      <c r="AG300" s="1"/>
      <c r="BG300" s="1"/>
      <c r="BS300" s="3"/>
      <c r="CC300" s="1"/>
      <c r="CE300" s="1"/>
      <c r="CF300" s="1"/>
      <c r="CJ300" s="1"/>
      <c r="DF300" s="2"/>
    </row>
    <row r="301" spans="1:110">
      <c r="A301" s="1"/>
      <c r="B301" s="4"/>
      <c r="C301" s="1"/>
      <c r="D301" s="1"/>
      <c r="E301" s="1"/>
      <c r="F301" s="1"/>
      <c r="G301" s="1"/>
      <c r="H301" s="2"/>
      <c r="I301" s="1"/>
      <c r="J301" s="1"/>
      <c r="K301" s="5"/>
      <c r="L301" s="6"/>
      <c r="Q301" s="5"/>
      <c r="R301" s="6"/>
      <c r="X301" s="2"/>
      <c r="Y301" s="1"/>
      <c r="AF301" s="2"/>
      <c r="AG301" s="1"/>
      <c r="BG301" s="1"/>
      <c r="BS301" s="3"/>
      <c r="CC301" s="1"/>
      <c r="CE301" s="1"/>
      <c r="CF301" s="1"/>
      <c r="CJ301" s="1"/>
      <c r="DF301" s="2"/>
    </row>
    <row r="302" spans="1:110">
      <c r="A302" s="1"/>
      <c r="B302" s="4"/>
      <c r="C302" s="1"/>
      <c r="D302" s="1"/>
      <c r="E302" s="1"/>
      <c r="F302" s="1"/>
      <c r="G302" s="1"/>
      <c r="H302" s="2"/>
      <c r="I302" s="1"/>
      <c r="J302" s="1"/>
      <c r="K302" s="5"/>
      <c r="L302" s="6"/>
      <c r="Q302" s="5"/>
      <c r="R302" s="6"/>
      <c r="X302" s="2"/>
      <c r="Y302" s="1"/>
      <c r="AF302" s="2"/>
      <c r="AG302" s="1"/>
      <c r="BG302" s="1"/>
      <c r="BS302" s="3"/>
      <c r="CC302" s="1"/>
      <c r="CE302" s="1"/>
      <c r="CF302" s="1"/>
      <c r="CJ302" s="1"/>
      <c r="DF302" s="2"/>
    </row>
    <row r="303" spans="1:110">
      <c r="A303" s="1"/>
      <c r="B303" s="4"/>
      <c r="C303" s="1"/>
      <c r="D303" s="1"/>
      <c r="E303" s="1"/>
      <c r="F303" s="1"/>
      <c r="G303" s="1"/>
      <c r="H303" s="2"/>
      <c r="I303" s="1"/>
      <c r="J303" s="1"/>
      <c r="K303" s="5"/>
      <c r="L303" s="6"/>
      <c r="Q303" s="5"/>
      <c r="R303" s="6"/>
      <c r="X303" s="2"/>
      <c r="Y303" s="1"/>
      <c r="AF303" s="2"/>
      <c r="AG303" s="1"/>
      <c r="BG303" s="1"/>
      <c r="BS303" s="3"/>
      <c r="CC303" s="1"/>
      <c r="CE303" s="1"/>
      <c r="CF303" s="1"/>
      <c r="CJ303" s="1"/>
      <c r="DF303" s="2"/>
    </row>
    <row r="304" spans="1:110">
      <c r="A304" s="1"/>
      <c r="B304" s="4"/>
      <c r="C304" s="1"/>
      <c r="D304" s="1"/>
      <c r="E304" s="1"/>
      <c r="F304" s="1"/>
      <c r="G304" s="1"/>
      <c r="H304" s="2"/>
      <c r="I304" s="1"/>
      <c r="J304" s="1"/>
      <c r="K304" s="5"/>
      <c r="L304" s="6"/>
      <c r="Q304" s="5"/>
      <c r="R304" s="6"/>
      <c r="X304" s="2"/>
      <c r="Y304" s="1"/>
      <c r="AF304" s="2"/>
      <c r="AG304" s="1"/>
      <c r="BG304" s="1"/>
      <c r="BS304" s="3"/>
      <c r="CC304" s="1"/>
      <c r="CE304" s="1"/>
      <c r="CF304" s="1"/>
      <c r="CJ304" s="1"/>
      <c r="DF304" s="2"/>
    </row>
    <row r="305" spans="1:110">
      <c r="A305" s="1"/>
      <c r="B305" s="4"/>
      <c r="C305" s="1"/>
      <c r="D305" s="1"/>
      <c r="E305" s="1"/>
      <c r="F305" s="1"/>
      <c r="G305" s="1"/>
      <c r="H305" s="2"/>
      <c r="I305" s="1"/>
      <c r="J305" s="1"/>
      <c r="K305" s="5"/>
      <c r="L305" s="6"/>
      <c r="Q305" s="5"/>
      <c r="R305" s="6"/>
      <c r="X305" s="2"/>
      <c r="Y305" s="1"/>
      <c r="AF305" s="2"/>
      <c r="AG305" s="1"/>
      <c r="BG305" s="1"/>
      <c r="BS305" s="3"/>
      <c r="CC305" s="1"/>
      <c r="CE305" s="1"/>
      <c r="CF305" s="1"/>
      <c r="CJ305" s="1"/>
      <c r="DF305" s="2"/>
    </row>
    <row r="306" spans="1:110">
      <c r="A306" s="1"/>
      <c r="B306" s="4"/>
      <c r="C306" s="1"/>
      <c r="D306" s="1"/>
      <c r="E306" s="1"/>
      <c r="F306" s="1"/>
      <c r="G306" s="1"/>
      <c r="H306" s="2"/>
      <c r="I306" s="1"/>
      <c r="J306" s="1"/>
      <c r="K306" s="5"/>
      <c r="L306" s="6"/>
      <c r="Q306" s="5"/>
      <c r="R306" s="6"/>
      <c r="X306" s="2"/>
      <c r="Y306" s="1"/>
      <c r="AF306" s="2"/>
      <c r="AG306" s="1"/>
      <c r="BG306" s="1"/>
      <c r="BS306" s="3"/>
      <c r="CC306" s="1"/>
      <c r="CE306" s="1"/>
      <c r="CF306" s="1"/>
      <c r="CJ306" s="1"/>
      <c r="DF306" s="2"/>
    </row>
    <row r="307" spans="1:110">
      <c r="A307" s="1"/>
      <c r="B307" s="4"/>
      <c r="C307" s="1"/>
      <c r="D307" s="1"/>
      <c r="E307" s="1"/>
      <c r="F307" s="1"/>
      <c r="G307" s="1"/>
      <c r="H307" s="2"/>
      <c r="I307" s="1"/>
      <c r="J307" s="1"/>
      <c r="K307" s="5"/>
      <c r="L307" s="6"/>
      <c r="Q307" s="5"/>
      <c r="R307" s="6"/>
      <c r="X307" s="2"/>
      <c r="Y307" s="1"/>
      <c r="AF307" s="2"/>
      <c r="AG307" s="1"/>
      <c r="BG307" s="1"/>
      <c r="BS307" s="3"/>
      <c r="CC307" s="1"/>
      <c r="CE307" s="1"/>
      <c r="CF307" s="1"/>
      <c r="CJ307" s="1"/>
      <c r="DF307" s="2"/>
    </row>
    <row r="308" spans="1:110">
      <c r="A308" s="1"/>
      <c r="B308" s="4"/>
      <c r="C308" s="1"/>
      <c r="D308" s="1"/>
      <c r="E308" s="1"/>
      <c r="F308" s="1"/>
      <c r="G308" s="1"/>
      <c r="H308" s="2"/>
      <c r="I308" s="1"/>
      <c r="J308" s="1"/>
      <c r="K308" s="5"/>
      <c r="L308" s="6"/>
      <c r="Q308" s="5"/>
      <c r="R308" s="6"/>
      <c r="X308" s="2"/>
      <c r="Y308" s="1"/>
      <c r="AF308" s="2"/>
      <c r="AG308" s="1"/>
      <c r="BG308" s="1"/>
      <c r="BS308" s="3"/>
      <c r="CC308" s="1"/>
      <c r="CE308" s="1"/>
      <c r="CF308" s="1"/>
      <c r="CJ308" s="1"/>
      <c r="DF308" s="2"/>
    </row>
    <row r="309" spans="1:110">
      <c r="A309" s="1"/>
      <c r="B309" s="4"/>
      <c r="C309" s="1"/>
      <c r="D309" s="1"/>
      <c r="E309" s="1"/>
      <c r="F309" s="1"/>
      <c r="G309" s="1"/>
      <c r="H309" s="2"/>
      <c r="I309" s="1"/>
      <c r="J309" s="1"/>
      <c r="K309" s="5"/>
      <c r="L309" s="6"/>
      <c r="Q309" s="5"/>
      <c r="R309" s="6"/>
      <c r="X309" s="2"/>
      <c r="Y309" s="1"/>
      <c r="AF309" s="2"/>
      <c r="AG309" s="1"/>
      <c r="BG309" s="1"/>
      <c r="BS309" s="3"/>
      <c r="CC309" s="1"/>
      <c r="CE309" s="1"/>
      <c r="CF309" s="1"/>
      <c r="CJ309" s="1"/>
      <c r="DF309" s="2"/>
    </row>
    <row r="310" spans="1:110">
      <c r="A310" s="1"/>
      <c r="B310" s="4"/>
      <c r="C310" s="1"/>
      <c r="D310" s="1"/>
      <c r="E310" s="1"/>
      <c r="F310" s="1"/>
      <c r="G310" s="1"/>
      <c r="H310" s="2"/>
      <c r="I310" s="1"/>
      <c r="J310" s="1"/>
      <c r="K310" s="5"/>
      <c r="L310" s="6"/>
      <c r="Q310" s="5"/>
      <c r="R310" s="6"/>
      <c r="X310" s="2"/>
      <c r="Y310" s="1"/>
      <c r="AF310" s="2"/>
      <c r="AG310" s="1"/>
      <c r="BG310" s="1"/>
      <c r="BS310" s="3"/>
      <c r="CC310" s="1"/>
      <c r="CE310" s="1"/>
      <c r="CF310" s="1"/>
      <c r="CJ310" s="1"/>
      <c r="DF310" s="2"/>
    </row>
    <row r="311" spans="1:110">
      <c r="A311" s="1"/>
      <c r="B311" s="4"/>
      <c r="C311" s="1"/>
      <c r="D311" s="1"/>
      <c r="E311" s="1"/>
      <c r="F311" s="1"/>
      <c r="G311" s="1"/>
      <c r="H311" s="2"/>
      <c r="I311" s="1"/>
      <c r="J311" s="1"/>
      <c r="K311" s="5"/>
      <c r="L311" s="6"/>
      <c r="Q311" s="5"/>
      <c r="R311" s="6"/>
      <c r="X311" s="2"/>
      <c r="Y311" s="1"/>
      <c r="AF311" s="2"/>
      <c r="AG311" s="1"/>
      <c r="BG311" s="1"/>
      <c r="BS311" s="3"/>
      <c r="CC311" s="1"/>
      <c r="CE311" s="1"/>
      <c r="CF311" s="1"/>
      <c r="CJ311" s="1"/>
      <c r="DF311" s="2"/>
    </row>
    <row r="312" spans="1:110">
      <c r="A312" s="1"/>
      <c r="B312" s="4"/>
      <c r="C312" s="1"/>
      <c r="D312" s="1"/>
      <c r="E312" s="1"/>
      <c r="F312" s="1"/>
      <c r="G312" s="1"/>
      <c r="H312" s="2"/>
      <c r="I312" s="1"/>
      <c r="J312" s="1"/>
      <c r="K312" s="5"/>
      <c r="L312" s="6"/>
      <c r="Q312" s="5"/>
      <c r="R312" s="6"/>
      <c r="X312" s="2"/>
      <c r="Y312" s="1"/>
      <c r="AF312" s="2"/>
      <c r="AG312" s="1"/>
      <c r="BG312" s="1"/>
      <c r="BS312" s="3"/>
      <c r="CC312" s="1"/>
      <c r="CE312" s="1"/>
      <c r="CF312" s="1"/>
      <c r="CJ312" s="1"/>
      <c r="DF312" s="2"/>
    </row>
    <row r="313" spans="1:110">
      <c r="A313" s="1"/>
      <c r="B313" s="4"/>
      <c r="C313" s="1"/>
      <c r="D313" s="1"/>
      <c r="E313" s="1"/>
      <c r="F313" s="1"/>
      <c r="G313" s="1"/>
      <c r="H313" s="2"/>
      <c r="I313" s="1"/>
      <c r="J313" s="1"/>
      <c r="K313" s="5"/>
      <c r="L313" s="6"/>
      <c r="Q313" s="5"/>
      <c r="R313" s="6"/>
      <c r="X313" s="2"/>
      <c r="Y313" s="1"/>
      <c r="AF313" s="2"/>
      <c r="AG313" s="1"/>
      <c r="BG313" s="1"/>
      <c r="BS313" s="3"/>
      <c r="CC313" s="1"/>
      <c r="CE313" s="1"/>
      <c r="CF313" s="1"/>
      <c r="CJ313" s="1"/>
      <c r="DF313" s="2"/>
    </row>
    <row r="314" spans="1:110">
      <c r="A314" s="1"/>
      <c r="B314" s="4"/>
      <c r="C314" s="1"/>
      <c r="D314" s="1"/>
      <c r="E314" s="1"/>
      <c r="F314" s="1"/>
      <c r="G314" s="1"/>
      <c r="H314" s="2"/>
      <c r="I314" s="1"/>
      <c r="J314" s="1"/>
      <c r="K314" s="5"/>
      <c r="L314" s="6"/>
      <c r="Q314" s="5"/>
      <c r="R314" s="6"/>
      <c r="X314" s="2"/>
      <c r="Y314" s="1"/>
      <c r="AF314" s="2"/>
      <c r="AG314" s="1"/>
      <c r="BG314" s="1"/>
      <c r="BS314" s="3"/>
      <c r="CC314" s="1"/>
      <c r="CE314" s="1"/>
      <c r="CF314" s="1"/>
      <c r="CJ314" s="1"/>
      <c r="DF314" s="2"/>
    </row>
    <row r="315" spans="1:110">
      <c r="A315" s="1"/>
      <c r="B315" s="4"/>
      <c r="C315" s="1"/>
      <c r="D315" s="1"/>
      <c r="E315" s="1"/>
      <c r="F315" s="1"/>
      <c r="G315" s="1"/>
      <c r="H315" s="2"/>
      <c r="I315" s="1"/>
      <c r="J315" s="1"/>
      <c r="K315" s="5"/>
      <c r="L315" s="6"/>
      <c r="Q315" s="5"/>
      <c r="R315" s="6"/>
      <c r="X315" s="2"/>
      <c r="Y315" s="1"/>
      <c r="AF315" s="2"/>
      <c r="AG315" s="1"/>
      <c r="BG315" s="1"/>
      <c r="BS315" s="3"/>
      <c r="CC315" s="1"/>
      <c r="CE315" s="1"/>
      <c r="CF315" s="1"/>
      <c r="CJ315" s="1"/>
      <c r="DF315" s="2"/>
    </row>
    <row r="316" spans="1:110">
      <c r="A316" s="1"/>
      <c r="B316" s="4"/>
      <c r="C316" s="1"/>
      <c r="D316" s="1"/>
      <c r="E316" s="1"/>
      <c r="F316" s="1"/>
      <c r="G316" s="1"/>
      <c r="H316" s="2"/>
      <c r="I316" s="1"/>
      <c r="J316" s="1"/>
      <c r="K316" s="5"/>
      <c r="L316" s="6"/>
      <c r="Q316" s="5"/>
      <c r="R316" s="6"/>
      <c r="X316" s="2"/>
      <c r="Y316" s="1"/>
      <c r="AF316" s="2"/>
      <c r="AG316" s="1"/>
      <c r="BG316" s="1"/>
      <c r="BS316" s="3"/>
      <c r="CC316" s="1"/>
      <c r="CE316" s="1"/>
      <c r="CF316" s="1"/>
      <c r="CJ316" s="1"/>
      <c r="DF316" s="2"/>
    </row>
    <row r="317" spans="1:110">
      <c r="A317" s="1"/>
      <c r="B317" s="4"/>
      <c r="C317" s="1"/>
      <c r="D317" s="1"/>
      <c r="E317" s="1"/>
      <c r="F317" s="1"/>
      <c r="G317" s="1"/>
      <c r="H317" s="2"/>
      <c r="I317" s="1"/>
      <c r="J317" s="1"/>
      <c r="K317" s="5"/>
      <c r="L317" s="6"/>
      <c r="Q317" s="5"/>
      <c r="R317" s="6"/>
      <c r="X317" s="2"/>
      <c r="Y317" s="1"/>
      <c r="AF317" s="2"/>
      <c r="AG317" s="1"/>
      <c r="BG317" s="1"/>
      <c r="BS317" s="3"/>
      <c r="CC317" s="1"/>
      <c r="CE317" s="1"/>
      <c r="CF317" s="1"/>
      <c r="CJ317" s="1"/>
      <c r="DF317" s="2"/>
    </row>
    <row r="318" spans="1:110">
      <c r="A318" s="1"/>
      <c r="B318" s="4"/>
      <c r="C318" s="1"/>
      <c r="D318" s="1"/>
      <c r="E318" s="1"/>
      <c r="F318" s="1"/>
      <c r="G318" s="1"/>
      <c r="H318" s="2"/>
      <c r="I318" s="1"/>
      <c r="J318" s="1"/>
      <c r="K318" s="5"/>
      <c r="L318" s="6"/>
      <c r="Q318" s="5"/>
      <c r="R318" s="6"/>
      <c r="X318" s="2"/>
      <c r="Y318" s="1"/>
      <c r="AF318" s="2"/>
      <c r="AG318" s="1"/>
      <c r="BG318" s="1"/>
      <c r="BS318" s="3"/>
      <c r="CC318" s="1"/>
      <c r="CE318" s="1"/>
      <c r="CF318" s="1"/>
      <c r="CJ318" s="1"/>
      <c r="DF318" s="2"/>
    </row>
    <row r="319" spans="1:110">
      <c r="A319" s="1"/>
      <c r="B319" s="4"/>
      <c r="C319" s="1"/>
      <c r="D319" s="1"/>
      <c r="E319" s="1"/>
      <c r="F319" s="1"/>
      <c r="G319" s="1"/>
      <c r="H319" s="2"/>
      <c r="I319" s="1"/>
      <c r="J319" s="1"/>
      <c r="K319" s="5"/>
      <c r="L319" s="6"/>
      <c r="Q319" s="5"/>
      <c r="R319" s="6"/>
      <c r="X319" s="2"/>
      <c r="Y319" s="1"/>
      <c r="AF319" s="2"/>
      <c r="AG319" s="1"/>
      <c r="BG319" s="1"/>
      <c r="BS319" s="3"/>
      <c r="CC319" s="1"/>
      <c r="CE319" s="1"/>
      <c r="CF319" s="1"/>
      <c r="CJ319" s="1"/>
      <c r="DF319" s="2"/>
    </row>
    <row r="320" spans="1:110">
      <c r="A320" s="1"/>
      <c r="B320" s="4"/>
      <c r="C320" s="1"/>
      <c r="D320" s="1"/>
      <c r="E320" s="1"/>
      <c r="F320" s="1"/>
      <c r="G320" s="1"/>
      <c r="H320" s="2"/>
      <c r="I320" s="1"/>
      <c r="J320" s="1"/>
      <c r="K320" s="5"/>
      <c r="L320" s="6"/>
      <c r="Q320" s="5"/>
      <c r="R320" s="6"/>
      <c r="X320" s="2"/>
      <c r="Y320" s="1"/>
      <c r="AF320" s="2"/>
      <c r="AG320" s="1"/>
      <c r="BG320" s="1"/>
      <c r="BS320" s="3"/>
      <c r="CC320" s="1"/>
      <c r="CE320" s="1"/>
      <c r="CF320" s="1"/>
      <c r="CJ320" s="1"/>
      <c r="DF320" s="2"/>
    </row>
    <row r="321" spans="1:110">
      <c r="A321" s="1"/>
      <c r="B321" s="4"/>
      <c r="C321" s="1"/>
      <c r="D321" s="1"/>
      <c r="E321" s="1"/>
      <c r="F321" s="1"/>
      <c r="G321" s="1"/>
      <c r="H321" s="2"/>
      <c r="I321" s="1"/>
      <c r="J321" s="1"/>
      <c r="K321" s="5"/>
      <c r="L321" s="6"/>
      <c r="Q321" s="5"/>
      <c r="R321" s="6"/>
      <c r="X321" s="2"/>
      <c r="Y321" s="1"/>
      <c r="AF321" s="2"/>
      <c r="AG321" s="1"/>
      <c r="BG321" s="1"/>
      <c r="BS321" s="3"/>
      <c r="CC321" s="1"/>
      <c r="CE321" s="1"/>
      <c r="CF321" s="1"/>
      <c r="CJ321" s="1"/>
      <c r="DF321" s="2"/>
    </row>
    <row r="322" spans="1:110">
      <c r="A322" s="1"/>
      <c r="B322" s="4"/>
      <c r="C322" s="1"/>
      <c r="D322" s="1"/>
      <c r="E322" s="1"/>
      <c r="F322" s="1"/>
      <c r="G322" s="1"/>
      <c r="H322" s="2"/>
      <c r="I322" s="1"/>
      <c r="J322" s="1"/>
      <c r="K322" s="5"/>
      <c r="L322" s="6"/>
      <c r="Q322" s="5"/>
      <c r="R322" s="6"/>
      <c r="X322" s="2"/>
      <c r="Y322" s="1"/>
      <c r="AF322" s="2"/>
      <c r="AG322" s="1"/>
      <c r="BG322" s="1"/>
      <c r="BS322" s="3"/>
      <c r="CC322" s="1"/>
      <c r="CE322" s="1"/>
      <c r="CF322" s="1"/>
      <c r="CJ322" s="1"/>
      <c r="DF322" s="2"/>
    </row>
    <row r="323" spans="1:110">
      <c r="A323" s="1"/>
      <c r="B323" s="4"/>
      <c r="C323" s="1"/>
      <c r="D323" s="1"/>
      <c r="E323" s="1"/>
      <c r="F323" s="1"/>
      <c r="G323" s="1"/>
      <c r="H323" s="2"/>
      <c r="I323" s="1"/>
      <c r="J323" s="1"/>
      <c r="K323" s="5"/>
      <c r="L323" s="6"/>
      <c r="Q323" s="5"/>
      <c r="R323" s="6"/>
      <c r="X323" s="2"/>
      <c r="Y323" s="1"/>
      <c r="AF323" s="2"/>
      <c r="AG323" s="1"/>
      <c r="BG323" s="1"/>
      <c r="BS323" s="3"/>
      <c r="CC323" s="1"/>
      <c r="CE323" s="1"/>
      <c r="CF323" s="1"/>
      <c r="CJ323" s="1"/>
      <c r="DF323" s="2"/>
    </row>
    <row r="324" spans="1:110">
      <c r="A324" s="1"/>
      <c r="B324" s="4"/>
      <c r="C324" s="1"/>
      <c r="D324" s="1"/>
      <c r="E324" s="1"/>
      <c r="F324" s="1"/>
      <c r="G324" s="1"/>
      <c r="H324" s="2"/>
      <c r="I324" s="1"/>
      <c r="J324" s="1"/>
      <c r="K324" s="5"/>
      <c r="L324" s="6"/>
      <c r="Q324" s="5"/>
      <c r="R324" s="6"/>
      <c r="X324" s="2"/>
      <c r="Y324" s="1"/>
      <c r="AF324" s="2"/>
      <c r="AG324" s="1"/>
      <c r="BG324" s="1"/>
      <c r="BS324" s="3"/>
      <c r="CC324" s="1"/>
      <c r="CE324" s="1"/>
      <c r="CF324" s="1"/>
      <c r="CJ324" s="1"/>
      <c r="DF324" s="2"/>
    </row>
    <row r="325" spans="1:110">
      <c r="A325" s="1"/>
      <c r="B325" s="4"/>
      <c r="C325" s="1"/>
      <c r="D325" s="1"/>
      <c r="E325" s="1"/>
      <c r="F325" s="1"/>
      <c r="G325" s="1"/>
      <c r="H325" s="2"/>
      <c r="I325" s="1"/>
      <c r="J325" s="1"/>
      <c r="K325" s="5"/>
      <c r="L325" s="6"/>
      <c r="Q325" s="5"/>
      <c r="R325" s="6"/>
      <c r="X325" s="2"/>
      <c r="Y325" s="1"/>
      <c r="AF325" s="2"/>
      <c r="AG325" s="1"/>
      <c r="BG325" s="1"/>
      <c r="BS325" s="3"/>
      <c r="CC325" s="1"/>
      <c r="CE325" s="1"/>
      <c r="CF325" s="1"/>
      <c r="CJ325" s="1"/>
      <c r="DF325" s="2"/>
    </row>
    <row r="326" spans="1:110">
      <c r="A326" s="1"/>
      <c r="B326" s="4"/>
      <c r="C326" s="1"/>
      <c r="D326" s="1"/>
      <c r="E326" s="1"/>
      <c r="F326" s="1"/>
      <c r="G326" s="1"/>
      <c r="H326" s="2"/>
      <c r="I326" s="1"/>
      <c r="J326" s="1"/>
      <c r="K326" s="5"/>
      <c r="L326" s="6"/>
      <c r="Q326" s="5"/>
      <c r="R326" s="6"/>
      <c r="X326" s="2"/>
      <c r="Y326" s="1"/>
      <c r="AF326" s="2"/>
      <c r="AG326" s="1"/>
      <c r="BG326" s="1"/>
      <c r="BS326" s="3"/>
      <c r="CC326" s="1"/>
      <c r="CE326" s="1"/>
      <c r="CF326" s="1"/>
      <c r="CJ326" s="1"/>
      <c r="DF326" s="2"/>
    </row>
    <row r="327" spans="1:110">
      <c r="A327" s="1"/>
      <c r="B327" s="4"/>
      <c r="C327" s="1"/>
      <c r="D327" s="1"/>
      <c r="E327" s="1"/>
      <c r="F327" s="1"/>
      <c r="G327" s="1"/>
      <c r="H327" s="2"/>
      <c r="I327" s="1"/>
      <c r="J327" s="1"/>
      <c r="K327" s="5"/>
      <c r="L327" s="6"/>
      <c r="Q327" s="5"/>
      <c r="R327" s="6"/>
      <c r="X327" s="2"/>
      <c r="Y327" s="1"/>
      <c r="AF327" s="2"/>
      <c r="AG327" s="1"/>
      <c r="BG327" s="1"/>
      <c r="BS327" s="3"/>
      <c r="CC327" s="1"/>
      <c r="CE327" s="1"/>
      <c r="CF327" s="1"/>
      <c r="CJ327" s="1"/>
      <c r="DF327" s="2"/>
    </row>
    <row r="328" spans="1:110">
      <c r="A328" s="1"/>
      <c r="B328" s="4"/>
      <c r="C328" s="1"/>
      <c r="D328" s="1"/>
      <c r="E328" s="1"/>
      <c r="F328" s="1"/>
      <c r="G328" s="1"/>
      <c r="H328" s="2"/>
      <c r="I328" s="1"/>
      <c r="J328" s="1"/>
      <c r="K328" s="5"/>
      <c r="L328" s="6"/>
      <c r="Q328" s="5"/>
      <c r="R328" s="6"/>
      <c r="X328" s="2"/>
      <c r="Y328" s="1"/>
      <c r="AF328" s="2"/>
      <c r="AG328" s="1"/>
      <c r="BG328" s="1"/>
      <c r="BS328" s="3"/>
      <c r="CC328" s="1"/>
      <c r="CE328" s="1"/>
      <c r="CF328" s="1"/>
      <c r="CJ328" s="1"/>
      <c r="DF328" s="2"/>
    </row>
    <row r="329" spans="1:110">
      <c r="A329" s="1"/>
      <c r="B329" s="4"/>
      <c r="C329" s="1"/>
      <c r="D329" s="1"/>
      <c r="E329" s="1"/>
      <c r="F329" s="1"/>
      <c r="G329" s="1"/>
      <c r="H329" s="2"/>
      <c r="I329" s="1"/>
      <c r="J329" s="1"/>
      <c r="K329" s="5"/>
      <c r="L329" s="6"/>
      <c r="Q329" s="5"/>
      <c r="R329" s="6"/>
      <c r="X329" s="2"/>
      <c r="Y329" s="1"/>
      <c r="AF329" s="2"/>
      <c r="AG329" s="1"/>
      <c r="BG329" s="1"/>
      <c r="BS329" s="3"/>
      <c r="CC329" s="1"/>
      <c r="CE329" s="1"/>
      <c r="CF329" s="1"/>
      <c r="CJ329" s="1"/>
      <c r="DF329" s="2"/>
    </row>
    <row r="330" spans="1:110">
      <c r="A330" s="1"/>
      <c r="B330" s="4"/>
      <c r="C330" s="1"/>
      <c r="D330" s="1"/>
      <c r="E330" s="1"/>
      <c r="F330" s="1"/>
      <c r="G330" s="1"/>
      <c r="H330" s="2"/>
      <c r="I330" s="1"/>
      <c r="J330" s="1"/>
      <c r="K330" s="5"/>
      <c r="L330" s="6"/>
      <c r="Q330" s="5"/>
      <c r="R330" s="6"/>
      <c r="X330" s="2"/>
      <c r="Y330" s="1"/>
      <c r="AF330" s="2"/>
      <c r="AG330" s="1"/>
      <c r="BG330" s="1"/>
      <c r="BS330" s="3"/>
      <c r="CC330" s="1"/>
      <c r="CE330" s="1"/>
      <c r="CF330" s="1"/>
      <c r="CJ330" s="1"/>
      <c r="DF330" s="2"/>
    </row>
    <row r="331" spans="1:110">
      <c r="A331" s="1"/>
      <c r="B331" s="4"/>
      <c r="C331" s="1"/>
      <c r="D331" s="1"/>
      <c r="E331" s="1"/>
      <c r="F331" s="1"/>
      <c r="G331" s="1"/>
      <c r="H331" s="2"/>
      <c r="I331" s="1"/>
      <c r="J331" s="1"/>
      <c r="K331" s="5"/>
      <c r="L331" s="6"/>
      <c r="Q331" s="5"/>
      <c r="R331" s="6"/>
      <c r="X331" s="2"/>
      <c r="Y331" s="1"/>
      <c r="AF331" s="2"/>
      <c r="AG331" s="1"/>
      <c r="BG331" s="1"/>
      <c r="BS331" s="3"/>
      <c r="CC331" s="1"/>
      <c r="CE331" s="1"/>
      <c r="CF331" s="1"/>
      <c r="CJ331" s="1"/>
      <c r="DF331" s="2"/>
    </row>
    <row r="332" spans="1:110">
      <c r="A332" s="1"/>
      <c r="B332" s="4"/>
      <c r="C332" s="1"/>
      <c r="D332" s="1"/>
      <c r="E332" s="1"/>
      <c r="F332" s="1"/>
      <c r="G332" s="1"/>
      <c r="H332" s="2"/>
      <c r="I332" s="1"/>
      <c r="J332" s="1"/>
      <c r="K332" s="5"/>
      <c r="L332" s="6"/>
      <c r="Q332" s="5"/>
      <c r="R332" s="6"/>
      <c r="X332" s="2"/>
      <c r="Y332" s="1"/>
      <c r="AF332" s="2"/>
      <c r="AG332" s="1"/>
      <c r="BG332" s="1"/>
      <c r="BS332" s="3"/>
      <c r="CC332" s="1"/>
      <c r="CE332" s="1"/>
      <c r="CF332" s="1"/>
      <c r="CJ332" s="1"/>
      <c r="DF332" s="2"/>
    </row>
    <row r="333" spans="1:110">
      <c r="A333" s="1"/>
      <c r="B333" s="4"/>
      <c r="C333" s="1"/>
      <c r="D333" s="1"/>
      <c r="E333" s="1"/>
      <c r="F333" s="1"/>
      <c r="G333" s="1"/>
      <c r="H333" s="2"/>
      <c r="I333" s="1"/>
      <c r="J333" s="1"/>
      <c r="K333" s="5"/>
      <c r="L333" s="6"/>
      <c r="Q333" s="5"/>
      <c r="R333" s="6"/>
      <c r="X333" s="2"/>
      <c r="Y333" s="1"/>
      <c r="AF333" s="2"/>
      <c r="AG333" s="1"/>
      <c r="BG333" s="1"/>
      <c r="BS333" s="3"/>
      <c r="CC333" s="1"/>
      <c r="CE333" s="1"/>
      <c r="CF333" s="1"/>
      <c r="CJ333" s="1"/>
      <c r="DF333" s="2"/>
    </row>
    <row r="334" spans="1:110">
      <c r="A334" s="1"/>
      <c r="B334" s="4"/>
      <c r="C334" s="1"/>
      <c r="D334" s="1"/>
      <c r="E334" s="1"/>
      <c r="F334" s="1"/>
      <c r="G334" s="1"/>
      <c r="H334" s="2"/>
      <c r="I334" s="1"/>
      <c r="J334" s="1"/>
      <c r="K334" s="5"/>
      <c r="L334" s="6"/>
      <c r="Q334" s="5"/>
      <c r="R334" s="6"/>
      <c r="X334" s="2"/>
      <c r="Y334" s="1"/>
      <c r="AF334" s="2"/>
      <c r="AG334" s="1"/>
      <c r="BG334" s="1"/>
      <c r="BS334" s="3"/>
      <c r="CC334" s="1"/>
      <c r="CE334" s="1"/>
      <c r="CF334" s="1"/>
      <c r="CJ334" s="1"/>
      <c r="DF334" s="2"/>
    </row>
    <row r="335" spans="1:110">
      <c r="A335" s="1"/>
      <c r="B335" s="4"/>
      <c r="C335" s="1"/>
      <c r="D335" s="1"/>
      <c r="E335" s="1"/>
      <c r="F335" s="1"/>
      <c r="G335" s="1"/>
      <c r="H335" s="2"/>
      <c r="I335" s="1"/>
      <c r="J335" s="1"/>
      <c r="K335" s="5"/>
      <c r="L335" s="6"/>
      <c r="Q335" s="5"/>
      <c r="R335" s="6"/>
      <c r="X335" s="2"/>
      <c r="Y335" s="1"/>
      <c r="AF335" s="2"/>
      <c r="AG335" s="1"/>
      <c r="BG335" s="1"/>
      <c r="BS335" s="3"/>
      <c r="CC335" s="1"/>
      <c r="CE335" s="1"/>
      <c r="CF335" s="1"/>
      <c r="CJ335" s="1"/>
      <c r="DF335" s="2"/>
    </row>
    <row r="336" spans="1:110">
      <c r="A336" s="1"/>
      <c r="B336" s="4"/>
      <c r="C336" s="1"/>
      <c r="D336" s="1"/>
      <c r="E336" s="1"/>
      <c r="F336" s="1"/>
      <c r="G336" s="1"/>
      <c r="H336" s="2"/>
      <c r="I336" s="1"/>
      <c r="J336" s="1"/>
      <c r="K336" s="5"/>
      <c r="L336" s="6"/>
      <c r="Q336" s="5"/>
      <c r="R336" s="6"/>
      <c r="X336" s="2"/>
      <c r="Y336" s="1"/>
      <c r="AF336" s="2"/>
      <c r="AG336" s="1"/>
      <c r="BG336" s="1"/>
      <c r="BS336" s="3"/>
      <c r="CC336" s="1"/>
      <c r="CE336" s="1"/>
      <c r="CF336" s="1"/>
      <c r="CJ336" s="1"/>
      <c r="DF336" s="2"/>
    </row>
    <row r="337" spans="1:110">
      <c r="A337" s="1"/>
      <c r="B337" s="4"/>
      <c r="C337" s="1"/>
      <c r="D337" s="1"/>
      <c r="E337" s="1"/>
      <c r="F337" s="1"/>
      <c r="G337" s="1"/>
      <c r="H337" s="2"/>
      <c r="I337" s="1"/>
      <c r="J337" s="1"/>
      <c r="K337" s="5"/>
      <c r="L337" s="6"/>
      <c r="Q337" s="5"/>
      <c r="R337" s="6"/>
      <c r="X337" s="2"/>
      <c r="Y337" s="1"/>
      <c r="AF337" s="2"/>
      <c r="AG337" s="1"/>
      <c r="BG337" s="1"/>
      <c r="BS337" s="3"/>
      <c r="CC337" s="1"/>
      <c r="CE337" s="1"/>
      <c r="CF337" s="1"/>
      <c r="CJ337" s="1"/>
      <c r="DF337" s="2"/>
    </row>
    <row r="338" spans="1:110">
      <c r="A338" s="1"/>
      <c r="B338" s="4"/>
      <c r="C338" s="1"/>
      <c r="D338" s="1"/>
      <c r="E338" s="1"/>
      <c r="F338" s="1"/>
      <c r="G338" s="1"/>
      <c r="H338" s="2"/>
      <c r="I338" s="1"/>
      <c r="J338" s="1"/>
      <c r="K338" s="5"/>
      <c r="L338" s="6"/>
      <c r="Q338" s="5"/>
      <c r="R338" s="6"/>
      <c r="X338" s="2"/>
      <c r="Y338" s="1"/>
      <c r="AF338" s="2"/>
      <c r="AG338" s="1"/>
      <c r="BG338" s="1"/>
      <c r="BS338" s="3"/>
      <c r="CC338" s="1"/>
      <c r="CE338" s="1"/>
      <c r="CF338" s="1"/>
      <c r="CJ338" s="1"/>
      <c r="DF338" s="2"/>
    </row>
    <row r="339" spans="1:110">
      <c r="A339" s="1"/>
      <c r="B339" s="4"/>
      <c r="C339" s="1"/>
      <c r="D339" s="1"/>
      <c r="E339" s="1"/>
      <c r="F339" s="1"/>
      <c r="G339" s="1"/>
      <c r="H339" s="2"/>
      <c r="I339" s="1"/>
      <c r="J339" s="1"/>
      <c r="K339" s="5"/>
      <c r="L339" s="6"/>
      <c r="Q339" s="5"/>
      <c r="R339" s="6"/>
      <c r="X339" s="2"/>
      <c r="Y339" s="1"/>
      <c r="AF339" s="2"/>
      <c r="AG339" s="1"/>
      <c r="BG339" s="1"/>
      <c r="BS339" s="3"/>
      <c r="CC339" s="1"/>
      <c r="CE339" s="1"/>
      <c r="CF339" s="1"/>
      <c r="CJ339" s="1"/>
      <c r="DF339" s="2"/>
    </row>
    <row r="340" spans="1:110">
      <c r="A340" s="1"/>
      <c r="B340" s="4"/>
      <c r="C340" s="1"/>
      <c r="D340" s="1"/>
      <c r="E340" s="1"/>
      <c r="F340" s="1"/>
      <c r="G340" s="1"/>
      <c r="H340" s="2"/>
      <c r="I340" s="1"/>
      <c r="J340" s="1"/>
      <c r="K340" s="5"/>
      <c r="L340" s="6"/>
      <c r="Q340" s="5"/>
      <c r="R340" s="6"/>
      <c r="X340" s="2"/>
      <c r="Y340" s="1"/>
      <c r="AF340" s="2"/>
      <c r="AG340" s="1"/>
      <c r="BG340" s="1"/>
      <c r="BS340" s="3"/>
      <c r="CC340" s="1"/>
      <c r="CE340" s="1"/>
      <c r="CF340" s="1"/>
      <c r="CJ340" s="1"/>
      <c r="DF340" s="2"/>
    </row>
    <row r="341" spans="1:110">
      <c r="A341" s="1"/>
      <c r="B341" s="4"/>
      <c r="C341" s="1"/>
      <c r="D341" s="1"/>
      <c r="E341" s="1"/>
      <c r="F341" s="1"/>
      <c r="G341" s="1"/>
      <c r="H341" s="2"/>
      <c r="I341" s="1"/>
      <c r="J341" s="1"/>
      <c r="K341" s="5"/>
      <c r="L341" s="6"/>
      <c r="Q341" s="5"/>
      <c r="R341" s="6"/>
      <c r="X341" s="2"/>
      <c r="Y341" s="1"/>
      <c r="AF341" s="2"/>
      <c r="AG341" s="1"/>
      <c r="BG341" s="1"/>
      <c r="BS341" s="3"/>
      <c r="CC341" s="1"/>
      <c r="CE341" s="1"/>
      <c r="CF341" s="1"/>
      <c r="CJ341" s="1"/>
      <c r="DF341" s="2"/>
    </row>
    <row r="342" spans="1:110">
      <c r="A342" s="1"/>
      <c r="B342" s="4"/>
      <c r="C342" s="1"/>
      <c r="D342" s="1"/>
      <c r="E342" s="1"/>
      <c r="F342" s="1"/>
      <c r="G342" s="1"/>
      <c r="H342" s="2"/>
      <c r="I342" s="1"/>
      <c r="J342" s="1"/>
      <c r="K342" s="5"/>
      <c r="L342" s="6"/>
      <c r="Q342" s="5"/>
      <c r="R342" s="6"/>
      <c r="X342" s="2"/>
      <c r="Y342" s="1"/>
      <c r="AF342" s="2"/>
      <c r="AG342" s="1"/>
      <c r="BG342" s="1"/>
      <c r="BS342" s="3"/>
      <c r="CC342" s="1"/>
      <c r="CE342" s="1"/>
      <c r="CF342" s="1"/>
      <c r="CJ342" s="1"/>
      <c r="DF342" s="2"/>
    </row>
    <row r="343" spans="1:110">
      <c r="A343" s="1"/>
      <c r="B343" s="4"/>
      <c r="C343" s="1"/>
      <c r="D343" s="1"/>
      <c r="E343" s="1"/>
      <c r="F343" s="1"/>
      <c r="G343" s="1"/>
      <c r="H343" s="2"/>
      <c r="I343" s="1"/>
      <c r="J343" s="1"/>
      <c r="K343" s="5"/>
      <c r="L343" s="6"/>
      <c r="Q343" s="5"/>
      <c r="R343" s="6"/>
      <c r="X343" s="2"/>
      <c r="Y343" s="1"/>
      <c r="AF343" s="2"/>
      <c r="AG343" s="1"/>
      <c r="BG343" s="1"/>
      <c r="BS343" s="3"/>
      <c r="CC343" s="1"/>
      <c r="CE343" s="1"/>
      <c r="CF343" s="1"/>
      <c r="CJ343" s="1"/>
      <c r="DF343" s="2"/>
    </row>
    <row r="344" spans="1:110">
      <c r="A344" s="1"/>
      <c r="B344" s="4"/>
      <c r="C344" s="1"/>
      <c r="D344" s="1"/>
      <c r="E344" s="1"/>
      <c r="F344" s="1"/>
      <c r="G344" s="1"/>
      <c r="H344" s="2"/>
      <c r="I344" s="1"/>
      <c r="J344" s="1"/>
      <c r="K344" s="5"/>
      <c r="L344" s="6"/>
      <c r="Q344" s="5"/>
      <c r="R344" s="6"/>
      <c r="X344" s="2"/>
      <c r="Y344" s="1"/>
      <c r="AF344" s="2"/>
      <c r="AG344" s="1"/>
      <c r="BG344" s="1"/>
      <c r="BS344" s="3"/>
      <c r="CC344" s="1"/>
      <c r="CE344" s="1"/>
      <c r="CF344" s="1"/>
      <c r="CJ344" s="1"/>
      <c r="DF344" s="2"/>
    </row>
    <row r="345" spans="1:110">
      <c r="A345" s="1"/>
      <c r="B345" s="4"/>
      <c r="C345" s="1"/>
      <c r="D345" s="1"/>
      <c r="E345" s="1"/>
      <c r="F345" s="1"/>
      <c r="G345" s="1"/>
      <c r="H345" s="2"/>
      <c r="I345" s="1"/>
      <c r="J345" s="1"/>
      <c r="K345" s="5"/>
      <c r="L345" s="6"/>
      <c r="Q345" s="5"/>
      <c r="R345" s="6"/>
      <c r="X345" s="2"/>
      <c r="Y345" s="1"/>
      <c r="AF345" s="2"/>
      <c r="AG345" s="1"/>
      <c r="BG345" s="1"/>
      <c r="BS345" s="3"/>
      <c r="CC345" s="1"/>
      <c r="CE345" s="1"/>
      <c r="CF345" s="1"/>
      <c r="CJ345" s="1"/>
      <c r="DF345" s="2"/>
    </row>
    <row r="346" spans="1:110">
      <c r="A346" s="1"/>
      <c r="B346" s="4"/>
      <c r="C346" s="1"/>
      <c r="D346" s="1"/>
      <c r="E346" s="1"/>
      <c r="F346" s="1"/>
      <c r="G346" s="1"/>
      <c r="H346" s="2"/>
      <c r="I346" s="1"/>
      <c r="J346" s="1"/>
      <c r="K346" s="5"/>
      <c r="L346" s="6"/>
      <c r="Q346" s="5"/>
      <c r="R346" s="6"/>
      <c r="X346" s="2"/>
      <c r="Y346" s="1"/>
      <c r="AF346" s="2"/>
      <c r="AG346" s="1"/>
      <c r="BG346" s="1"/>
      <c r="BS346" s="3"/>
      <c r="CC346" s="1"/>
      <c r="CE346" s="1"/>
      <c r="CF346" s="1"/>
      <c r="CJ346" s="1"/>
      <c r="DF346" s="2"/>
    </row>
    <row r="347" spans="1:110">
      <c r="A347" s="1"/>
      <c r="B347" s="4"/>
      <c r="C347" s="1"/>
      <c r="D347" s="1"/>
      <c r="E347" s="1"/>
      <c r="F347" s="1"/>
      <c r="G347" s="1"/>
      <c r="H347" s="2"/>
      <c r="I347" s="1"/>
      <c r="J347" s="1"/>
      <c r="K347" s="5"/>
      <c r="L347" s="6"/>
      <c r="Q347" s="5"/>
      <c r="R347" s="6"/>
      <c r="X347" s="2"/>
      <c r="Y347" s="1"/>
      <c r="AF347" s="2"/>
      <c r="AG347" s="1"/>
      <c r="BG347" s="1"/>
      <c r="BS347" s="3"/>
      <c r="CC347" s="1"/>
      <c r="CE347" s="1"/>
      <c r="CF347" s="1"/>
      <c r="CJ347" s="1"/>
      <c r="DF347" s="2"/>
    </row>
    <row r="348" spans="1:110">
      <c r="A348" s="1"/>
      <c r="B348" s="4"/>
      <c r="C348" s="1"/>
      <c r="D348" s="1"/>
      <c r="E348" s="1"/>
      <c r="F348" s="1"/>
      <c r="G348" s="1"/>
      <c r="H348" s="2"/>
      <c r="I348" s="1"/>
      <c r="J348" s="1"/>
      <c r="K348" s="5"/>
      <c r="L348" s="6"/>
      <c r="Q348" s="5"/>
      <c r="R348" s="6"/>
      <c r="X348" s="2"/>
      <c r="Y348" s="1"/>
      <c r="AF348" s="2"/>
      <c r="AG348" s="1"/>
      <c r="BG348" s="1"/>
      <c r="BS348" s="3"/>
      <c r="CC348" s="1"/>
      <c r="CE348" s="1"/>
      <c r="CF348" s="1"/>
      <c r="CJ348" s="1"/>
      <c r="DF348" s="2"/>
    </row>
    <row r="349" spans="1:110">
      <c r="A349" s="1"/>
      <c r="B349" s="4"/>
      <c r="C349" s="1"/>
      <c r="D349" s="1"/>
      <c r="E349" s="1"/>
      <c r="F349" s="1"/>
      <c r="G349" s="1"/>
      <c r="H349" s="2"/>
      <c r="I349" s="1"/>
      <c r="J349" s="1"/>
      <c r="K349" s="5"/>
      <c r="L349" s="6"/>
      <c r="Q349" s="5"/>
      <c r="R349" s="6"/>
      <c r="X349" s="2"/>
      <c r="Y349" s="1"/>
      <c r="AF349" s="2"/>
      <c r="AG349" s="1"/>
      <c r="BG349" s="1"/>
      <c r="BS349" s="3"/>
      <c r="CC349" s="1"/>
      <c r="CE349" s="1"/>
      <c r="CF349" s="1"/>
      <c r="CJ349" s="1"/>
      <c r="DF349" s="2"/>
    </row>
    <row r="350" spans="1:110">
      <c r="A350" s="1"/>
      <c r="B350" s="4"/>
      <c r="C350" s="1"/>
      <c r="D350" s="1"/>
      <c r="E350" s="1"/>
      <c r="F350" s="1"/>
      <c r="G350" s="1"/>
      <c r="H350" s="2"/>
      <c r="I350" s="1"/>
      <c r="J350" s="1"/>
      <c r="K350" s="5"/>
      <c r="L350" s="6"/>
      <c r="Q350" s="5"/>
      <c r="R350" s="6"/>
      <c r="X350" s="2"/>
      <c r="Y350" s="1"/>
      <c r="AF350" s="2"/>
      <c r="AG350" s="1"/>
      <c r="BG350" s="1"/>
      <c r="BS350" s="3"/>
      <c r="CC350" s="1"/>
      <c r="CE350" s="1"/>
      <c r="CF350" s="1"/>
      <c r="CJ350" s="1"/>
      <c r="DF350" s="2"/>
    </row>
    <row r="351" spans="1:110">
      <c r="A351" s="1"/>
      <c r="B351" s="4"/>
      <c r="C351" s="1"/>
      <c r="D351" s="1"/>
      <c r="E351" s="1"/>
      <c r="F351" s="1"/>
      <c r="G351" s="1"/>
      <c r="H351" s="2"/>
      <c r="I351" s="1"/>
      <c r="J351" s="1"/>
      <c r="K351" s="5"/>
      <c r="L351" s="6"/>
      <c r="Q351" s="5"/>
      <c r="R351" s="6"/>
      <c r="X351" s="2"/>
      <c r="Y351" s="1"/>
      <c r="AF351" s="2"/>
      <c r="AG351" s="1"/>
      <c r="BG351" s="1"/>
      <c r="BS351" s="3"/>
      <c r="CC351" s="1"/>
      <c r="CE351" s="1"/>
      <c r="CF351" s="1"/>
      <c r="CJ351" s="1"/>
      <c r="DF351" s="2"/>
    </row>
    <row r="352" spans="1:110">
      <c r="A352" s="1"/>
      <c r="B352" s="4"/>
      <c r="C352" s="1"/>
      <c r="D352" s="1"/>
      <c r="E352" s="1"/>
      <c r="F352" s="1"/>
      <c r="G352" s="1"/>
      <c r="H352" s="2"/>
      <c r="I352" s="1"/>
      <c r="J352" s="1"/>
      <c r="K352" s="5"/>
      <c r="L352" s="6"/>
      <c r="Q352" s="5"/>
      <c r="R352" s="6"/>
      <c r="X352" s="2"/>
      <c r="Y352" s="1"/>
      <c r="AF352" s="2"/>
      <c r="AG352" s="1"/>
      <c r="BG352" s="1"/>
      <c r="BS352" s="3"/>
      <c r="CC352" s="1"/>
      <c r="CE352" s="1"/>
      <c r="CF352" s="1"/>
      <c r="CJ352" s="1"/>
      <c r="DF352" s="2"/>
    </row>
    <row r="353" spans="1:110">
      <c r="A353" s="1"/>
      <c r="B353" s="4"/>
      <c r="C353" s="1"/>
      <c r="D353" s="1"/>
      <c r="E353" s="1"/>
      <c r="F353" s="1"/>
      <c r="G353" s="1"/>
      <c r="H353" s="2"/>
      <c r="I353" s="1"/>
      <c r="J353" s="1"/>
      <c r="K353" s="5"/>
      <c r="L353" s="6"/>
      <c r="Q353" s="5"/>
      <c r="R353" s="6"/>
      <c r="X353" s="2"/>
      <c r="Y353" s="1"/>
      <c r="AF353" s="2"/>
      <c r="AG353" s="1"/>
      <c r="BG353" s="1"/>
      <c r="BS353" s="3"/>
      <c r="CC353" s="1"/>
      <c r="CE353" s="1"/>
      <c r="CF353" s="1"/>
      <c r="CJ353" s="1"/>
      <c r="DF353" s="2"/>
    </row>
    <row r="354" spans="1:110">
      <c r="A354" s="1"/>
      <c r="B354" s="4"/>
      <c r="C354" s="1"/>
      <c r="D354" s="1"/>
      <c r="E354" s="1"/>
      <c r="F354" s="1"/>
      <c r="G354" s="1"/>
      <c r="H354" s="2"/>
      <c r="I354" s="1"/>
      <c r="J354" s="1"/>
      <c r="K354" s="5"/>
      <c r="L354" s="6"/>
      <c r="Q354" s="5"/>
      <c r="R354" s="6"/>
      <c r="X354" s="2"/>
      <c r="Y354" s="1"/>
      <c r="AF354" s="2"/>
      <c r="AG354" s="1"/>
      <c r="BG354" s="1"/>
      <c r="BS354" s="3"/>
      <c r="CC354" s="1"/>
      <c r="CE354" s="1"/>
      <c r="CF354" s="1"/>
      <c r="CJ354" s="1"/>
      <c r="DF354" s="2"/>
    </row>
    <row r="355" spans="1:110">
      <c r="A355" s="1"/>
      <c r="B355" s="4"/>
      <c r="C355" s="1"/>
      <c r="D355" s="1"/>
      <c r="E355" s="1"/>
      <c r="F355" s="1"/>
      <c r="G355" s="1"/>
      <c r="H355" s="2"/>
      <c r="I355" s="1"/>
      <c r="J355" s="1"/>
      <c r="K355" s="5"/>
      <c r="L355" s="6"/>
      <c r="Q355" s="5"/>
      <c r="R355" s="6"/>
      <c r="X355" s="2"/>
      <c r="Y355" s="1"/>
      <c r="AF355" s="2"/>
      <c r="AG355" s="1"/>
      <c r="BG355" s="1"/>
      <c r="BS355" s="3"/>
      <c r="CC355" s="1"/>
      <c r="CE355" s="1"/>
      <c r="CF355" s="1"/>
      <c r="CJ355" s="1"/>
      <c r="DF355" s="2"/>
    </row>
    <row r="356" spans="1:110">
      <c r="A356" s="1"/>
      <c r="B356" s="4"/>
      <c r="C356" s="1"/>
      <c r="D356" s="1"/>
      <c r="E356" s="1"/>
      <c r="F356" s="1"/>
      <c r="G356" s="1"/>
      <c r="H356" s="2"/>
      <c r="I356" s="1"/>
      <c r="J356" s="1"/>
      <c r="K356" s="5"/>
      <c r="L356" s="6"/>
      <c r="Q356" s="5"/>
      <c r="R356" s="6"/>
      <c r="X356" s="2"/>
      <c r="Y356" s="1"/>
      <c r="AF356" s="2"/>
      <c r="AG356" s="1"/>
      <c r="BG356" s="1"/>
      <c r="BS356" s="3"/>
      <c r="CC356" s="1"/>
      <c r="CE356" s="1"/>
      <c r="CF356" s="1"/>
      <c r="CJ356" s="1"/>
      <c r="DF356" s="2"/>
    </row>
    <row r="357" spans="1:110">
      <c r="A357" s="1"/>
      <c r="B357" s="4"/>
      <c r="C357" s="1"/>
      <c r="D357" s="1"/>
      <c r="E357" s="1"/>
      <c r="F357" s="1"/>
      <c r="G357" s="1"/>
      <c r="H357" s="2"/>
      <c r="I357" s="1"/>
      <c r="J357" s="1"/>
      <c r="K357" s="5"/>
      <c r="L357" s="6"/>
      <c r="Q357" s="5"/>
      <c r="R357" s="6"/>
      <c r="X357" s="2"/>
      <c r="Y357" s="1"/>
      <c r="AF357" s="2"/>
      <c r="AG357" s="1"/>
      <c r="BG357" s="1"/>
      <c r="BS357" s="3"/>
      <c r="CC357" s="1"/>
      <c r="CE357" s="1"/>
      <c r="CF357" s="1"/>
      <c r="CJ357" s="1"/>
      <c r="DF357" s="2"/>
    </row>
    <row r="358" spans="1:110">
      <c r="A358" s="1"/>
      <c r="B358" s="4"/>
      <c r="C358" s="1"/>
      <c r="D358" s="1"/>
      <c r="E358" s="1"/>
      <c r="F358" s="1"/>
      <c r="G358" s="1"/>
      <c r="H358" s="2"/>
      <c r="I358" s="1"/>
      <c r="J358" s="1"/>
      <c r="K358" s="5"/>
      <c r="L358" s="6"/>
      <c r="Q358" s="5"/>
      <c r="R358" s="6"/>
      <c r="X358" s="2"/>
      <c r="Y358" s="1"/>
      <c r="AF358" s="2"/>
      <c r="AG358" s="1"/>
      <c r="BG358" s="1"/>
      <c r="BS358" s="3"/>
      <c r="CC358" s="1"/>
      <c r="CE358" s="1"/>
      <c r="CF358" s="1"/>
      <c r="CJ358" s="1"/>
      <c r="DF358" s="2"/>
    </row>
    <row r="359" spans="1:110">
      <c r="A359" s="1"/>
      <c r="B359" s="4"/>
      <c r="C359" s="1"/>
      <c r="D359" s="1"/>
      <c r="E359" s="1"/>
      <c r="F359" s="1"/>
      <c r="G359" s="1"/>
      <c r="H359" s="2"/>
      <c r="I359" s="1"/>
      <c r="J359" s="1"/>
      <c r="K359" s="5"/>
      <c r="L359" s="6"/>
      <c r="Q359" s="5"/>
      <c r="R359" s="6"/>
      <c r="X359" s="2"/>
      <c r="Y359" s="1"/>
      <c r="AF359" s="2"/>
      <c r="AG359" s="1"/>
      <c r="BG359" s="1"/>
      <c r="BS359" s="3"/>
      <c r="CC359" s="1"/>
      <c r="CE359" s="1"/>
      <c r="CF359" s="1"/>
      <c r="CJ359" s="1"/>
      <c r="DF359" s="2"/>
    </row>
    <row r="360" spans="1:110">
      <c r="A360" s="1"/>
      <c r="B360" s="4"/>
      <c r="C360" s="1"/>
      <c r="D360" s="1"/>
      <c r="E360" s="1"/>
      <c r="F360" s="1"/>
      <c r="G360" s="1"/>
      <c r="H360" s="2"/>
      <c r="I360" s="1"/>
      <c r="J360" s="1"/>
      <c r="K360" s="5"/>
      <c r="L360" s="6"/>
      <c r="Q360" s="5"/>
      <c r="R360" s="6"/>
      <c r="X360" s="2"/>
      <c r="Y360" s="1"/>
      <c r="AF360" s="2"/>
      <c r="AG360" s="1"/>
      <c r="BG360" s="1"/>
      <c r="BS360" s="3"/>
      <c r="CC360" s="1"/>
      <c r="CE360" s="1"/>
      <c r="CF360" s="1"/>
      <c r="CJ360" s="1"/>
      <c r="DF360" s="2"/>
    </row>
    <row r="361" spans="1:110">
      <c r="A361" s="1"/>
      <c r="B361" s="4"/>
      <c r="C361" s="1"/>
      <c r="D361" s="1"/>
      <c r="E361" s="1"/>
      <c r="F361" s="1"/>
      <c r="G361" s="1"/>
      <c r="H361" s="2"/>
      <c r="I361" s="1"/>
      <c r="J361" s="1"/>
      <c r="K361" s="5"/>
      <c r="L361" s="6"/>
      <c r="Q361" s="5"/>
      <c r="R361" s="6"/>
      <c r="X361" s="2"/>
      <c r="Y361" s="1"/>
      <c r="AF361" s="2"/>
      <c r="AG361" s="1"/>
      <c r="BG361" s="1"/>
      <c r="BS361" s="3"/>
      <c r="CC361" s="1"/>
      <c r="CE361" s="1"/>
      <c r="CF361" s="1"/>
      <c r="CJ361" s="1"/>
      <c r="DF361" s="2"/>
    </row>
    <row r="362" spans="1:110">
      <c r="A362" s="1"/>
      <c r="B362" s="4"/>
      <c r="C362" s="1"/>
      <c r="D362" s="1"/>
      <c r="E362" s="1"/>
      <c r="F362" s="1"/>
      <c r="G362" s="1"/>
      <c r="H362" s="2"/>
      <c r="I362" s="1"/>
      <c r="J362" s="1"/>
      <c r="K362" s="5"/>
      <c r="L362" s="6"/>
      <c r="Q362" s="5"/>
      <c r="R362" s="6"/>
      <c r="X362" s="2"/>
      <c r="Y362" s="1"/>
      <c r="AF362" s="2"/>
      <c r="AG362" s="1"/>
      <c r="BG362" s="1"/>
      <c r="BS362" s="3"/>
      <c r="CC362" s="1"/>
      <c r="CE362" s="1"/>
      <c r="CF362" s="1"/>
      <c r="CJ362" s="1"/>
      <c r="DF362" s="2"/>
    </row>
    <row r="363" spans="1:110">
      <c r="A363" s="1"/>
      <c r="B363" s="4"/>
      <c r="C363" s="1"/>
      <c r="D363" s="1"/>
      <c r="E363" s="1"/>
      <c r="F363" s="1"/>
      <c r="G363" s="1"/>
      <c r="H363" s="2"/>
      <c r="I363" s="1"/>
      <c r="J363" s="1"/>
      <c r="K363" s="5"/>
      <c r="L363" s="6"/>
      <c r="Q363" s="5"/>
      <c r="R363" s="6"/>
      <c r="X363" s="2"/>
      <c r="Y363" s="1"/>
      <c r="AF363" s="2"/>
      <c r="AG363" s="1"/>
      <c r="BG363" s="1"/>
      <c r="BS363" s="3"/>
      <c r="CC363" s="1"/>
      <c r="CE363" s="1"/>
      <c r="CF363" s="1"/>
      <c r="CJ363" s="1"/>
      <c r="DF363" s="2"/>
    </row>
    <row r="364" spans="1:110">
      <c r="A364" s="1"/>
      <c r="B364" s="4"/>
      <c r="C364" s="1"/>
      <c r="D364" s="1"/>
      <c r="E364" s="1"/>
      <c r="F364" s="1"/>
      <c r="G364" s="1"/>
      <c r="H364" s="2"/>
      <c r="I364" s="1"/>
      <c r="J364" s="1"/>
      <c r="K364" s="5"/>
      <c r="L364" s="6"/>
      <c r="Q364" s="5"/>
      <c r="R364" s="6"/>
      <c r="X364" s="2"/>
      <c r="Y364" s="1"/>
      <c r="AF364" s="2"/>
      <c r="AG364" s="1"/>
      <c r="BG364" s="1"/>
      <c r="BS364" s="3"/>
      <c r="CC364" s="1"/>
      <c r="CE364" s="1"/>
      <c r="CF364" s="1"/>
      <c r="CJ364" s="1"/>
      <c r="DF364" s="2"/>
    </row>
    <row r="365" spans="1:110">
      <c r="A365" s="1"/>
      <c r="B365" s="4"/>
      <c r="C365" s="1"/>
      <c r="D365" s="1"/>
      <c r="E365" s="1"/>
      <c r="F365" s="1"/>
      <c r="G365" s="1"/>
      <c r="H365" s="2"/>
      <c r="I365" s="1"/>
      <c r="J365" s="1"/>
      <c r="K365" s="5"/>
      <c r="L365" s="6"/>
      <c r="Q365" s="5"/>
      <c r="R365" s="6"/>
      <c r="X365" s="2"/>
      <c r="Y365" s="1"/>
      <c r="AF365" s="2"/>
      <c r="AG365" s="1"/>
      <c r="BG365" s="1"/>
      <c r="BS365" s="3"/>
      <c r="CC365" s="1"/>
      <c r="CE365" s="1"/>
      <c r="CF365" s="1"/>
      <c r="CJ365" s="1"/>
      <c r="DF365" s="2"/>
    </row>
    <row r="366" spans="1:110">
      <c r="A366" s="1"/>
      <c r="B366" s="4"/>
      <c r="C366" s="1"/>
      <c r="D366" s="1"/>
      <c r="E366" s="1"/>
      <c r="F366" s="1"/>
      <c r="G366" s="1"/>
      <c r="H366" s="2"/>
      <c r="I366" s="1"/>
      <c r="J366" s="1"/>
      <c r="K366" s="5"/>
      <c r="L366" s="6"/>
      <c r="Q366" s="5"/>
      <c r="R366" s="6"/>
      <c r="X366" s="2"/>
      <c r="Y366" s="1"/>
      <c r="AF366" s="2"/>
      <c r="AG366" s="1"/>
      <c r="BG366" s="1"/>
      <c r="BS366" s="3"/>
      <c r="CC366" s="1"/>
      <c r="CE366" s="1"/>
      <c r="CF366" s="1"/>
      <c r="CJ366" s="1"/>
      <c r="DF366" s="2"/>
    </row>
    <row r="367" spans="1:110">
      <c r="A367" s="1"/>
      <c r="B367" s="4"/>
      <c r="C367" s="1"/>
      <c r="D367" s="1"/>
      <c r="E367" s="1"/>
      <c r="F367" s="1"/>
      <c r="G367" s="1"/>
      <c r="H367" s="2"/>
      <c r="I367" s="1"/>
      <c r="J367" s="1"/>
      <c r="K367" s="5"/>
      <c r="L367" s="6"/>
      <c r="Q367" s="5"/>
      <c r="R367" s="6"/>
      <c r="X367" s="2"/>
      <c r="Y367" s="1"/>
      <c r="AF367" s="2"/>
      <c r="AG367" s="1"/>
      <c r="BG367" s="1"/>
      <c r="BS367" s="3"/>
      <c r="CC367" s="1"/>
      <c r="CE367" s="1"/>
      <c r="CF367" s="1"/>
      <c r="CJ367" s="1"/>
      <c r="DF367" s="2"/>
    </row>
    <row r="368" spans="1:110">
      <c r="A368" s="1"/>
      <c r="B368" s="4"/>
      <c r="C368" s="1"/>
      <c r="D368" s="1"/>
      <c r="E368" s="1"/>
      <c r="F368" s="1"/>
      <c r="G368" s="1"/>
      <c r="H368" s="2"/>
      <c r="I368" s="1"/>
      <c r="J368" s="1"/>
      <c r="K368" s="5"/>
      <c r="L368" s="6"/>
      <c r="Q368" s="5"/>
      <c r="R368" s="6"/>
      <c r="X368" s="2"/>
      <c r="Y368" s="1"/>
      <c r="AF368" s="2"/>
      <c r="AG368" s="1"/>
      <c r="BG368" s="1"/>
      <c r="BS368" s="3"/>
      <c r="CC368" s="1"/>
      <c r="CE368" s="1"/>
      <c r="CF368" s="1"/>
      <c r="CJ368" s="1"/>
      <c r="DF368" s="2"/>
    </row>
    <row r="369" spans="1:110">
      <c r="A369" s="1"/>
      <c r="B369" s="4"/>
      <c r="C369" s="1"/>
      <c r="D369" s="1"/>
      <c r="E369" s="1"/>
      <c r="F369" s="1"/>
      <c r="G369" s="1"/>
      <c r="H369" s="2"/>
      <c r="I369" s="1"/>
      <c r="J369" s="1"/>
      <c r="K369" s="5"/>
      <c r="L369" s="6"/>
      <c r="Q369" s="5"/>
      <c r="R369" s="6"/>
      <c r="X369" s="2"/>
      <c r="Y369" s="1"/>
      <c r="AF369" s="2"/>
      <c r="AG369" s="1"/>
      <c r="BG369" s="1"/>
      <c r="BS369" s="3"/>
      <c r="CC369" s="1"/>
      <c r="CE369" s="1"/>
      <c r="CF369" s="1"/>
      <c r="CJ369" s="1"/>
      <c r="DF369" s="2"/>
    </row>
    <row r="370" spans="1:110">
      <c r="A370" s="1"/>
      <c r="B370" s="4"/>
      <c r="C370" s="1"/>
      <c r="D370" s="1"/>
      <c r="E370" s="1"/>
      <c r="F370" s="1"/>
      <c r="G370" s="1"/>
      <c r="H370" s="2"/>
      <c r="I370" s="1"/>
      <c r="J370" s="1"/>
      <c r="K370" s="5"/>
      <c r="L370" s="6"/>
      <c r="Q370" s="5"/>
      <c r="R370" s="6"/>
      <c r="X370" s="2"/>
      <c r="Y370" s="1"/>
      <c r="AF370" s="2"/>
      <c r="AG370" s="1"/>
      <c r="BG370" s="1"/>
      <c r="BS370" s="3"/>
      <c r="CC370" s="1"/>
      <c r="CE370" s="1"/>
      <c r="CF370" s="1"/>
      <c r="CJ370" s="1"/>
      <c r="DF370" s="2"/>
    </row>
    <row r="371" spans="1:110">
      <c r="A371" s="1"/>
      <c r="B371" s="4"/>
      <c r="C371" s="1"/>
      <c r="D371" s="1"/>
      <c r="E371" s="1"/>
      <c r="F371" s="1"/>
      <c r="G371" s="1"/>
      <c r="H371" s="2"/>
      <c r="I371" s="1"/>
      <c r="J371" s="1"/>
      <c r="K371" s="5"/>
      <c r="L371" s="6"/>
      <c r="Q371" s="5"/>
      <c r="R371" s="6"/>
      <c r="X371" s="2"/>
      <c r="Y371" s="1"/>
      <c r="AF371" s="2"/>
      <c r="AG371" s="1"/>
      <c r="BG371" s="1"/>
      <c r="BS371" s="3"/>
      <c r="CC371" s="1"/>
      <c r="CE371" s="1"/>
      <c r="CF371" s="1"/>
      <c r="CJ371" s="1"/>
      <c r="DF371" s="2"/>
    </row>
    <row r="372" spans="1:110">
      <c r="A372" s="1"/>
      <c r="B372" s="4"/>
      <c r="C372" s="1"/>
      <c r="D372" s="1"/>
      <c r="E372" s="1"/>
      <c r="F372" s="1"/>
      <c r="G372" s="1"/>
      <c r="H372" s="2"/>
      <c r="I372" s="1"/>
      <c r="J372" s="1"/>
      <c r="K372" s="5"/>
      <c r="L372" s="6"/>
      <c r="Q372" s="5"/>
      <c r="R372" s="6"/>
      <c r="X372" s="2"/>
      <c r="Y372" s="1"/>
      <c r="AF372" s="2"/>
      <c r="AG372" s="1"/>
      <c r="BG372" s="1"/>
      <c r="BS372" s="3"/>
      <c r="CC372" s="1"/>
      <c r="CE372" s="1"/>
      <c r="CF372" s="1"/>
      <c r="CJ372" s="1"/>
      <c r="DF372" s="2"/>
    </row>
    <row r="373" spans="1:110">
      <c r="A373" s="1"/>
      <c r="B373" s="4"/>
      <c r="C373" s="1"/>
      <c r="D373" s="1"/>
      <c r="E373" s="1"/>
      <c r="F373" s="1"/>
      <c r="G373" s="1"/>
      <c r="H373" s="2"/>
      <c r="I373" s="1"/>
      <c r="J373" s="1"/>
      <c r="K373" s="5"/>
      <c r="L373" s="6"/>
      <c r="Q373" s="5"/>
      <c r="R373" s="6"/>
      <c r="X373" s="2"/>
      <c r="Y373" s="1"/>
      <c r="AF373" s="2"/>
      <c r="AG373" s="1"/>
      <c r="BG373" s="1"/>
      <c r="BS373" s="3"/>
      <c r="CC373" s="1"/>
      <c r="CE373" s="1"/>
      <c r="CF373" s="1"/>
      <c r="CJ373" s="1"/>
      <c r="DF373" s="2"/>
    </row>
    <row r="374" spans="1:110">
      <c r="A374" s="1"/>
      <c r="B374" s="4"/>
      <c r="C374" s="1"/>
      <c r="D374" s="1"/>
      <c r="E374" s="1"/>
      <c r="F374" s="1"/>
      <c r="G374" s="1"/>
      <c r="H374" s="2"/>
      <c r="I374" s="1"/>
      <c r="J374" s="1"/>
      <c r="K374" s="5"/>
      <c r="L374" s="6"/>
      <c r="Q374" s="5"/>
      <c r="R374" s="6"/>
      <c r="X374" s="2"/>
      <c r="Y374" s="1"/>
      <c r="AF374" s="2"/>
      <c r="AG374" s="1"/>
      <c r="BG374" s="1"/>
      <c r="BS374" s="3"/>
      <c r="CC374" s="1"/>
      <c r="CE374" s="1"/>
      <c r="CF374" s="1"/>
      <c r="CJ374" s="1"/>
      <c r="DF374" s="2"/>
    </row>
    <row r="375" spans="1:110">
      <c r="A375" s="1"/>
      <c r="B375" s="4"/>
      <c r="C375" s="1"/>
      <c r="D375" s="1"/>
      <c r="E375" s="1"/>
      <c r="F375" s="1"/>
      <c r="G375" s="1"/>
      <c r="H375" s="2"/>
      <c r="I375" s="1"/>
      <c r="J375" s="1"/>
      <c r="K375" s="5"/>
      <c r="L375" s="6"/>
      <c r="Q375" s="5"/>
      <c r="R375" s="6"/>
      <c r="X375" s="2"/>
      <c r="Y375" s="1"/>
      <c r="AF375" s="2"/>
      <c r="AG375" s="1"/>
      <c r="BG375" s="1"/>
      <c r="BS375" s="3"/>
      <c r="CC375" s="1"/>
      <c r="CE375" s="1"/>
      <c r="CF375" s="1"/>
      <c r="CJ375" s="1"/>
      <c r="DF375" s="2"/>
    </row>
    <row r="376" spans="1:110">
      <c r="A376" s="1"/>
      <c r="B376" s="4"/>
      <c r="C376" s="1"/>
      <c r="D376" s="1"/>
      <c r="E376" s="1"/>
      <c r="F376" s="1"/>
      <c r="G376" s="1"/>
      <c r="H376" s="2"/>
      <c r="I376" s="1"/>
      <c r="J376" s="1"/>
      <c r="K376" s="5"/>
      <c r="L376" s="6"/>
      <c r="Q376" s="5"/>
      <c r="R376" s="6"/>
      <c r="X376" s="2"/>
      <c r="Y376" s="1"/>
      <c r="AF376" s="2"/>
      <c r="AG376" s="1"/>
      <c r="BG376" s="1"/>
      <c r="BS376" s="3"/>
      <c r="CC376" s="1"/>
      <c r="CE376" s="1"/>
      <c r="CF376" s="1"/>
      <c r="CJ376" s="1"/>
      <c r="DF376" s="2"/>
    </row>
    <row r="377" spans="1:110">
      <c r="A377" s="1"/>
      <c r="B377" s="4"/>
      <c r="C377" s="1"/>
      <c r="D377" s="1"/>
      <c r="E377" s="1"/>
      <c r="F377" s="1"/>
      <c r="G377" s="1"/>
      <c r="H377" s="2"/>
      <c r="I377" s="1"/>
      <c r="J377" s="1"/>
      <c r="K377" s="5"/>
      <c r="L377" s="6"/>
      <c r="Q377" s="5"/>
      <c r="R377" s="6"/>
      <c r="X377" s="2"/>
      <c r="Y377" s="1"/>
      <c r="AF377" s="2"/>
      <c r="AG377" s="1"/>
      <c r="BG377" s="1"/>
      <c r="BS377" s="3"/>
      <c r="CC377" s="1"/>
      <c r="CE377" s="1"/>
      <c r="CF377" s="1"/>
      <c r="CJ377" s="1"/>
      <c r="DF377" s="2"/>
    </row>
    <row r="378" spans="1:110">
      <c r="A378" s="1"/>
      <c r="B378" s="4"/>
      <c r="C378" s="1"/>
      <c r="D378" s="1"/>
      <c r="E378" s="1"/>
      <c r="F378" s="1"/>
      <c r="G378" s="1"/>
      <c r="H378" s="2"/>
      <c r="I378" s="1"/>
      <c r="J378" s="1"/>
      <c r="K378" s="5"/>
      <c r="L378" s="6"/>
      <c r="Q378" s="5"/>
      <c r="R378" s="6"/>
      <c r="X378" s="2"/>
      <c r="Y378" s="1"/>
      <c r="AF378" s="2"/>
      <c r="AG378" s="1"/>
      <c r="BG378" s="1"/>
      <c r="BS378" s="3"/>
      <c r="CC378" s="1"/>
      <c r="CE378" s="1"/>
      <c r="CF378" s="1"/>
      <c r="CJ378" s="1"/>
      <c r="DF378" s="2"/>
    </row>
    <row r="379" spans="1:110">
      <c r="A379" s="1"/>
      <c r="B379" s="4"/>
      <c r="C379" s="1"/>
      <c r="D379" s="1"/>
      <c r="E379" s="1"/>
      <c r="F379" s="1"/>
      <c r="G379" s="1"/>
      <c r="H379" s="2"/>
      <c r="I379" s="1"/>
      <c r="J379" s="1"/>
      <c r="K379" s="5"/>
      <c r="L379" s="6"/>
      <c r="Q379" s="5"/>
      <c r="R379" s="6"/>
      <c r="X379" s="2"/>
      <c r="Y379" s="1"/>
      <c r="AF379" s="2"/>
      <c r="AG379" s="1"/>
      <c r="BG379" s="1"/>
      <c r="BS379" s="3"/>
      <c r="CC379" s="1"/>
      <c r="CE379" s="1"/>
      <c r="CF379" s="1"/>
      <c r="CJ379" s="1"/>
      <c r="DF379" s="2"/>
    </row>
    <row r="380" spans="1:110">
      <c r="A380" s="1"/>
      <c r="B380" s="4"/>
      <c r="C380" s="1"/>
      <c r="D380" s="1"/>
      <c r="E380" s="1"/>
      <c r="F380" s="1"/>
      <c r="G380" s="1"/>
      <c r="H380" s="2"/>
      <c r="I380" s="1"/>
      <c r="J380" s="1"/>
      <c r="K380" s="5"/>
      <c r="L380" s="6"/>
      <c r="Q380" s="5"/>
      <c r="R380" s="6"/>
      <c r="X380" s="2"/>
      <c r="Y380" s="1"/>
      <c r="AF380" s="2"/>
      <c r="AG380" s="1"/>
      <c r="BG380" s="1"/>
      <c r="BS380" s="3"/>
      <c r="CC380" s="1"/>
      <c r="CE380" s="1"/>
      <c r="CF380" s="1"/>
      <c r="CJ380" s="1"/>
      <c r="DF380" s="2"/>
    </row>
    <row r="381" spans="1:110">
      <c r="A381" s="1"/>
      <c r="B381" s="4"/>
      <c r="C381" s="1"/>
      <c r="D381" s="1"/>
      <c r="E381" s="1"/>
      <c r="F381" s="1"/>
      <c r="G381" s="1"/>
      <c r="H381" s="2"/>
      <c r="I381" s="1"/>
      <c r="J381" s="1"/>
      <c r="K381" s="5"/>
      <c r="L381" s="6"/>
      <c r="Q381" s="5"/>
      <c r="R381" s="6"/>
      <c r="X381" s="2"/>
      <c r="Y381" s="1"/>
      <c r="AF381" s="2"/>
      <c r="AG381" s="1"/>
      <c r="BG381" s="1"/>
      <c r="BS381" s="3"/>
      <c r="CC381" s="1"/>
      <c r="CE381" s="1"/>
      <c r="CF381" s="1"/>
      <c r="CJ381" s="1"/>
      <c r="DF381" s="2"/>
    </row>
    <row r="382" spans="1:110">
      <c r="A382" s="1"/>
      <c r="B382" s="4"/>
      <c r="C382" s="1"/>
      <c r="D382" s="1"/>
      <c r="E382" s="1"/>
      <c r="F382" s="1"/>
      <c r="G382" s="1"/>
      <c r="H382" s="2"/>
      <c r="I382" s="1"/>
      <c r="J382" s="1"/>
      <c r="K382" s="5"/>
      <c r="L382" s="6"/>
      <c r="Q382" s="5"/>
      <c r="R382" s="6"/>
      <c r="X382" s="2"/>
      <c r="Y382" s="1"/>
      <c r="AF382" s="2"/>
      <c r="AG382" s="1"/>
      <c r="BG382" s="1"/>
      <c r="BS382" s="3"/>
      <c r="CC382" s="1"/>
      <c r="CE382" s="1"/>
      <c r="CF382" s="1"/>
      <c r="CJ382" s="1"/>
      <c r="DF382" s="2"/>
    </row>
    <row r="383" spans="1:110">
      <c r="A383" s="1"/>
      <c r="B383" s="4"/>
      <c r="C383" s="1"/>
      <c r="D383" s="1"/>
      <c r="E383" s="1"/>
      <c r="F383" s="1"/>
      <c r="G383" s="1"/>
      <c r="H383" s="2"/>
      <c r="I383" s="1"/>
      <c r="J383" s="1"/>
      <c r="K383" s="5"/>
      <c r="L383" s="6"/>
      <c r="Q383" s="5"/>
      <c r="R383" s="6"/>
      <c r="X383" s="2"/>
      <c r="Y383" s="1"/>
      <c r="AF383" s="2"/>
      <c r="AG383" s="1"/>
      <c r="BG383" s="1"/>
      <c r="BS383" s="3"/>
      <c r="CC383" s="1"/>
      <c r="CE383" s="1"/>
      <c r="CF383" s="1"/>
      <c r="CJ383" s="1"/>
      <c r="DF383" s="2"/>
    </row>
    <row r="384" spans="1:110">
      <c r="A384" s="1"/>
      <c r="B384" s="4"/>
      <c r="C384" s="1"/>
      <c r="D384" s="1"/>
      <c r="E384" s="1"/>
      <c r="F384" s="1"/>
      <c r="G384" s="1"/>
      <c r="H384" s="2"/>
      <c r="I384" s="1"/>
      <c r="J384" s="1"/>
      <c r="K384" s="5"/>
      <c r="L384" s="6"/>
      <c r="Q384" s="5"/>
      <c r="R384" s="6"/>
      <c r="X384" s="2"/>
      <c r="Y384" s="1"/>
      <c r="AF384" s="2"/>
      <c r="AG384" s="1"/>
      <c r="BG384" s="1"/>
      <c r="BS384" s="3"/>
      <c r="CC384" s="1"/>
      <c r="CE384" s="1"/>
      <c r="CF384" s="1"/>
      <c r="CJ384" s="1"/>
      <c r="DF384" s="2"/>
    </row>
    <row r="385" spans="1:110">
      <c r="A385" s="1"/>
      <c r="B385" s="4"/>
      <c r="C385" s="1"/>
      <c r="D385" s="1"/>
      <c r="E385" s="1"/>
      <c r="F385" s="1"/>
      <c r="G385" s="1"/>
      <c r="H385" s="2"/>
      <c r="I385" s="1"/>
      <c r="J385" s="1"/>
      <c r="K385" s="5"/>
      <c r="L385" s="6"/>
      <c r="Q385" s="5"/>
      <c r="R385" s="6"/>
      <c r="X385" s="2"/>
      <c r="Y385" s="1"/>
      <c r="AF385" s="2"/>
      <c r="AG385" s="1"/>
      <c r="BG385" s="1"/>
      <c r="BS385" s="3"/>
      <c r="CC385" s="1"/>
      <c r="CE385" s="1"/>
      <c r="CF385" s="1"/>
      <c r="CJ385" s="1"/>
      <c r="DF385" s="2"/>
    </row>
    <row r="386" spans="1:110">
      <c r="A386" s="1"/>
      <c r="B386" s="4"/>
      <c r="C386" s="1"/>
      <c r="D386" s="1"/>
      <c r="E386" s="1"/>
      <c r="F386" s="1"/>
      <c r="G386" s="1"/>
      <c r="H386" s="2"/>
      <c r="I386" s="1"/>
      <c r="J386" s="1"/>
      <c r="K386" s="5"/>
      <c r="L386" s="6"/>
      <c r="Q386" s="5"/>
      <c r="R386" s="6"/>
      <c r="X386" s="2"/>
      <c r="Y386" s="1"/>
      <c r="AF386" s="2"/>
      <c r="AG386" s="1"/>
      <c r="BG386" s="1"/>
      <c r="BS386" s="3"/>
      <c r="CC386" s="1"/>
      <c r="CE386" s="1"/>
      <c r="CF386" s="1"/>
      <c r="CJ386" s="1"/>
      <c r="DF386" s="2"/>
    </row>
    <row r="387" spans="1:110">
      <c r="A387" s="1"/>
      <c r="B387" s="4"/>
      <c r="C387" s="1"/>
      <c r="D387" s="1"/>
      <c r="E387" s="1"/>
      <c r="F387" s="1"/>
      <c r="G387" s="1"/>
      <c r="H387" s="2"/>
      <c r="I387" s="1"/>
      <c r="J387" s="1"/>
      <c r="K387" s="5"/>
      <c r="L387" s="6"/>
      <c r="Q387" s="5"/>
      <c r="R387" s="6"/>
      <c r="X387" s="2"/>
      <c r="Y387" s="1"/>
      <c r="AF387" s="2"/>
      <c r="AG387" s="1"/>
      <c r="BG387" s="1"/>
      <c r="BS387" s="3"/>
      <c r="CC387" s="1"/>
      <c r="CE387" s="1"/>
      <c r="CF387" s="1"/>
      <c r="CJ387" s="1"/>
      <c r="DF387" s="2"/>
    </row>
    <row r="388" spans="1:110">
      <c r="A388" s="1"/>
      <c r="B388" s="4"/>
      <c r="C388" s="1"/>
      <c r="D388" s="1"/>
      <c r="E388" s="1"/>
      <c r="F388" s="1"/>
      <c r="G388" s="1"/>
      <c r="H388" s="2"/>
      <c r="I388" s="1"/>
      <c r="J388" s="1"/>
      <c r="K388" s="5"/>
      <c r="L388" s="6"/>
      <c r="Q388" s="5"/>
      <c r="R388" s="6"/>
      <c r="X388" s="2"/>
      <c r="Y388" s="1"/>
      <c r="AF388" s="2"/>
      <c r="AG388" s="1"/>
      <c r="BG388" s="1"/>
      <c r="BS388" s="3"/>
      <c r="CC388" s="1"/>
      <c r="CE388" s="1"/>
      <c r="CF388" s="1"/>
      <c r="CJ388" s="1"/>
      <c r="DF388" s="2"/>
    </row>
    <row r="389" spans="1:110">
      <c r="A389" s="1"/>
      <c r="B389" s="4"/>
      <c r="C389" s="1"/>
      <c r="D389" s="1"/>
      <c r="E389" s="1"/>
      <c r="F389" s="1"/>
      <c r="G389" s="1"/>
      <c r="H389" s="2"/>
      <c r="I389" s="1"/>
      <c r="J389" s="1"/>
      <c r="K389" s="5"/>
      <c r="L389" s="6"/>
      <c r="Q389" s="5"/>
      <c r="R389" s="6"/>
      <c r="X389" s="2"/>
      <c r="Y389" s="1"/>
      <c r="AF389" s="2"/>
      <c r="AG389" s="1"/>
      <c r="BG389" s="1"/>
      <c r="BS389" s="3"/>
      <c r="CC389" s="1"/>
      <c r="CE389" s="1"/>
      <c r="CF389" s="1"/>
      <c r="CJ389" s="1"/>
      <c r="DF389" s="2"/>
    </row>
    <row r="390" spans="1:110">
      <c r="A390" s="1"/>
      <c r="B390" s="4"/>
      <c r="C390" s="1"/>
      <c r="D390" s="1"/>
      <c r="E390" s="1"/>
      <c r="F390" s="1"/>
      <c r="G390" s="1"/>
      <c r="H390" s="2"/>
      <c r="I390" s="1"/>
      <c r="J390" s="1"/>
      <c r="K390" s="5"/>
      <c r="L390" s="6"/>
      <c r="Q390" s="5"/>
      <c r="R390" s="6"/>
      <c r="X390" s="2"/>
      <c r="Y390" s="1"/>
      <c r="AF390" s="2"/>
      <c r="AG390" s="1"/>
      <c r="BG390" s="1"/>
      <c r="BS390" s="3"/>
      <c r="CC390" s="1"/>
      <c r="CE390" s="1"/>
      <c r="CF390" s="1"/>
      <c r="CJ390" s="1"/>
      <c r="DF390" s="2"/>
    </row>
    <row r="391" spans="1:110">
      <c r="A391" s="1"/>
      <c r="B391" s="4"/>
      <c r="C391" s="1"/>
      <c r="D391" s="1"/>
      <c r="E391" s="1"/>
      <c r="F391" s="1"/>
      <c r="G391" s="1"/>
      <c r="H391" s="2"/>
      <c r="I391" s="1"/>
      <c r="J391" s="1"/>
      <c r="K391" s="5"/>
      <c r="L391" s="6"/>
      <c r="Q391" s="5"/>
      <c r="R391" s="6"/>
      <c r="X391" s="2"/>
      <c r="Y391" s="1"/>
      <c r="AF391" s="2"/>
      <c r="AG391" s="1"/>
      <c r="BG391" s="1"/>
      <c r="BS391" s="3"/>
      <c r="CC391" s="1"/>
      <c r="CE391" s="1"/>
      <c r="CF391" s="1"/>
      <c r="CJ391" s="1"/>
      <c r="DF391" s="2"/>
    </row>
    <row r="392" spans="1:110">
      <c r="A392" s="1"/>
      <c r="B392" s="4"/>
      <c r="C392" s="1"/>
      <c r="D392" s="1"/>
      <c r="E392" s="1"/>
      <c r="F392" s="1"/>
      <c r="G392" s="1"/>
      <c r="H392" s="2"/>
      <c r="I392" s="1"/>
      <c r="J392" s="1"/>
      <c r="K392" s="5"/>
      <c r="L392" s="6"/>
      <c r="Q392" s="5"/>
      <c r="R392" s="6"/>
      <c r="X392" s="2"/>
      <c r="Y392" s="1"/>
      <c r="AF392" s="2"/>
      <c r="AG392" s="1"/>
      <c r="BG392" s="1"/>
      <c r="BS392" s="3"/>
      <c r="CC392" s="1"/>
      <c r="CE392" s="1"/>
      <c r="CF392" s="1"/>
      <c r="CJ392" s="1"/>
      <c r="DF392" s="2"/>
    </row>
    <row r="393" spans="1:110">
      <c r="A393" s="1"/>
      <c r="B393" s="4"/>
      <c r="C393" s="1"/>
      <c r="D393" s="1"/>
      <c r="E393" s="1"/>
      <c r="F393" s="1"/>
      <c r="G393" s="1"/>
      <c r="H393" s="2"/>
      <c r="I393" s="1"/>
      <c r="J393" s="1"/>
      <c r="K393" s="5"/>
      <c r="L393" s="6"/>
      <c r="Q393" s="5"/>
      <c r="R393" s="6"/>
      <c r="X393" s="2"/>
      <c r="Y393" s="1"/>
      <c r="AF393" s="2"/>
      <c r="AG393" s="1"/>
      <c r="BG393" s="1"/>
      <c r="BS393" s="3"/>
      <c r="CC393" s="1"/>
      <c r="CE393" s="1"/>
      <c r="CF393" s="1"/>
      <c r="CJ393" s="1"/>
      <c r="DF393" s="2"/>
    </row>
    <row r="394" spans="1:110">
      <c r="A394" s="1"/>
      <c r="B394" s="4"/>
      <c r="C394" s="1"/>
      <c r="D394" s="1"/>
      <c r="E394" s="1"/>
      <c r="F394" s="1"/>
      <c r="G394" s="1"/>
      <c r="H394" s="2"/>
      <c r="I394" s="1"/>
      <c r="J394" s="1"/>
      <c r="K394" s="5"/>
      <c r="L394" s="6"/>
      <c r="Q394" s="5"/>
      <c r="R394" s="6"/>
      <c r="X394" s="2"/>
      <c r="Y394" s="1"/>
      <c r="AF394" s="2"/>
      <c r="AG394" s="1"/>
      <c r="BG394" s="1"/>
      <c r="BS394" s="3"/>
      <c r="CC394" s="1"/>
      <c r="CE394" s="1"/>
      <c r="CF394" s="1"/>
      <c r="CJ394" s="1"/>
      <c r="DF394" s="2"/>
    </row>
    <row r="395" spans="1:110">
      <c r="A395" s="1"/>
      <c r="B395" s="4"/>
      <c r="C395" s="1"/>
      <c r="D395" s="1"/>
      <c r="E395" s="1"/>
      <c r="F395" s="1"/>
      <c r="G395" s="1"/>
      <c r="H395" s="2"/>
      <c r="I395" s="1"/>
      <c r="J395" s="1"/>
      <c r="K395" s="5"/>
      <c r="L395" s="6"/>
      <c r="Q395" s="5"/>
      <c r="R395" s="6"/>
      <c r="X395" s="2"/>
      <c r="Y395" s="1"/>
      <c r="AF395" s="2"/>
      <c r="AG395" s="1"/>
      <c r="BG395" s="1"/>
      <c r="BS395" s="3"/>
      <c r="CC395" s="1"/>
      <c r="CE395" s="1"/>
      <c r="CF395" s="1"/>
      <c r="CJ395" s="1"/>
      <c r="DF395" s="2"/>
    </row>
    <row r="396" spans="1:110">
      <c r="A396" s="1"/>
      <c r="B396" s="4"/>
      <c r="C396" s="1"/>
      <c r="D396" s="1"/>
      <c r="E396" s="1"/>
      <c r="F396" s="1"/>
      <c r="G396" s="1"/>
      <c r="H396" s="2"/>
      <c r="I396" s="1"/>
      <c r="J396" s="1"/>
      <c r="K396" s="5"/>
      <c r="L396" s="6"/>
      <c r="Q396" s="5"/>
      <c r="R396" s="6"/>
      <c r="X396" s="2"/>
      <c r="Y396" s="1"/>
      <c r="AF396" s="2"/>
      <c r="AG396" s="1"/>
      <c r="BG396" s="1"/>
      <c r="BS396" s="3"/>
      <c r="CC396" s="1"/>
      <c r="CE396" s="1"/>
      <c r="CF396" s="1"/>
      <c r="CJ396" s="1"/>
      <c r="DF396" s="2"/>
    </row>
    <row r="397" spans="1:110">
      <c r="A397" s="1"/>
      <c r="B397" s="4"/>
      <c r="C397" s="1"/>
      <c r="D397" s="1"/>
      <c r="E397" s="1"/>
      <c r="F397" s="1"/>
      <c r="G397" s="1"/>
      <c r="H397" s="2"/>
      <c r="I397" s="1"/>
      <c r="J397" s="1"/>
      <c r="K397" s="5"/>
      <c r="L397" s="6"/>
      <c r="Q397" s="5"/>
      <c r="R397" s="6"/>
      <c r="X397" s="2"/>
      <c r="Y397" s="1"/>
      <c r="AF397" s="2"/>
      <c r="AG397" s="1"/>
      <c r="BG397" s="1"/>
      <c r="BS397" s="3"/>
      <c r="CC397" s="1"/>
      <c r="CE397" s="1"/>
      <c r="CF397" s="1"/>
      <c r="CJ397" s="1"/>
      <c r="DF397" s="2"/>
    </row>
    <row r="398" spans="1:110">
      <c r="A398" s="1"/>
      <c r="B398" s="4"/>
      <c r="C398" s="1"/>
      <c r="D398" s="1"/>
      <c r="E398" s="1"/>
      <c r="F398" s="1"/>
      <c r="G398" s="1"/>
      <c r="H398" s="2"/>
      <c r="I398" s="1"/>
      <c r="J398" s="1"/>
      <c r="K398" s="5"/>
      <c r="L398" s="6"/>
      <c r="Q398" s="5"/>
      <c r="R398" s="6"/>
      <c r="X398" s="2"/>
      <c r="Y398" s="1"/>
      <c r="AF398" s="2"/>
      <c r="AG398" s="1"/>
      <c r="BG398" s="1"/>
      <c r="BS398" s="3"/>
      <c r="CC398" s="1"/>
      <c r="CE398" s="1"/>
      <c r="CF398" s="1"/>
      <c r="CJ398" s="1"/>
      <c r="DF398" s="2"/>
    </row>
    <row r="399" spans="1:110">
      <c r="A399" s="1"/>
      <c r="B399" s="4"/>
      <c r="C399" s="1"/>
      <c r="D399" s="1"/>
      <c r="E399" s="1"/>
      <c r="F399" s="1"/>
      <c r="G399" s="1"/>
      <c r="H399" s="2"/>
      <c r="I399" s="1"/>
      <c r="J399" s="1"/>
      <c r="K399" s="5"/>
      <c r="L399" s="6"/>
      <c r="Q399" s="5"/>
      <c r="R399" s="6"/>
      <c r="X399" s="2"/>
      <c r="Y399" s="1"/>
      <c r="AF399" s="2"/>
      <c r="AG399" s="1"/>
      <c r="BG399" s="1"/>
      <c r="BS399" s="3"/>
      <c r="CC399" s="1"/>
      <c r="CE399" s="1"/>
      <c r="CF399" s="1"/>
      <c r="CJ399" s="1"/>
      <c r="DF399" s="2"/>
    </row>
    <row r="400" spans="1:110">
      <c r="A400" s="1"/>
      <c r="B400" s="4"/>
      <c r="C400" s="1"/>
      <c r="D400" s="1"/>
      <c r="E400" s="1"/>
      <c r="F400" s="1"/>
      <c r="G400" s="1"/>
      <c r="H400" s="2"/>
      <c r="I400" s="1"/>
      <c r="J400" s="1"/>
      <c r="K400" s="5"/>
      <c r="L400" s="6"/>
      <c r="Q400" s="5"/>
      <c r="R400" s="6"/>
      <c r="X400" s="2"/>
      <c r="Y400" s="1"/>
      <c r="AF400" s="2"/>
      <c r="AG400" s="1"/>
      <c r="BG400" s="1"/>
      <c r="BS400" s="3"/>
      <c r="CC400" s="1"/>
      <c r="CE400" s="1"/>
      <c r="CF400" s="1"/>
      <c r="CJ400" s="1"/>
      <c r="DF400" s="2"/>
    </row>
    <row r="401" spans="1:110">
      <c r="A401" s="1"/>
      <c r="B401" s="4"/>
      <c r="C401" s="1"/>
      <c r="D401" s="1"/>
      <c r="E401" s="1"/>
      <c r="F401" s="1"/>
      <c r="G401" s="1"/>
      <c r="H401" s="2"/>
      <c r="I401" s="1"/>
      <c r="J401" s="1"/>
      <c r="K401" s="5"/>
      <c r="L401" s="6"/>
      <c r="Q401" s="5"/>
      <c r="R401" s="6"/>
      <c r="X401" s="2"/>
      <c r="Y401" s="1"/>
      <c r="AF401" s="2"/>
      <c r="AG401" s="1"/>
      <c r="BG401" s="1"/>
      <c r="BS401" s="3"/>
      <c r="CC401" s="1"/>
      <c r="CE401" s="1"/>
      <c r="CF401" s="1"/>
      <c r="CJ401" s="1"/>
      <c r="DF401" s="2"/>
    </row>
    <row r="402" spans="1:110">
      <c r="A402" s="1"/>
      <c r="B402" s="4"/>
      <c r="C402" s="1"/>
      <c r="D402" s="1"/>
      <c r="E402" s="1"/>
      <c r="F402" s="1"/>
      <c r="G402" s="1"/>
      <c r="H402" s="2"/>
      <c r="I402" s="1"/>
      <c r="J402" s="1"/>
      <c r="K402" s="5"/>
      <c r="L402" s="6"/>
      <c r="Q402" s="5"/>
      <c r="R402" s="6"/>
      <c r="X402" s="2"/>
      <c r="Y402" s="1"/>
      <c r="AF402" s="2"/>
      <c r="AG402" s="1"/>
      <c r="BG402" s="1"/>
      <c r="BS402" s="3"/>
      <c r="CC402" s="1"/>
      <c r="CE402" s="1"/>
      <c r="CF402" s="1"/>
      <c r="CJ402" s="1"/>
      <c r="DF402" s="2"/>
    </row>
    <row r="403" spans="1:110">
      <c r="A403" s="1"/>
      <c r="B403" s="4"/>
      <c r="C403" s="1"/>
      <c r="D403" s="1"/>
      <c r="E403" s="1"/>
      <c r="F403" s="1"/>
      <c r="G403" s="1"/>
      <c r="H403" s="2"/>
      <c r="I403" s="1"/>
      <c r="J403" s="1"/>
      <c r="K403" s="5"/>
      <c r="L403" s="6"/>
      <c r="Q403" s="5"/>
      <c r="R403" s="6"/>
      <c r="X403" s="2"/>
      <c r="Y403" s="1"/>
      <c r="AF403" s="2"/>
      <c r="AG403" s="1"/>
      <c r="BG403" s="1"/>
      <c r="BS403" s="3"/>
      <c r="CC403" s="1"/>
      <c r="CE403" s="1"/>
      <c r="CF403" s="1"/>
      <c r="CJ403" s="1"/>
      <c r="DF403" s="2"/>
    </row>
    <row r="404" spans="1:110">
      <c r="A404" s="1"/>
      <c r="B404" s="4"/>
      <c r="C404" s="1"/>
      <c r="D404" s="1"/>
      <c r="E404" s="1"/>
      <c r="F404" s="1"/>
      <c r="G404" s="1"/>
      <c r="H404" s="2"/>
      <c r="I404" s="1"/>
      <c r="J404" s="1"/>
      <c r="K404" s="5"/>
      <c r="L404" s="6"/>
      <c r="Q404" s="5"/>
      <c r="R404" s="6"/>
      <c r="X404" s="2"/>
      <c r="Y404" s="1"/>
      <c r="AF404" s="2"/>
      <c r="AG404" s="1"/>
      <c r="BG404" s="1"/>
      <c r="BS404" s="3"/>
      <c r="CC404" s="1"/>
      <c r="CE404" s="1"/>
      <c r="CF404" s="1"/>
      <c r="CJ404" s="1"/>
      <c r="DF404" s="2"/>
    </row>
    <row r="405" spans="1:110">
      <c r="A405" s="1"/>
      <c r="B405" s="4"/>
      <c r="C405" s="1"/>
      <c r="D405" s="1"/>
      <c r="E405" s="1"/>
      <c r="F405" s="1"/>
      <c r="G405" s="1"/>
      <c r="H405" s="2"/>
      <c r="I405" s="1"/>
      <c r="J405" s="1"/>
      <c r="K405" s="5"/>
      <c r="L405" s="6"/>
      <c r="Q405" s="5"/>
      <c r="R405" s="6"/>
      <c r="X405" s="2"/>
      <c r="Y405" s="1"/>
      <c r="AF405" s="2"/>
      <c r="AG405" s="1"/>
      <c r="BG405" s="1"/>
      <c r="BS405" s="3"/>
      <c r="CC405" s="1"/>
      <c r="CE405" s="1"/>
      <c r="CF405" s="1"/>
      <c r="CJ405" s="1"/>
      <c r="DF405" s="2"/>
    </row>
    <row r="406" spans="1:110">
      <c r="A406" s="1"/>
      <c r="B406" s="4"/>
      <c r="C406" s="1"/>
      <c r="D406" s="1"/>
      <c r="E406" s="1"/>
      <c r="F406" s="1"/>
      <c r="G406" s="1"/>
      <c r="H406" s="2"/>
      <c r="I406" s="1"/>
      <c r="J406" s="1"/>
      <c r="K406" s="5"/>
      <c r="L406" s="6"/>
      <c r="Q406" s="5"/>
      <c r="R406" s="6"/>
      <c r="X406" s="2"/>
      <c r="Y406" s="1"/>
      <c r="AF406" s="2"/>
      <c r="AG406" s="1"/>
      <c r="BG406" s="1"/>
      <c r="BS406" s="3"/>
      <c r="CC406" s="1"/>
      <c r="CE406" s="1"/>
      <c r="CF406" s="1"/>
      <c r="CJ406" s="1"/>
      <c r="DF406" s="2"/>
    </row>
    <row r="407" spans="1:110">
      <c r="A407" s="1"/>
      <c r="B407" s="4"/>
      <c r="C407" s="1"/>
      <c r="D407" s="1"/>
      <c r="E407" s="1"/>
      <c r="F407" s="1"/>
      <c r="G407" s="1"/>
      <c r="H407" s="2"/>
      <c r="I407" s="1"/>
      <c r="J407" s="1"/>
      <c r="K407" s="5"/>
      <c r="L407" s="6"/>
      <c r="Q407" s="5"/>
      <c r="R407" s="6"/>
      <c r="X407" s="2"/>
      <c r="Y407" s="1"/>
      <c r="AF407" s="2"/>
      <c r="AG407" s="1"/>
      <c r="BG407" s="1"/>
      <c r="BS407" s="3"/>
      <c r="CC407" s="1"/>
      <c r="CE407" s="1"/>
      <c r="CF407" s="1"/>
      <c r="CJ407" s="1"/>
      <c r="DF407" s="2"/>
    </row>
    <row r="408" spans="1:110">
      <c r="A408" s="1"/>
      <c r="B408" s="4"/>
      <c r="C408" s="1"/>
      <c r="D408" s="1"/>
      <c r="E408" s="1"/>
      <c r="F408" s="1"/>
      <c r="G408" s="1"/>
      <c r="H408" s="2"/>
      <c r="I408" s="1"/>
      <c r="J408" s="1"/>
      <c r="K408" s="5"/>
      <c r="L408" s="6"/>
      <c r="Q408" s="5"/>
      <c r="R408" s="6"/>
      <c r="X408" s="2"/>
      <c r="Y408" s="1"/>
      <c r="AF408" s="2"/>
      <c r="AG408" s="1"/>
      <c r="BG408" s="1"/>
      <c r="BS408" s="3"/>
      <c r="CC408" s="1"/>
      <c r="CE408" s="1"/>
      <c r="CF408" s="1"/>
      <c r="CJ408" s="1"/>
      <c r="DF408" s="2"/>
    </row>
    <row r="409" spans="1:110">
      <c r="A409" s="1"/>
      <c r="B409" s="4"/>
      <c r="C409" s="1"/>
      <c r="D409" s="1"/>
      <c r="E409" s="1"/>
      <c r="F409" s="1"/>
      <c r="G409" s="1"/>
      <c r="H409" s="2"/>
      <c r="I409" s="1"/>
      <c r="J409" s="1"/>
      <c r="K409" s="5"/>
      <c r="L409" s="6"/>
      <c r="Q409" s="5"/>
      <c r="R409" s="6"/>
      <c r="X409" s="2"/>
      <c r="Y409" s="1"/>
      <c r="AF409" s="2"/>
      <c r="AG409" s="1"/>
      <c r="BG409" s="1"/>
      <c r="BS409" s="3"/>
      <c r="CC409" s="1"/>
      <c r="CE409" s="1"/>
      <c r="CF409" s="1"/>
      <c r="CJ409" s="1"/>
      <c r="DF409" s="2"/>
    </row>
    <row r="410" spans="1:110">
      <c r="A410" s="1"/>
      <c r="B410" s="4"/>
      <c r="C410" s="1"/>
      <c r="D410" s="1"/>
      <c r="E410" s="1"/>
      <c r="F410" s="1"/>
      <c r="G410" s="1"/>
      <c r="H410" s="2"/>
      <c r="I410" s="1"/>
      <c r="J410" s="1"/>
      <c r="K410" s="5"/>
      <c r="L410" s="6"/>
      <c r="Q410" s="5"/>
      <c r="R410" s="6"/>
      <c r="X410" s="2"/>
      <c r="Y410" s="1"/>
      <c r="AF410" s="2"/>
      <c r="AG410" s="1"/>
      <c r="BG410" s="1"/>
      <c r="BS410" s="3"/>
      <c r="CC410" s="1"/>
      <c r="CE410" s="1"/>
      <c r="CF410" s="1"/>
      <c r="CJ410" s="1"/>
      <c r="DF410" s="2"/>
    </row>
    <row r="411" spans="1:110">
      <c r="A411" s="1"/>
      <c r="B411" s="4"/>
      <c r="C411" s="1"/>
      <c r="D411" s="1"/>
      <c r="E411" s="1"/>
      <c r="F411" s="1"/>
      <c r="G411" s="1"/>
      <c r="H411" s="2"/>
      <c r="I411" s="1"/>
      <c r="J411" s="1"/>
      <c r="K411" s="5"/>
      <c r="L411" s="6"/>
      <c r="Q411" s="5"/>
      <c r="R411" s="6"/>
      <c r="X411" s="2"/>
      <c r="Y411" s="1"/>
      <c r="AF411" s="2"/>
      <c r="AG411" s="1"/>
      <c r="BG411" s="1"/>
      <c r="BS411" s="3"/>
      <c r="CC411" s="1"/>
      <c r="CE411" s="1"/>
      <c r="CF411" s="1"/>
      <c r="CJ411" s="1"/>
      <c r="DF411" s="2"/>
    </row>
    <row r="412" spans="1:110">
      <c r="A412" s="1"/>
      <c r="B412" s="4"/>
      <c r="C412" s="1"/>
      <c r="D412" s="1"/>
      <c r="E412" s="1"/>
      <c r="F412" s="1"/>
      <c r="G412" s="1"/>
      <c r="H412" s="2"/>
      <c r="I412" s="1"/>
      <c r="J412" s="1"/>
      <c r="K412" s="5"/>
      <c r="L412" s="6"/>
      <c r="Q412" s="5"/>
      <c r="R412" s="6"/>
      <c r="X412" s="2"/>
      <c r="Y412" s="1"/>
      <c r="AF412" s="2"/>
      <c r="AG412" s="1"/>
      <c r="BG412" s="1"/>
      <c r="BS412" s="3"/>
      <c r="CC412" s="1"/>
      <c r="CE412" s="1"/>
      <c r="CF412" s="1"/>
      <c r="CJ412" s="1"/>
      <c r="DF412" s="2"/>
    </row>
    <row r="413" spans="1:110">
      <c r="A413" s="1"/>
      <c r="B413" s="4"/>
      <c r="C413" s="1"/>
      <c r="D413" s="1"/>
      <c r="E413" s="1"/>
      <c r="F413" s="1"/>
      <c r="G413" s="1"/>
      <c r="H413" s="2"/>
      <c r="I413" s="1"/>
      <c r="J413" s="1"/>
      <c r="K413" s="5"/>
      <c r="L413" s="6"/>
      <c r="Q413" s="5"/>
      <c r="R413" s="6"/>
      <c r="X413" s="2"/>
      <c r="Y413" s="1"/>
      <c r="AF413" s="2"/>
      <c r="AG413" s="1"/>
      <c r="BG413" s="1"/>
      <c r="BS413" s="3"/>
      <c r="CC413" s="1"/>
      <c r="CE413" s="1"/>
      <c r="CF413" s="1"/>
      <c r="CJ413" s="1"/>
      <c r="DF413" s="2"/>
    </row>
    <row r="414" spans="1:110">
      <c r="A414" s="1"/>
      <c r="B414" s="4"/>
      <c r="C414" s="1"/>
      <c r="D414" s="1"/>
      <c r="E414" s="1"/>
      <c r="F414" s="1"/>
      <c r="G414" s="1"/>
      <c r="H414" s="2"/>
      <c r="I414" s="1"/>
      <c r="J414" s="1"/>
      <c r="K414" s="5"/>
      <c r="L414" s="6"/>
      <c r="Q414" s="5"/>
      <c r="R414" s="6"/>
      <c r="X414" s="2"/>
      <c r="Y414" s="1"/>
      <c r="AF414" s="2"/>
      <c r="AG414" s="1"/>
      <c r="BG414" s="1"/>
      <c r="BS414" s="3"/>
      <c r="CC414" s="1"/>
      <c r="CE414" s="1"/>
      <c r="CF414" s="1"/>
      <c r="CJ414" s="1"/>
      <c r="DF414" s="2"/>
    </row>
    <row r="415" spans="1:110">
      <c r="A415" s="1"/>
      <c r="B415" s="4"/>
      <c r="C415" s="1"/>
      <c r="D415" s="1"/>
      <c r="E415" s="1"/>
      <c r="F415" s="1"/>
      <c r="G415" s="1"/>
      <c r="H415" s="2"/>
      <c r="I415" s="1"/>
      <c r="J415" s="1"/>
      <c r="K415" s="5"/>
      <c r="L415" s="6"/>
      <c r="Q415" s="5"/>
      <c r="R415" s="6"/>
      <c r="X415" s="2"/>
      <c r="Y415" s="1"/>
      <c r="AF415" s="2"/>
      <c r="AG415" s="1"/>
      <c r="BG415" s="1"/>
      <c r="BS415" s="3"/>
      <c r="CC415" s="1"/>
      <c r="CE415" s="1"/>
      <c r="CF415" s="1"/>
      <c r="CJ415" s="1"/>
      <c r="DF415" s="2"/>
    </row>
    <row r="416" spans="1:110">
      <c r="A416" s="1"/>
      <c r="B416" s="4"/>
      <c r="C416" s="1"/>
      <c r="D416" s="1"/>
      <c r="E416" s="1"/>
      <c r="F416" s="1"/>
      <c r="G416" s="1"/>
      <c r="H416" s="2"/>
      <c r="I416" s="1"/>
      <c r="J416" s="1"/>
      <c r="K416" s="5"/>
      <c r="L416" s="6"/>
      <c r="Q416" s="5"/>
      <c r="R416" s="6"/>
      <c r="X416" s="2"/>
      <c r="Y416" s="1"/>
      <c r="AF416" s="2"/>
      <c r="AG416" s="1"/>
      <c r="BG416" s="1"/>
      <c r="BS416" s="3"/>
      <c r="CC416" s="1"/>
      <c r="CE416" s="1"/>
      <c r="CF416" s="1"/>
      <c r="CJ416" s="1"/>
      <c r="DF416" s="2"/>
    </row>
    <row r="417" spans="1:110">
      <c r="A417" s="1"/>
      <c r="B417" s="4"/>
      <c r="C417" s="1"/>
      <c r="D417" s="1"/>
      <c r="E417" s="1"/>
      <c r="F417" s="1"/>
      <c r="G417" s="1"/>
      <c r="H417" s="2"/>
      <c r="I417" s="1"/>
      <c r="J417" s="1"/>
      <c r="K417" s="5"/>
      <c r="L417" s="6"/>
      <c r="Q417" s="5"/>
      <c r="R417" s="6"/>
      <c r="X417" s="2"/>
      <c r="Y417" s="1"/>
      <c r="AF417" s="2"/>
      <c r="AG417" s="1"/>
      <c r="BG417" s="1"/>
      <c r="BS417" s="3"/>
      <c r="CC417" s="1"/>
      <c r="CE417" s="1"/>
      <c r="CF417" s="1"/>
      <c r="CJ417" s="1"/>
      <c r="DF417" s="2"/>
    </row>
    <row r="418" spans="1:110">
      <c r="A418" s="1"/>
      <c r="B418" s="4"/>
      <c r="C418" s="1"/>
      <c r="D418" s="1"/>
      <c r="E418" s="1"/>
      <c r="F418" s="1"/>
      <c r="G418" s="1"/>
      <c r="H418" s="2"/>
      <c r="I418" s="1"/>
      <c r="J418" s="1"/>
      <c r="K418" s="5"/>
      <c r="L418" s="6"/>
      <c r="Q418" s="5"/>
      <c r="R418" s="6"/>
      <c r="X418" s="2"/>
      <c r="Y418" s="1"/>
      <c r="AF418" s="2"/>
      <c r="AG418" s="1"/>
      <c r="BG418" s="1"/>
      <c r="BS418" s="3"/>
      <c r="CC418" s="1"/>
      <c r="CE418" s="1"/>
      <c r="CF418" s="1"/>
      <c r="CJ418" s="1"/>
      <c r="DF418" s="2"/>
    </row>
    <row r="419" spans="1:110">
      <c r="A419" s="1"/>
      <c r="B419" s="4"/>
      <c r="C419" s="1"/>
      <c r="D419" s="1"/>
      <c r="E419" s="1"/>
      <c r="F419" s="1"/>
      <c r="G419" s="1"/>
      <c r="H419" s="2"/>
      <c r="I419" s="1"/>
      <c r="J419" s="1"/>
      <c r="K419" s="5"/>
      <c r="L419" s="6"/>
      <c r="Q419" s="5"/>
      <c r="R419" s="6"/>
      <c r="X419" s="2"/>
      <c r="Y419" s="1"/>
      <c r="AF419" s="2"/>
      <c r="AG419" s="1"/>
      <c r="BG419" s="1"/>
      <c r="BS419" s="3"/>
      <c r="CC419" s="1"/>
      <c r="CE419" s="1"/>
      <c r="CF419" s="1"/>
      <c r="CJ419" s="1"/>
      <c r="DF419" s="2"/>
    </row>
    <row r="420" spans="1:110">
      <c r="A420" s="1"/>
      <c r="B420" s="4"/>
      <c r="C420" s="1"/>
      <c r="D420" s="1"/>
      <c r="E420" s="1"/>
      <c r="F420" s="1"/>
      <c r="G420" s="1"/>
      <c r="H420" s="2"/>
      <c r="I420" s="1"/>
      <c r="J420" s="1"/>
      <c r="K420" s="5"/>
      <c r="L420" s="6"/>
      <c r="Q420" s="5"/>
      <c r="R420" s="6"/>
      <c r="X420" s="2"/>
      <c r="Y420" s="1"/>
      <c r="AF420" s="2"/>
      <c r="AG420" s="1"/>
      <c r="BG420" s="1"/>
      <c r="BS420" s="3"/>
      <c r="CC420" s="1"/>
      <c r="CE420" s="1"/>
      <c r="CF420" s="1"/>
      <c r="CJ420" s="1"/>
      <c r="DF420" s="2"/>
    </row>
    <row r="421" spans="1:110">
      <c r="A421" s="1"/>
      <c r="B421" s="4"/>
      <c r="C421" s="1"/>
      <c r="D421" s="1"/>
      <c r="E421" s="1"/>
      <c r="F421" s="1"/>
      <c r="G421" s="1"/>
      <c r="H421" s="2"/>
      <c r="I421" s="1"/>
      <c r="J421" s="1"/>
      <c r="K421" s="5"/>
      <c r="L421" s="6"/>
      <c r="Q421" s="5"/>
      <c r="R421" s="6"/>
      <c r="X421" s="2"/>
      <c r="Y421" s="1"/>
      <c r="AF421" s="2"/>
      <c r="AG421" s="1"/>
      <c r="BG421" s="1"/>
      <c r="BS421" s="3"/>
      <c r="CC421" s="1"/>
      <c r="CE421" s="1"/>
      <c r="CF421" s="1"/>
      <c r="CJ421" s="1"/>
      <c r="DF421" s="2"/>
    </row>
    <row r="422" spans="1:110">
      <c r="A422" s="1"/>
      <c r="B422" s="4"/>
      <c r="C422" s="1"/>
      <c r="D422" s="1"/>
      <c r="E422" s="1"/>
      <c r="F422" s="1"/>
      <c r="G422" s="1"/>
      <c r="H422" s="2"/>
      <c r="I422" s="1"/>
      <c r="J422" s="1"/>
      <c r="K422" s="5"/>
      <c r="L422" s="6"/>
      <c r="Q422" s="5"/>
      <c r="R422" s="6"/>
      <c r="X422" s="2"/>
      <c r="Y422" s="1"/>
      <c r="AF422" s="2"/>
      <c r="AG422" s="1"/>
      <c r="BG422" s="1"/>
      <c r="BS422" s="3"/>
      <c r="CC422" s="1"/>
      <c r="CE422" s="1"/>
      <c r="CF422" s="1"/>
      <c r="CJ422" s="1"/>
      <c r="DF422" s="2"/>
    </row>
    <row r="423" spans="1:110">
      <c r="A423" s="1"/>
      <c r="B423" s="4"/>
      <c r="C423" s="1"/>
      <c r="D423" s="1"/>
      <c r="E423" s="1"/>
      <c r="F423" s="1"/>
      <c r="G423" s="1"/>
      <c r="H423" s="2"/>
      <c r="I423" s="1"/>
      <c r="J423" s="1"/>
      <c r="K423" s="5"/>
      <c r="L423" s="6"/>
      <c r="Q423" s="5"/>
      <c r="R423" s="6"/>
      <c r="X423" s="2"/>
      <c r="Y423" s="1"/>
      <c r="AF423" s="2"/>
      <c r="AG423" s="1"/>
      <c r="BG423" s="1"/>
      <c r="BS423" s="3"/>
      <c r="CC423" s="1"/>
      <c r="CE423" s="1"/>
      <c r="CF423" s="1"/>
      <c r="CJ423" s="1"/>
      <c r="DF423" s="2"/>
    </row>
    <row r="424" spans="1:110">
      <c r="A424" s="1"/>
      <c r="B424" s="4"/>
      <c r="C424" s="1"/>
      <c r="D424" s="1"/>
      <c r="E424" s="1"/>
      <c r="F424" s="1"/>
      <c r="G424" s="1"/>
      <c r="H424" s="2"/>
      <c r="I424" s="1"/>
      <c r="J424" s="1"/>
      <c r="K424" s="5"/>
      <c r="L424" s="6"/>
      <c r="Q424" s="5"/>
      <c r="R424" s="6"/>
      <c r="X424" s="2"/>
      <c r="Y424" s="1"/>
      <c r="AF424" s="2"/>
      <c r="AG424" s="1"/>
      <c r="BG424" s="1"/>
      <c r="BS424" s="3"/>
      <c r="CC424" s="1"/>
      <c r="CE424" s="1"/>
      <c r="CF424" s="1"/>
      <c r="CJ424" s="1"/>
      <c r="DF424" s="2"/>
    </row>
    <row r="425" spans="1:110">
      <c r="A425" s="1"/>
      <c r="B425" s="4"/>
      <c r="C425" s="1"/>
      <c r="D425" s="1"/>
      <c r="E425" s="1"/>
      <c r="F425" s="1"/>
      <c r="G425" s="1"/>
      <c r="H425" s="2"/>
      <c r="I425" s="1"/>
      <c r="J425" s="1"/>
      <c r="K425" s="5"/>
      <c r="L425" s="6"/>
      <c r="Q425" s="5"/>
      <c r="R425" s="6"/>
      <c r="X425" s="2"/>
      <c r="Y425" s="1"/>
      <c r="AF425" s="2"/>
      <c r="AG425" s="1"/>
      <c r="BG425" s="1"/>
      <c r="BS425" s="3"/>
      <c r="CC425" s="1"/>
      <c r="CE425" s="1"/>
      <c r="CF425" s="1"/>
      <c r="CJ425" s="1"/>
      <c r="DF425" s="2"/>
    </row>
    <row r="426" spans="1:110">
      <c r="A426" s="1"/>
      <c r="B426" s="4"/>
      <c r="C426" s="1"/>
      <c r="D426" s="1"/>
      <c r="E426" s="1"/>
      <c r="F426" s="1"/>
      <c r="G426" s="1"/>
      <c r="H426" s="2"/>
      <c r="I426" s="1"/>
      <c r="J426" s="1"/>
      <c r="K426" s="5"/>
      <c r="L426" s="6"/>
      <c r="Q426" s="5"/>
      <c r="R426" s="6"/>
      <c r="X426" s="2"/>
      <c r="Y426" s="1"/>
      <c r="AF426" s="2"/>
      <c r="AG426" s="1"/>
      <c r="BG426" s="1"/>
      <c r="BS426" s="3"/>
      <c r="CC426" s="1"/>
      <c r="CE426" s="1"/>
      <c r="CF426" s="1"/>
      <c r="CJ426" s="1"/>
      <c r="DF426" s="2"/>
    </row>
    <row r="427" spans="1:110">
      <c r="A427" s="1"/>
      <c r="B427" s="4"/>
      <c r="C427" s="1"/>
      <c r="D427" s="1"/>
      <c r="E427" s="1"/>
      <c r="F427" s="1"/>
      <c r="G427" s="1"/>
      <c r="H427" s="2"/>
      <c r="I427" s="1"/>
      <c r="J427" s="1"/>
      <c r="K427" s="5"/>
      <c r="L427" s="6"/>
      <c r="Q427" s="5"/>
      <c r="R427" s="6"/>
      <c r="X427" s="2"/>
      <c r="Y427" s="1"/>
      <c r="AF427" s="2"/>
      <c r="AG427" s="1"/>
      <c r="BG427" s="1"/>
      <c r="BS427" s="3"/>
      <c r="CC427" s="1"/>
      <c r="CE427" s="1"/>
      <c r="CF427" s="1"/>
      <c r="CJ427" s="1"/>
      <c r="DF427" s="2"/>
    </row>
    <row r="428" spans="1:110">
      <c r="A428" s="1"/>
      <c r="B428" s="4"/>
      <c r="C428" s="1"/>
      <c r="D428" s="1"/>
      <c r="E428" s="1"/>
      <c r="F428" s="1"/>
      <c r="G428" s="1"/>
      <c r="H428" s="2"/>
      <c r="I428" s="1"/>
      <c r="J428" s="1"/>
      <c r="K428" s="5"/>
      <c r="L428" s="6"/>
      <c r="Q428" s="5"/>
      <c r="R428" s="6"/>
      <c r="X428" s="2"/>
      <c r="Y428" s="1"/>
      <c r="AF428" s="2"/>
      <c r="AG428" s="1"/>
      <c r="BG428" s="1"/>
      <c r="BS428" s="3"/>
      <c r="CC428" s="1"/>
      <c r="CE428" s="1"/>
      <c r="CF428" s="1"/>
      <c r="CJ428" s="1"/>
      <c r="DF428" s="2"/>
    </row>
    <row r="429" spans="1:110">
      <c r="A429" s="1"/>
      <c r="B429" s="4"/>
      <c r="C429" s="1"/>
      <c r="D429" s="1"/>
      <c r="E429" s="1"/>
      <c r="F429" s="1"/>
      <c r="G429" s="1"/>
      <c r="H429" s="2"/>
      <c r="I429" s="1"/>
      <c r="J429" s="1"/>
      <c r="K429" s="5"/>
      <c r="L429" s="6"/>
      <c r="Q429" s="5"/>
      <c r="R429" s="6"/>
      <c r="X429" s="2"/>
      <c r="Y429" s="1"/>
      <c r="AF429" s="2"/>
      <c r="AG429" s="1"/>
      <c r="BG429" s="1"/>
      <c r="BS429" s="3"/>
      <c r="CC429" s="1"/>
      <c r="CE429" s="1"/>
      <c r="CF429" s="1"/>
      <c r="CJ429" s="1"/>
      <c r="DF429" s="2"/>
    </row>
    <row r="430" spans="1:110">
      <c r="A430" s="1"/>
      <c r="B430" s="4"/>
      <c r="C430" s="1"/>
      <c r="D430" s="1"/>
      <c r="E430" s="1"/>
      <c r="F430" s="1"/>
      <c r="G430" s="1"/>
      <c r="H430" s="2"/>
      <c r="I430" s="1"/>
      <c r="J430" s="1"/>
      <c r="K430" s="5"/>
      <c r="L430" s="6"/>
      <c r="Q430" s="5"/>
      <c r="R430" s="6"/>
      <c r="X430" s="2"/>
      <c r="Y430" s="1"/>
      <c r="AF430" s="2"/>
      <c r="AG430" s="1"/>
      <c r="BG430" s="1"/>
      <c r="BS430" s="3"/>
      <c r="CC430" s="1"/>
      <c r="CE430" s="1"/>
      <c r="CF430" s="1"/>
      <c r="CJ430" s="1"/>
      <c r="DF430" s="2"/>
    </row>
    <row r="431" spans="1:110">
      <c r="A431" s="1"/>
      <c r="B431" s="4"/>
      <c r="C431" s="1"/>
      <c r="D431" s="1"/>
      <c r="E431" s="1"/>
      <c r="F431" s="1"/>
      <c r="G431" s="1"/>
      <c r="H431" s="2"/>
      <c r="I431" s="1"/>
      <c r="J431" s="1"/>
      <c r="K431" s="5"/>
      <c r="L431" s="6"/>
      <c r="Q431" s="5"/>
      <c r="R431" s="6"/>
      <c r="X431" s="2"/>
      <c r="Y431" s="1"/>
      <c r="AF431" s="2"/>
      <c r="AG431" s="1"/>
      <c r="BG431" s="1"/>
      <c r="BS431" s="3"/>
      <c r="CC431" s="1"/>
      <c r="CE431" s="1"/>
      <c r="CF431" s="1"/>
      <c r="CJ431" s="1"/>
      <c r="DF431" s="2"/>
    </row>
    <row r="432" spans="1:110">
      <c r="A432" s="1"/>
      <c r="B432" s="4"/>
      <c r="C432" s="1"/>
      <c r="D432" s="1"/>
      <c r="E432" s="1"/>
      <c r="F432" s="1"/>
      <c r="G432" s="1"/>
      <c r="H432" s="2"/>
      <c r="I432" s="1"/>
      <c r="J432" s="1"/>
      <c r="K432" s="5"/>
      <c r="L432" s="6"/>
      <c r="Q432" s="5"/>
      <c r="R432" s="6"/>
      <c r="X432" s="2"/>
      <c r="Y432" s="1"/>
      <c r="AF432" s="2"/>
      <c r="AG432" s="1"/>
      <c r="BG432" s="1"/>
      <c r="BS432" s="3"/>
      <c r="CC432" s="1"/>
      <c r="CE432" s="1"/>
      <c r="CF432" s="1"/>
      <c r="CJ432" s="1"/>
      <c r="DF432" s="2"/>
    </row>
    <row r="433" spans="1:110">
      <c r="A433" s="1"/>
      <c r="B433" s="4"/>
      <c r="C433" s="1"/>
      <c r="D433" s="1"/>
      <c r="E433" s="1"/>
      <c r="F433" s="1"/>
      <c r="G433" s="1"/>
      <c r="H433" s="2"/>
      <c r="I433" s="1"/>
      <c r="J433" s="1"/>
      <c r="K433" s="5"/>
      <c r="L433" s="6"/>
      <c r="Q433" s="5"/>
      <c r="R433" s="6"/>
      <c r="X433" s="2"/>
      <c r="Y433" s="1"/>
      <c r="AF433" s="2"/>
      <c r="AG433" s="1"/>
      <c r="BG433" s="1"/>
      <c r="BS433" s="3"/>
      <c r="CC433" s="1"/>
      <c r="CE433" s="1"/>
      <c r="CF433" s="1"/>
      <c r="CJ433" s="1"/>
      <c r="DF433" s="2"/>
    </row>
    <row r="434" spans="1:110">
      <c r="A434" s="1"/>
      <c r="B434" s="4"/>
      <c r="C434" s="1"/>
      <c r="D434" s="1"/>
      <c r="E434" s="1"/>
      <c r="F434" s="1"/>
      <c r="G434" s="1"/>
      <c r="H434" s="2"/>
      <c r="I434" s="1"/>
      <c r="J434" s="1"/>
      <c r="K434" s="5"/>
      <c r="L434" s="6"/>
      <c r="Q434" s="5"/>
      <c r="R434" s="6"/>
      <c r="X434" s="2"/>
      <c r="Y434" s="1"/>
      <c r="AF434" s="2"/>
      <c r="AG434" s="1"/>
      <c r="BG434" s="1"/>
      <c r="BS434" s="3"/>
      <c r="CC434" s="1"/>
      <c r="CE434" s="1"/>
      <c r="CF434" s="1"/>
      <c r="CJ434" s="1"/>
      <c r="DF434" s="2"/>
    </row>
    <row r="435" spans="1:110">
      <c r="A435" s="1"/>
      <c r="B435" s="4"/>
      <c r="C435" s="1"/>
      <c r="D435" s="1"/>
      <c r="E435" s="1"/>
      <c r="F435" s="1"/>
      <c r="G435" s="1"/>
      <c r="H435" s="2"/>
      <c r="I435" s="1"/>
      <c r="J435" s="1"/>
      <c r="K435" s="5"/>
      <c r="L435" s="6"/>
      <c r="Q435" s="5"/>
      <c r="R435" s="6"/>
      <c r="X435" s="2"/>
      <c r="Y435" s="1"/>
      <c r="AF435" s="2"/>
      <c r="AG435" s="1"/>
      <c r="BG435" s="1"/>
      <c r="BS435" s="3"/>
      <c r="CC435" s="1"/>
      <c r="CE435" s="1"/>
      <c r="CF435" s="1"/>
      <c r="CJ435" s="1"/>
      <c r="DF435" s="2"/>
    </row>
    <row r="436" spans="1:110">
      <c r="A436" s="1"/>
      <c r="B436" s="4"/>
      <c r="C436" s="1"/>
      <c r="D436" s="1"/>
      <c r="E436" s="1"/>
      <c r="F436" s="1"/>
      <c r="G436" s="1"/>
      <c r="H436" s="2"/>
      <c r="I436" s="1"/>
      <c r="J436" s="1"/>
      <c r="K436" s="5"/>
      <c r="L436" s="6"/>
      <c r="Q436" s="5"/>
      <c r="R436" s="6"/>
      <c r="X436" s="2"/>
      <c r="Y436" s="1"/>
      <c r="AF436" s="2"/>
      <c r="AG436" s="1"/>
      <c r="BG436" s="1"/>
      <c r="BS436" s="3"/>
      <c r="CC436" s="1"/>
      <c r="CE436" s="1"/>
      <c r="CF436" s="1"/>
      <c r="CJ436" s="1"/>
      <c r="DF436" s="2"/>
    </row>
    <row r="437" spans="1:110">
      <c r="A437" s="1"/>
      <c r="B437" s="4"/>
      <c r="C437" s="1"/>
      <c r="D437" s="1"/>
      <c r="E437" s="1"/>
      <c r="F437" s="1"/>
      <c r="G437" s="1"/>
      <c r="H437" s="2"/>
      <c r="I437" s="1"/>
      <c r="J437" s="1"/>
      <c r="K437" s="5"/>
      <c r="L437" s="6"/>
      <c r="Q437" s="5"/>
      <c r="R437" s="6"/>
      <c r="X437" s="2"/>
      <c r="Y437" s="1"/>
      <c r="AF437" s="2"/>
      <c r="AG437" s="1"/>
      <c r="BG437" s="1"/>
      <c r="BS437" s="3"/>
      <c r="CC437" s="1"/>
      <c r="CE437" s="1"/>
      <c r="CF437" s="1"/>
      <c r="CJ437" s="1"/>
      <c r="DF437" s="2"/>
    </row>
    <row r="438" spans="1:110">
      <c r="A438" s="1"/>
      <c r="B438" s="4"/>
      <c r="C438" s="1"/>
      <c r="D438" s="1"/>
      <c r="E438" s="1"/>
      <c r="F438" s="1"/>
      <c r="G438" s="1"/>
      <c r="H438" s="2"/>
      <c r="I438" s="1"/>
      <c r="J438" s="1"/>
      <c r="K438" s="5"/>
      <c r="L438" s="6"/>
      <c r="Q438" s="5"/>
      <c r="R438" s="6"/>
      <c r="X438" s="2"/>
      <c r="Y438" s="1"/>
      <c r="AF438" s="2"/>
      <c r="AG438" s="1"/>
      <c r="BG438" s="1"/>
      <c r="BS438" s="3"/>
      <c r="CC438" s="1"/>
      <c r="CE438" s="1"/>
      <c r="CF438" s="1"/>
      <c r="CJ438" s="1"/>
      <c r="DF438" s="2"/>
    </row>
    <row r="439" spans="1:110">
      <c r="A439" s="1"/>
      <c r="B439" s="4"/>
      <c r="C439" s="1"/>
      <c r="D439" s="1"/>
      <c r="E439" s="1"/>
      <c r="F439" s="1"/>
      <c r="G439" s="1"/>
      <c r="H439" s="2"/>
      <c r="I439" s="1"/>
      <c r="J439" s="1"/>
      <c r="K439" s="5"/>
      <c r="L439" s="6"/>
      <c r="Q439" s="5"/>
      <c r="R439" s="6"/>
      <c r="X439" s="2"/>
      <c r="Y439" s="1"/>
      <c r="AF439" s="2"/>
      <c r="AG439" s="1"/>
      <c r="BG439" s="1"/>
      <c r="BS439" s="3"/>
      <c r="CC439" s="1"/>
      <c r="CE439" s="1"/>
      <c r="CF439" s="1"/>
      <c r="CJ439" s="1"/>
      <c r="DF439" s="2"/>
    </row>
    <row r="440" spans="1:110">
      <c r="A440" s="1"/>
      <c r="B440" s="4"/>
      <c r="C440" s="1"/>
      <c r="D440" s="1"/>
      <c r="E440" s="1"/>
      <c r="F440" s="1"/>
      <c r="G440" s="1"/>
      <c r="H440" s="2"/>
      <c r="I440" s="1"/>
      <c r="J440" s="1"/>
      <c r="K440" s="5"/>
      <c r="L440" s="6"/>
      <c r="Q440" s="5"/>
      <c r="R440" s="6"/>
      <c r="X440" s="2"/>
      <c r="Y440" s="1"/>
      <c r="AF440" s="2"/>
      <c r="AG440" s="1"/>
      <c r="BG440" s="1"/>
      <c r="BS440" s="3"/>
      <c r="CC440" s="1"/>
      <c r="CE440" s="1"/>
      <c r="CF440" s="1"/>
      <c r="CJ440" s="1"/>
      <c r="DF440" s="2"/>
    </row>
    <row r="441" spans="1:110">
      <c r="A441" s="1"/>
      <c r="B441" s="4"/>
      <c r="C441" s="1"/>
      <c r="D441" s="1"/>
      <c r="E441" s="1"/>
      <c r="F441" s="1"/>
      <c r="G441" s="1"/>
      <c r="H441" s="2"/>
      <c r="I441" s="1"/>
      <c r="J441" s="1"/>
      <c r="K441" s="5"/>
      <c r="L441" s="6"/>
      <c r="Q441" s="5"/>
      <c r="R441" s="6"/>
      <c r="X441" s="2"/>
      <c r="Y441" s="1"/>
      <c r="AF441" s="2"/>
      <c r="AG441" s="1"/>
      <c r="BG441" s="1"/>
      <c r="BS441" s="3"/>
      <c r="CC441" s="1"/>
      <c r="CE441" s="1"/>
      <c r="CF441" s="1"/>
      <c r="CJ441" s="1"/>
      <c r="DF441" s="2"/>
    </row>
    <row r="442" spans="1:110">
      <c r="A442" s="1"/>
      <c r="B442" s="4"/>
      <c r="C442" s="1"/>
      <c r="D442" s="1"/>
      <c r="E442" s="1"/>
      <c r="F442" s="1"/>
      <c r="G442" s="1"/>
      <c r="H442" s="2"/>
      <c r="I442" s="1"/>
      <c r="J442" s="1"/>
      <c r="K442" s="5"/>
      <c r="L442" s="6"/>
      <c r="Q442" s="5"/>
      <c r="R442" s="6"/>
      <c r="X442" s="2"/>
      <c r="Y442" s="1"/>
      <c r="AF442" s="2"/>
      <c r="AG442" s="1"/>
      <c r="BG442" s="1"/>
      <c r="BS442" s="3"/>
      <c r="CC442" s="1"/>
      <c r="CE442" s="1"/>
      <c r="CF442" s="1"/>
      <c r="CJ442" s="1"/>
      <c r="DF442" s="2"/>
    </row>
    <row r="443" spans="1:110">
      <c r="A443" s="1"/>
      <c r="B443" s="4"/>
      <c r="C443" s="1"/>
      <c r="D443" s="1"/>
      <c r="E443" s="1"/>
      <c r="F443" s="1"/>
      <c r="G443" s="1"/>
      <c r="H443" s="2"/>
      <c r="I443" s="1"/>
      <c r="J443" s="1"/>
      <c r="K443" s="5"/>
      <c r="L443" s="6"/>
      <c r="Q443" s="5"/>
      <c r="R443" s="6"/>
      <c r="X443" s="2"/>
      <c r="Y443" s="1"/>
      <c r="AF443" s="2"/>
      <c r="AG443" s="1"/>
      <c r="BG443" s="1"/>
      <c r="BS443" s="3"/>
      <c r="CC443" s="1"/>
      <c r="CE443" s="1"/>
      <c r="CF443" s="1"/>
      <c r="CJ443" s="1"/>
      <c r="DF443" s="2"/>
    </row>
    <row r="444" spans="1:110">
      <c r="A444" s="1"/>
      <c r="B444" s="4"/>
      <c r="C444" s="1"/>
      <c r="D444" s="1"/>
      <c r="E444" s="1"/>
      <c r="F444" s="1"/>
      <c r="G444" s="1"/>
      <c r="H444" s="2"/>
      <c r="I444" s="1"/>
      <c r="J444" s="1"/>
      <c r="K444" s="5"/>
      <c r="L444" s="6"/>
      <c r="Q444" s="5"/>
      <c r="R444" s="6"/>
      <c r="X444" s="2"/>
      <c r="Y444" s="1"/>
      <c r="AF444" s="2"/>
      <c r="AG444" s="1"/>
      <c r="BG444" s="1"/>
      <c r="BS444" s="3"/>
      <c r="CC444" s="1"/>
      <c r="CE444" s="1"/>
      <c r="CF444" s="1"/>
      <c r="CJ444" s="1"/>
      <c r="DF444" s="2"/>
    </row>
    <row r="445" spans="1:110">
      <c r="A445" s="1"/>
      <c r="B445" s="4"/>
      <c r="C445" s="1"/>
      <c r="D445" s="1"/>
      <c r="E445" s="1"/>
      <c r="F445" s="1"/>
      <c r="G445" s="1"/>
      <c r="H445" s="2"/>
      <c r="I445" s="1"/>
      <c r="J445" s="1"/>
      <c r="K445" s="5"/>
      <c r="L445" s="6"/>
      <c r="Q445" s="5"/>
      <c r="R445" s="6"/>
      <c r="X445" s="2"/>
      <c r="Y445" s="1"/>
      <c r="AF445" s="2"/>
      <c r="AG445" s="1"/>
      <c r="BG445" s="1"/>
      <c r="BS445" s="3"/>
      <c r="CC445" s="1"/>
      <c r="CE445" s="1"/>
      <c r="CF445" s="1"/>
      <c r="CJ445" s="1"/>
      <c r="DF445" s="2"/>
    </row>
    <row r="446" spans="1:110">
      <c r="A446" s="1"/>
      <c r="B446" s="4"/>
      <c r="C446" s="1"/>
      <c r="D446" s="1"/>
      <c r="E446" s="1"/>
      <c r="F446" s="1"/>
      <c r="G446" s="1"/>
      <c r="H446" s="2"/>
      <c r="I446" s="1"/>
      <c r="J446" s="1"/>
      <c r="K446" s="5"/>
      <c r="L446" s="6"/>
      <c r="Q446" s="5"/>
      <c r="R446" s="6"/>
      <c r="X446" s="2"/>
      <c r="Y446" s="1"/>
      <c r="AF446" s="2"/>
      <c r="AG446" s="1"/>
      <c r="BG446" s="1"/>
      <c r="BS446" s="3"/>
      <c r="CC446" s="1"/>
      <c r="CE446" s="1"/>
      <c r="CF446" s="1"/>
      <c r="CJ446" s="1"/>
      <c r="DF446" s="2"/>
    </row>
    <row r="447" spans="1:110">
      <c r="A447" s="1"/>
      <c r="B447" s="4"/>
      <c r="C447" s="1"/>
      <c r="D447" s="1"/>
      <c r="E447" s="1"/>
      <c r="F447" s="1"/>
      <c r="G447" s="1"/>
      <c r="H447" s="2"/>
      <c r="I447" s="1"/>
      <c r="J447" s="1"/>
      <c r="K447" s="5"/>
      <c r="L447" s="6"/>
      <c r="Q447" s="5"/>
      <c r="R447" s="6"/>
      <c r="X447" s="2"/>
      <c r="Y447" s="1"/>
      <c r="AF447" s="2"/>
      <c r="AG447" s="1"/>
      <c r="BG447" s="1"/>
      <c r="BS447" s="3"/>
      <c r="CC447" s="1"/>
      <c r="CE447" s="1"/>
      <c r="CF447" s="1"/>
      <c r="CJ447" s="1"/>
      <c r="DF447" s="2"/>
    </row>
    <row r="448" spans="1:110">
      <c r="A448" s="1"/>
      <c r="B448" s="4"/>
      <c r="C448" s="1"/>
      <c r="D448" s="1"/>
      <c r="E448" s="1"/>
      <c r="F448" s="1"/>
      <c r="G448" s="1"/>
      <c r="H448" s="2"/>
      <c r="I448" s="1"/>
      <c r="J448" s="1"/>
      <c r="K448" s="5"/>
      <c r="L448" s="6"/>
      <c r="Q448" s="5"/>
      <c r="R448" s="6"/>
      <c r="X448" s="2"/>
      <c r="Y448" s="1"/>
      <c r="AF448" s="2"/>
      <c r="AG448" s="1"/>
      <c r="BG448" s="1"/>
      <c r="BS448" s="3"/>
      <c r="CC448" s="1"/>
      <c r="CE448" s="1"/>
      <c r="CF448" s="1"/>
      <c r="CJ448" s="1"/>
      <c r="DF448" s="2"/>
    </row>
    <row r="449" spans="1:110">
      <c r="A449" s="1"/>
      <c r="B449" s="4"/>
      <c r="C449" s="1"/>
      <c r="D449" s="1"/>
      <c r="E449" s="1"/>
      <c r="F449" s="1"/>
      <c r="G449" s="1"/>
      <c r="H449" s="2"/>
      <c r="I449" s="1"/>
      <c r="J449" s="1"/>
      <c r="K449" s="5"/>
      <c r="L449" s="6"/>
      <c r="Q449" s="5"/>
      <c r="R449" s="6"/>
      <c r="X449" s="2"/>
      <c r="Y449" s="1"/>
      <c r="AF449" s="2"/>
      <c r="AG449" s="1"/>
      <c r="BG449" s="1"/>
      <c r="BS449" s="3"/>
      <c r="CC449" s="1"/>
      <c r="CE449" s="1"/>
      <c r="CF449" s="1"/>
      <c r="CJ449" s="1"/>
      <c r="DF449" s="2"/>
    </row>
    <row r="450" spans="1:110">
      <c r="A450" s="1"/>
      <c r="B450" s="4"/>
      <c r="C450" s="1"/>
      <c r="D450" s="1"/>
      <c r="E450" s="1"/>
      <c r="F450" s="1"/>
      <c r="G450" s="1"/>
      <c r="H450" s="2"/>
      <c r="I450" s="1"/>
      <c r="J450" s="1"/>
      <c r="K450" s="5"/>
      <c r="L450" s="6"/>
      <c r="Q450" s="5"/>
      <c r="R450" s="6"/>
      <c r="X450" s="2"/>
      <c r="Y450" s="1"/>
      <c r="AF450" s="2"/>
      <c r="AG450" s="1"/>
      <c r="BG450" s="1"/>
      <c r="BS450" s="3"/>
      <c r="CC450" s="1"/>
      <c r="CE450" s="1"/>
      <c r="CF450" s="1"/>
      <c r="CJ450" s="1"/>
      <c r="DF450" s="2"/>
    </row>
    <row r="451" spans="1:110">
      <c r="A451" s="1"/>
      <c r="B451" s="4"/>
      <c r="C451" s="1"/>
      <c r="D451" s="1"/>
      <c r="E451" s="1"/>
      <c r="F451" s="1"/>
      <c r="G451" s="1"/>
      <c r="H451" s="2"/>
      <c r="I451" s="1"/>
      <c r="J451" s="1"/>
      <c r="K451" s="5"/>
      <c r="L451" s="6"/>
      <c r="Q451" s="5"/>
      <c r="R451" s="6"/>
      <c r="X451" s="2"/>
      <c r="Y451" s="1"/>
      <c r="AF451" s="2"/>
      <c r="AG451" s="1"/>
      <c r="BG451" s="1"/>
      <c r="BS451" s="3"/>
      <c r="CC451" s="1"/>
      <c r="CE451" s="1"/>
      <c r="CF451" s="1"/>
      <c r="CJ451" s="1"/>
      <c r="DF451" s="2"/>
    </row>
    <row r="452" spans="1:110">
      <c r="A452" s="1"/>
      <c r="B452" s="4"/>
      <c r="C452" s="1"/>
      <c r="D452" s="1"/>
      <c r="E452" s="1"/>
      <c r="F452" s="1"/>
      <c r="G452" s="1"/>
      <c r="H452" s="2"/>
      <c r="I452" s="1"/>
      <c r="J452" s="1"/>
      <c r="K452" s="5"/>
      <c r="L452" s="6"/>
      <c r="Q452" s="5"/>
      <c r="R452" s="6"/>
      <c r="X452" s="2"/>
      <c r="Y452" s="1"/>
      <c r="AF452" s="2"/>
      <c r="AG452" s="1"/>
      <c r="BG452" s="1"/>
      <c r="BS452" s="3"/>
      <c r="CC452" s="1"/>
      <c r="CE452" s="1"/>
      <c r="CF452" s="1"/>
      <c r="CJ452" s="1"/>
      <c r="DF452" s="2"/>
    </row>
    <row r="453" spans="1:110">
      <c r="A453" s="1"/>
      <c r="B453" s="4"/>
      <c r="C453" s="1"/>
      <c r="D453" s="1"/>
      <c r="E453" s="1"/>
      <c r="F453" s="1"/>
      <c r="G453" s="1"/>
      <c r="H453" s="2"/>
      <c r="I453" s="1"/>
      <c r="J453" s="1"/>
      <c r="K453" s="5"/>
      <c r="L453" s="6"/>
      <c r="Q453" s="5"/>
      <c r="R453" s="6"/>
      <c r="X453" s="2"/>
      <c r="Y453" s="1"/>
      <c r="AF453" s="2"/>
      <c r="AG453" s="1"/>
      <c r="BG453" s="1"/>
      <c r="BS453" s="3"/>
      <c r="CC453" s="1"/>
      <c r="CE453" s="1"/>
      <c r="CF453" s="1"/>
      <c r="CJ453" s="1"/>
      <c r="DF453" s="2"/>
    </row>
    <row r="454" spans="1:110">
      <c r="A454" s="1"/>
      <c r="B454" s="4"/>
      <c r="C454" s="1"/>
      <c r="D454" s="1"/>
      <c r="E454" s="1"/>
      <c r="F454" s="1"/>
      <c r="G454" s="1"/>
      <c r="H454" s="2"/>
      <c r="I454" s="1"/>
      <c r="J454" s="1"/>
      <c r="K454" s="5"/>
      <c r="L454" s="6"/>
      <c r="Q454" s="5"/>
      <c r="R454" s="6"/>
      <c r="X454" s="2"/>
      <c r="Y454" s="1"/>
      <c r="AF454" s="2"/>
      <c r="AG454" s="1"/>
      <c r="BG454" s="1"/>
      <c r="BS454" s="3"/>
      <c r="CC454" s="1"/>
      <c r="CE454" s="1"/>
      <c r="CF454" s="1"/>
      <c r="CJ454" s="1"/>
      <c r="DF454" s="2"/>
    </row>
    <row r="455" spans="1:110">
      <c r="A455" s="1"/>
      <c r="B455" s="4"/>
      <c r="C455" s="1"/>
      <c r="D455" s="1"/>
      <c r="E455" s="1"/>
      <c r="F455" s="1"/>
      <c r="G455" s="1"/>
      <c r="H455" s="2"/>
      <c r="I455" s="1"/>
      <c r="J455" s="1"/>
      <c r="K455" s="5"/>
      <c r="L455" s="6"/>
      <c r="Q455" s="5"/>
      <c r="R455" s="6"/>
      <c r="X455" s="2"/>
      <c r="Y455" s="1"/>
      <c r="AF455" s="2"/>
      <c r="AG455" s="1"/>
      <c r="BG455" s="1"/>
      <c r="BS455" s="3"/>
      <c r="CC455" s="1"/>
      <c r="CE455" s="1"/>
      <c r="CF455" s="1"/>
      <c r="CJ455" s="1"/>
      <c r="DF455" s="2"/>
    </row>
    <row r="456" spans="1:110">
      <c r="A456" s="1"/>
      <c r="B456" s="4"/>
      <c r="C456" s="1"/>
      <c r="D456" s="1"/>
      <c r="E456" s="1"/>
      <c r="F456" s="1"/>
      <c r="G456" s="1"/>
      <c r="H456" s="2"/>
      <c r="I456" s="1"/>
      <c r="J456" s="1"/>
      <c r="K456" s="5"/>
      <c r="L456" s="6"/>
      <c r="Q456" s="5"/>
      <c r="R456" s="6"/>
      <c r="X456" s="2"/>
      <c r="Y456" s="1"/>
      <c r="AF456" s="2"/>
      <c r="AG456" s="1"/>
      <c r="BG456" s="1"/>
      <c r="BS456" s="3"/>
      <c r="CC456" s="1"/>
      <c r="CE456" s="1"/>
      <c r="CF456" s="1"/>
      <c r="CJ456" s="1"/>
      <c r="DF456" s="2"/>
    </row>
    <row r="457" spans="1:110">
      <c r="A457" s="1"/>
      <c r="B457" s="4"/>
      <c r="C457" s="1"/>
      <c r="D457" s="1"/>
      <c r="E457" s="1"/>
      <c r="F457" s="1"/>
      <c r="G457" s="1"/>
      <c r="H457" s="2"/>
      <c r="I457" s="1"/>
      <c r="J457" s="1"/>
      <c r="K457" s="5"/>
      <c r="L457" s="6"/>
      <c r="Q457" s="5"/>
      <c r="R457" s="6"/>
      <c r="X457" s="2"/>
      <c r="Y457" s="1"/>
      <c r="AF457" s="2"/>
      <c r="AG457" s="1"/>
      <c r="BG457" s="1"/>
      <c r="BS457" s="3"/>
      <c r="CC457" s="1"/>
      <c r="CE457" s="1"/>
      <c r="CF457" s="1"/>
      <c r="CJ457" s="1"/>
      <c r="DF457" s="2"/>
    </row>
    <row r="458" spans="1:110">
      <c r="A458" s="1"/>
      <c r="B458" s="4"/>
      <c r="C458" s="1"/>
      <c r="D458" s="1"/>
      <c r="E458" s="1"/>
      <c r="F458" s="1"/>
      <c r="G458" s="1"/>
      <c r="H458" s="2"/>
      <c r="I458" s="1"/>
      <c r="J458" s="1"/>
      <c r="K458" s="5"/>
      <c r="L458" s="6"/>
      <c r="Q458" s="5"/>
      <c r="R458" s="6"/>
      <c r="X458" s="2"/>
      <c r="Y458" s="1"/>
      <c r="AF458" s="2"/>
      <c r="AG458" s="1"/>
      <c r="BG458" s="1"/>
      <c r="BS458" s="3"/>
      <c r="CC458" s="1"/>
      <c r="CE458" s="1"/>
      <c r="CF458" s="1"/>
      <c r="CJ458" s="1"/>
      <c r="DF458" s="2"/>
    </row>
    <row r="459" spans="1:110">
      <c r="A459" s="1"/>
      <c r="B459" s="4"/>
      <c r="C459" s="1"/>
      <c r="D459" s="1"/>
      <c r="E459" s="1"/>
      <c r="F459" s="1"/>
      <c r="G459" s="1"/>
      <c r="H459" s="2"/>
      <c r="I459" s="1"/>
      <c r="J459" s="1"/>
      <c r="K459" s="5"/>
      <c r="L459" s="6"/>
      <c r="Q459" s="5"/>
      <c r="R459" s="6"/>
      <c r="X459" s="2"/>
      <c r="Y459" s="1"/>
      <c r="AF459" s="2"/>
      <c r="AG459" s="1"/>
      <c r="BG459" s="1"/>
      <c r="BS459" s="3"/>
      <c r="CC459" s="1"/>
      <c r="CE459" s="1"/>
      <c r="CF459" s="1"/>
      <c r="CJ459" s="1"/>
      <c r="DF459" s="2"/>
    </row>
    <row r="460" spans="1:110">
      <c r="A460" s="1"/>
      <c r="B460" s="4"/>
      <c r="C460" s="1"/>
      <c r="D460" s="1"/>
      <c r="E460" s="1"/>
      <c r="F460" s="1"/>
      <c r="G460" s="1"/>
      <c r="H460" s="2"/>
      <c r="I460" s="1"/>
      <c r="J460" s="1"/>
      <c r="K460" s="5"/>
      <c r="L460" s="6"/>
      <c r="Q460" s="5"/>
      <c r="R460" s="6"/>
      <c r="X460" s="2"/>
      <c r="Y460" s="1"/>
      <c r="AF460" s="2"/>
      <c r="AG460" s="1"/>
      <c r="BG460" s="1"/>
      <c r="BS460" s="3"/>
      <c r="CC460" s="1"/>
      <c r="CE460" s="1"/>
      <c r="CF460" s="1"/>
      <c r="CJ460" s="1"/>
      <c r="DF460" s="2"/>
    </row>
    <row r="461" spans="1:110">
      <c r="A461" s="1"/>
      <c r="B461" s="4"/>
      <c r="C461" s="1"/>
      <c r="D461" s="1"/>
      <c r="E461" s="1"/>
      <c r="F461" s="1"/>
      <c r="G461" s="1"/>
      <c r="H461" s="2"/>
      <c r="I461" s="1"/>
      <c r="J461" s="1"/>
      <c r="K461" s="5"/>
      <c r="L461" s="6"/>
      <c r="Q461" s="5"/>
      <c r="R461" s="6"/>
      <c r="X461" s="2"/>
      <c r="Y461" s="1"/>
      <c r="AF461" s="2"/>
      <c r="AG461" s="1"/>
      <c r="BG461" s="1"/>
      <c r="BS461" s="3"/>
      <c r="CC461" s="1"/>
      <c r="CE461" s="1"/>
      <c r="CF461" s="1"/>
      <c r="CJ461" s="1"/>
      <c r="DF461" s="2"/>
    </row>
    <row r="462" spans="1:110">
      <c r="A462" s="1"/>
      <c r="B462" s="4"/>
      <c r="C462" s="1"/>
      <c r="D462" s="1"/>
      <c r="E462" s="1"/>
      <c r="F462" s="1"/>
      <c r="G462" s="1"/>
      <c r="H462" s="2"/>
      <c r="I462" s="1"/>
      <c r="J462" s="1"/>
      <c r="K462" s="5"/>
      <c r="L462" s="6"/>
      <c r="Q462" s="5"/>
      <c r="R462" s="6"/>
      <c r="X462" s="2"/>
      <c r="Y462" s="1"/>
      <c r="AF462" s="2"/>
      <c r="AG462" s="1"/>
      <c r="BG462" s="1"/>
      <c r="BS462" s="3"/>
      <c r="CC462" s="1"/>
      <c r="CE462" s="1"/>
      <c r="CF462" s="1"/>
      <c r="CJ462" s="1"/>
      <c r="DF462" s="2"/>
    </row>
    <row r="463" spans="1:110">
      <c r="A463" s="1"/>
      <c r="B463" s="4"/>
      <c r="C463" s="1"/>
      <c r="D463" s="1"/>
      <c r="E463" s="1"/>
      <c r="F463" s="1"/>
      <c r="G463" s="1"/>
      <c r="H463" s="2"/>
      <c r="I463" s="1"/>
      <c r="J463" s="1"/>
      <c r="K463" s="5"/>
      <c r="L463" s="6"/>
      <c r="Q463" s="5"/>
      <c r="R463" s="6"/>
      <c r="X463" s="2"/>
      <c r="Y463" s="1"/>
      <c r="AF463" s="2"/>
      <c r="AG463" s="1"/>
      <c r="BG463" s="1"/>
      <c r="BS463" s="3"/>
      <c r="CC463" s="1"/>
      <c r="CE463" s="1"/>
      <c r="CF463" s="1"/>
      <c r="CJ463" s="1"/>
      <c r="DF463" s="2"/>
    </row>
    <row r="464" spans="1:110">
      <c r="A464" s="1"/>
      <c r="B464" s="4"/>
      <c r="C464" s="1"/>
      <c r="D464" s="1"/>
      <c r="E464" s="1"/>
      <c r="F464" s="1"/>
      <c r="G464" s="1"/>
      <c r="H464" s="2"/>
      <c r="I464" s="1"/>
      <c r="J464" s="1"/>
      <c r="K464" s="5"/>
      <c r="L464" s="6"/>
      <c r="Q464" s="5"/>
      <c r="R464" s="6"/>
      <c r="X464" s="2"/>
      <c r="Y464" s="1"/>
      <c r="AF464" s="2"/>
      <c r="AG464" s="1"/>
      <c r="BG464" s="1"/>
      <c r="BS464" s="3"/>
      <c r="CC464" s="1"/>
      <c r="CE464" s="1"/>
      <c r="CF464" s="1"/>
      <c r="CJ464" s="1"/>
      <c r="DF464" s="2"/>
    </row>
    <row r="465" spans="1:110">
      <c r="A465" s="1"/>
      <c r="B465" s="4"/>
      <c r="C465" s="1"/>
      <c r="D465" s="1"/>
      <c r="E465" s="1"/>
      <c r="F465" s="1"/>
      <c r="G465" s="1"/>
      <c r="H465" s="2"/>
      <c r="I465" s="1"/>
      <c r="J465" s="1"/>
      <c r="K465" s="5"/>
      <c r="L465" s="6"/>
      <c r="Q465" s="5"/>
      <c r="R465" s="6"/>
      <c r="X465" s="2"/>
      <c r="Y465" s="1"/>
      <c r="AF465" s="2"/>
      <c r="AG465" s="1"/>
      <c r="BG465" s="1"/>
      <c r="BS465" s="3"/>
      <c r="CC465" s="1"/>
      <c r="CE465" s="1"/>
      <c r="CF465" s="1"/>
      <c r="CJ465" s="1"/>
      <c r="DF465" s="2"/>
    </row>
    <row r="466" spans="1:110">
      <c r="A466" s="1"/>
      <c r="B466" s="4"/>
      <c r="C466" s="1"/>
      <c r="D466" s="1"/>
      <c r="E466" s="1"/>
      <c r="F466" s="1"/>
      <c r="G466" s="1"/>
      <c r="H466" s="2"/>
      <c r="I466" s="1"/>
      <c r="J466" s="1"/>
      <c r="K466" s="5"/>
      <c r="L466" s="6"/>
      <c r="Q466" s="5"/>
      <c r="R466" s="6"/>
      <c r="X466" s="2"/>
      <c r="Y466" s="1"/>
      <c r="AF466" s="2"/>
      <c r="AG466" s="1"/>
      <c r="BG466" s="1"/>
      <c r="BS466" s="3"/>
      <c r="CC466" s="1"/>
      <c r="CE466" s="1"/>
      <c r="CF466" s="1"/>
      <c r="CJ466" s="1"/>
      <c r="DF466" s="2"/>
    </row>
    <row r="467" spans="1:110">
      <c r="A467" s="1"/>
      <c r="B467" s="4"/>
      <c r="C467" s="1"/>
      <c r="D467" s="1"/>
      <c r="E467" s="1"/>
      <c r="F467" s="1"/>
      <c r="G467" s="1"/>
      <c r="H467" s="2"/>
      <c r="I467" s="1"/>
      <c r="J467" s="1"/>
      <c r="K467" s="5"/>
      <c r="L467" s="6"/>
      <c r="Q467" s="5"/>
      <c r="R467" s="6"/>
      <c r="X467" s="2"/>
      <c r="Y467" s="1"/>
      <c r="AF467" s="2"/>
      <c r="AG467" s="1"/>
      <c r="BG467" s="1"/>
      <c r="BS467" s="3"/>
      <c r="CC467" s="1"/>
      <c r="CE467" s="1"/>
      <c r="CF467" s="1"/>
      <c r="CJ467" s="1"/>
      <c r="DF467" s="2"/>
    </row>
    <row r="468" spans="1:110">
      <c r="A468" s="1"/>
      <c r="B468" s="4"/>
      <c r="C468" s="1"/>
      <c r="D468" s="1"/>
      <c r="E468" s="1"/>
      <c r="F468" s="1"/>
      <c r="G468" s="1"/>
      <c r="H468" s="2"/>
      <c r="I468" s="1"/>
      <c r="J468" s="1"/>
      <c r="K468" s="5"/>
      <c r="L468" s="6"/>
      <c r="Q468" s="5"/>
      <c r="R468" s="6"/>
      <c r="X468" s="2"/>
      <c r="Y468" s="1"/>
      <c r="AF468" s="2"/>
      <c r="AG468" s="1"/>
      <c r="BG468" s="1"/>
      <c r="BS468" s="3"/>
      <c r="CC468" s="1"/>
      <c r="CE468" s="1"/>
      <c r="CF468" s="1"/>
      <c r="CJ468" s="1"/>
      <c r="DF468" s="2"/>
    </row>
    <row r="469" spans="1:110">
      <c r="A469" s="1"/>
      <c r="B469" s="4"/>
      <c r="C469" s="1"/>
      <c r="D469" s="1"/>
      <c r="E469" s="1"/>
      <c r="F469" s="1"/>
      <c r="G469" s="1"/>
      <c r="H469" s="2"/>
      <c r="I469" s="1"/>
      <c r="J469" s="1"/>
      <c r="K469" s="5"/>
      <c r="L469" s="6"/>
      <c r="Q469" s="5"/>
      <c r="R469" s="6"/>
      <c r="X469" s="2"/>
      <c r="Y469" s="1"/>
      <c r="AF469" s="2"/>
      <c r="AG469" s="1"/>
      <c r="BG469" s="1"/>
      <c r="BS469" s="3"/>
      <c r="CC469" s="1"/>
      <c r="CE469" s="1"/>
      <c r="CF469" s="1"/>
      <c r="CJ469" s="1"/>
      <c r="DF469" s="2"/>
    </row>
    <row r="470" spans="1:110">
      <c r="A470" s="1"/>
      <c r="B470" s="4"/>
      <c r="C470" s="1"/>
      <c r="D470" s="1"/>
      <c r="E470" s="1"/>
      <c r="F470" s="1"/>
      <c r="G470" s="1"/>
      <c r="H470" s="2"/>
      <c r="I470" s="1"/>
      <c r="J470" s="1"/>
      <c r="K470" s="5"/>
      <c r="L470" s="6"/>
      <c r="Q470" s="5"/>
      <c r="R470" s="6"/>
      <c r="X470" s="2"/>
      <c r="Y470" s="1"/>
      <c r="AF470" s="2"/>
      <c r="AG470" s="1"/>
      <c r="BG470" s="1"/>
      <c r="BS470" s="3"/>
      <c r="CC470" s="1"/>
      <c r="CE470" s="1"/>
      <c r="CF470" s="1"/>
      <c r="CJ470" s="1"/>
      <c r="DF470" s="2"/>
    </row>
    <row r="471" spans="1:110">
      <c r="A471" s="1"/>
      <c r="B471" s="4"/>
      <c r="C471" s="1"/>
      <c r="D471" s="1"/>
      <c r="E471" s="1"/>
      <c r="F471" s="1"/>
      <c r="G471" s="1"/>
      <c r="H471" s="2"/>
      <c r="I471" s="1"/>
      <c r="J471" s="1"/>
      <c r="K471" s="5"/>
      <c r="L471" s="6"/>
      <c r="Q471" s="5"/>
      <c r="R471" s="6"/>
      <c r="X471" s="2"/>
      <c r="Y471" s="1"/>
      <c r="AF471" s="2"/>
      <c r="AG471" s="1"/>
      <c r="BG471" s="1"/>
      <c r="BS471" s="3"/>
      <c r="CC471" s="1"/>
      <c r="CE471" s="1"/>
      <c r="CF471" s="1"/>
      <c r="CJ471" s="1"/>
      <c r="DF471" s="2"/>
    </row>
    <row r="472" spans="1:110">
      <c r="A472" s="1"/>
      <c r="B472" s="4"/>
      <c r="C472" s="1"/>
      <c r="D472" s="1"/>
      <c r="E472" s="1"/>
      <c r="F472" s="1"/>
      <c r="G472" s="1"/>
      <c r="H472" s="2"/>
      <c r="I472" s="1"/>
      <c r="J472" s="1"/>
      <c r="K472" s="5"/>
      <c r="L472" s="6"/>
      <c r="Q472" s="5"/>
      <c r="R472" s="6"/>
      <c r="X472" s="2"/>
      <c r="Y472" s="1"/>
      <c r="AF472" s="2"/>
      <c r="AG472" s="1"/>
      <c r="BG472" s="1"/>
      <c r="BS472" s="3"/>
      <c r="CC472" s="1"/>
      <c r="CE472" s="1"/>
      <c r="CF472" s="1"/>
      <c r="CJ472" s="1"/>
      <c r="DF472" s="2"/>
    </row>
    <row r="473" spans="1:110">
      <c r="A473" s="1"/>
      <c r="B473" s="4"/>
      <c r="C473" s="1"/>
      <c r="D473" s="1"/>
      <c r="E473" s="1"/>
      <c r="F473" s="1"/>
      <c r="G473" s="1"/>
      <c r="H473" s="2"/>
      <c r="I473" s="1"/>
      <c r="J473" s="1"/>
      <c r="K473" s="5"/>
      <c r="L473" s="6"/>
      <c r="Q473" s="5"/>
      <c r="R473" s="6"/>
      <c r="X473" s="2"/>
      <c r="Y473" s="1"/>
      <c r="AF473" s="2"/>
      <c r="AG473" s="1"/>
      <c r="BG473" s="1"/>
      <c r="BS473" s="3"/>
      <c r="CC473" s="1"/>
      <c r="CE473" s="1"/>
      <c r="CF473" s="1"/>
      <c r="CJ473" s="1"/>
      <c r="DF473" s="2"/>
    </row>
    <row r="474" spans="1:110">
      <c r="A474" s="1"/>
      <c r="B474" s="4"/>
      <c r="C474" s="1"/>
      <c r="D474" s="1"/>
      <c r="E474" s="1"/>
      <c r="F474" s="1"/>
      <c r="G474" s="1"/>
      <c r="H474" s="2"/>
      <c r="I474" s="1"/>
      <c r="J474" s="1"/>
      <c r="K474" s="5"/>
      <c r="L474" s="6"/>
      <c r="Q474" s="5"/>
      <c r="R474" s="6"/>
      <c r="X474" s="2"/>
      <c r="Y474" s="1"/>
      <c r="AF474" s="2"/>
      <c r="AG474" s="1"/>
      <c r="BG474" s="1"/>
      <c r="BS474" s="3"/>
      <c r="CC474" s="1"/>
      <c r="CE474" s="1"/>
      <c r="CF474" s="1"/>
      <c r="CJ474" s="1"/>
      <c r="DF474" s="2"/>
    </row>
    <row r="475" spans="1:110">
      <c r="A475" s="1"/>
      <c r="B475" s="4"/>
      <c r="C475" s="1"/>
      <c r="D475" s="1"/>
      <c r="E475" s="1"/>
      <c r="F475" s="1"/>
      <c r="G475" s="1"/>
      <c r="H475" s="2"/>
      <c r="I475" s="1"/>
      <c r="J475" s="1"/>
      <c r="K475" s="5"/>
      <c r="L475" s="6"/>
      <c r="Q475" s="5"/>
      <c r="R475" s="6"/>
      <c r="X475" s="2"/>
      <c r="Y475" s="1"/>
      <c r="AF475" s="2"/>
      <c r="AG475" s="1"/>
      <c r="BG475" s="1"/>
      <c r="BS475" s="3"/>
      <c r="CC475" s="1"/>
      <c r="CE475" s="1"/>
      <c r="CF475" s="1"/>
      <c r="CJ475" s="1"/>
      <c r="DF475" s="2"/>
    </row>
    <row r="476" spans="1:110">
      <c r="A476" s="1"/>
      <c r="B476" s="4"/>
      <c r="C476" s="1"/>
      <c r="D476" s="1"/>
      <c r="E476" s="1"/>
      <c r="F476" s="1"/>
      <c r="G476" s="1"/>
      <c r="H476" s="2"/>
      <c r="I476" s="1"/>
      <c r="J476" s="1"/>
      <c r="K476" s="5"/>
      <c r="L476" s="6"/>
      <c r="Q476" s="5"/>
      <c r="R476" s="6"/>
      <c r="X476" s="2"/>
      <c r="Y476" s="1"/>
      <c r="AF476" s="2"/>
      <c r="AG476" s="1"/>
      <c r="BG476" s="1"/>
      <c r="BS476" s="3"/>
      <c r="CC476" s="1"/>
      <c r="CE476" s="1"/>
      <c r="CF476" s="1"/>
      <c r="CJ476" s="1"/>
      <c r="DF476" s="2"/>
    </row>
    <row r="477" spans="1:110">
      <c r="A477" s="1"/>
      <c r="B477" s="4"/>
      <c r="C477" s="1"/>
      <c r="D477" s="1"/>
      <c r="E477" s="1"/>
      <c r="F477" s="1"/>
      <c r="G477" s="1"/>
      <c r="H477" s="2"/>
      <c r="I477" s="1"/>
      <c r="J477" s="1"/>
      <c r="K477" s="5"/>
      <c r="L477" s="6"/>
      <c r="Q477" s="5"/>
      <c r="R477" s="6"/>
      <c r="X477" s="2"/>
      <c r="Y477" s="1"/>
      <c r="AF477" s="2"/>
      <c r="AG477" s="1"/>
      <c r="BG477" s="1"/>
      <c r="BS477" s="3"/>
      <c r="CC477" s="1"/>
      <c r="CE477" s="1"/>
      <c r="CF477" s="1"/>
      <c r="CJ477" s="1"/>
      <c r="DF477" s="2"/>
    </row>
    <row r="478" spans="1:110">
      <c r="A478" s="1"/>
      <c r="B478" s="4"/>
      <c r="C478" s="1"/>
      <c r="D478" s="1"/>
      <c r="E478" s="1"/>
      <c r="F478" s="1"/>
      <c r="G478" s="1"/>
      <c r="H478" s="2"/>
      <c r="I478" s="1"/>
      <c r="J478" s="1"/>
      <c r="K478" s="5"/>
      <c r="L478" s="6"/>
      <c r="Q478" s="5"/>
      <c r="R478" s="6"/>
      <c r="X478" s="2"/>
      <c r="Y478" s="1"/>
      <c r="AF478" s="2"/>
      <c r="AG478" s="1"/>
      <c r="BG478" s="1"/>
      <c r="BS478" s="3"/>
      <c r="CC478" s="1"/>
      <c r="CE478" s="1"/>
      <c r="CF478" s="1"/>
      <c r="CJ478" s="1"/>
      <c r="DF478" s="2"/>
    </row>
    <row r="479" spans="1:110">
      <c r="A479" s="1"/>
      <c r="B479" s="4"/>
      <c r="C479" s="1"/>
      <c r="D479" s="1"/>
      <c r="E479" s="1"/>
      <c r="F479" s="1"/>
      <c r="G479" s="1"/>
      <c r="H479" s="2"/>
      <c r="I479" s="1"/>
      <c r="J479" s="1"/>
      <c r="K479" s="5"/>
      <c r="L479" s="6"/>
      <c r="Q479" s="5"/>
      <c r="R479" s="6"/>
      <c r="X479" s="2"/>
      <c r="Y479" s="1"/>
      <c r="AF479" s="2"/>
      <c r="AG479" s="1"/>
      <c r="BG479" s="1"/>
      <c r="BS479" s="3"/>
      <c r="CC479" s="1"/>
      <c r="CE479" s="1"/>
      <c r="CF479" s="1"/>
      <c r="CJ479" s="1"/>
      <c r="DF479" s="2"/>
    </row>
    <row r="480" spans="1:110">
      <c r="A480" s="1"/>
      <c r="B480" s="4"/>
      <c r="C480" s="1"/>
      <c r="D480" s="1"/>
      <c r="E480" s="1"/>
      <c r="F480" s="1"/>
      <c r="G480" s="1"/>
      <c r="H480" s="2"/>
      <c r="I480" s="1"/>
      <c r="J480" s="1"/>
      <c r="K480" s="5"/>
      <c r="L480" s="6"/>
      <c r="Q480" s="5"/>
      <c r="R480" s="6"/>
      <c r="X480" s="2"/>
      <c r="Y480" s="1"/>
      <c r="AF480" s="2"/>
      <c r="AG480" s="1"/>
      <c r="BG480" s="1"/>
      <c r="BS480" s="3"/>
      <c r="CC480" s="1"/>
      <c r="CE480" s="1"/>
      <c r="CF480" s="1"/>
      <c r="CJ480" s="1"/>
      <c r="DF480" s="2"/>
    </row>
    <row r="481" spans="1:110">
      <c r="A481" s="1"/>
      <c r="B481" s="4"/>
      <c r="C481" s="1"/>
      <c r="D481" s="1"/>
      <c r="E481" s="1"/>
      <c r="F481" s="1"/>
      <c r="G481" s="1"/>
      <c r="H481" s="2"/>
      <c r="I481" s="1"/>
      <c r="J481" s="1"/>
      <c r="K481" s="5"/>
      <c r="L481" s="6"/>
      <c r="Q481" s="5"/>
      <c r="R481" s="6"/>
      <c r="X481" s="2"/>
      <c r="Y481" s="1"/>
      <c r="AF481" s="2"/>
      <c r="AG481" s="1"/>
      <c r="BG481" s="1"/>
      <c r="BS481" s="3"/>
      <c r="CC481" s="1"/>
      <c r="CE481" s="1"/>
      <c r="CF481" s="1"/>
      <c r="CJ481" s="1"/>
      <c r="DF481" s="2"/>
    </row>
    <row r="482" spans="1:110">
      <c r="A482" s="1"/>
      <c r="B482" s="4"/>
      <c r="C482" s="1"/>
      <c r="D482" s="1"/>
      <c r="E482" s="1"/>
      <c r="F482" s="1"/>
      <c r="G482" s="1"/>
      <c r="H482" s="2"/>
      <c r="I482" s="1"/>
      <c r="J482" s="1"/>
      <c r="K482" s="5"/>
      <c r="L482" s="6"/>
      <c r="Q482" s="5"/>
      <c r="R482" s="6"/>
      <c r="X482" s="2"/>
      <c r="Y482" s="1"/>
      <c r="AF482" s="2"/>
      <c r="AG482" s="1"/>
      <c r="BG482" s="1"/>
      <c r="BS482" s="3"/>
      <c r="CC482" s="1"/>
      <c r="CE482" s="1"/>
      <c r="CF482" s="1"/>
      <c r="CJ482" s="1"/>
      <c r="DF482" s="2"/>
    </row>
    <row r="483" spans="1:110">
      <c r="A483" s="1"/>
      <c r="B483" s="4"/>
      <c r="C483" s="1"/>
      <c r="D483" s="1"/>
      <c r="E483" s="1"/>
      <c r="F483" s="1"/>
      <c r="G483" s="1"/>
      <c r="H483" s="2"/>
      <c r="I483" s="1"/>
      <c r="J483" s="1"/>
      <c r="K483" s="5"/>
      <c r="L483" s="6"/>
      <c r="Q483" s="5"/>
      <c r="R483" s="6"/>
      <c r="X483" s="2"/>
      <c r="Y483" s="1"/>
      <c r="AF483" s="2"/>
      <c r="AG483" s="1"/>
      <c r="BG483" s="1"/>
      <c r="BS483" s="3"/>
      <c r="CC483" s="1"/>
      <c r="CE483" s="1"/>
      <c r="CF483" s="1"/>
      <c r="CJ483" s="1"/>
      <c r="DF483" s="2"/>
    </row>
    <row r="484" spans="1:110">
      <c r="A484" s="1"/>
      <c r="B484" s="4"/>
      <c r="C484" s="1"/>
      <c r="D484" s="1"/>
      <c r="E484" s="1"/>
      <c r="F484" s="1"/>
      <c r="G484" s="1"/>
      <c r="H484" s="2"/>
      <c r="I484" s="1"/>
      <c r="J484" s="1"/>
      <c r="K484" s="5"/>
      <c r="L484" s="6"/>
      <c r="Q484" s="5"/>
      <c r="R484" s="6"/>
      <c r="X484" s="2"/>
      <c r="Y484" s="1"/>
      <c r="AF484" s="2"/>
      <c r="AG484" s="1"/>
      <c r="BG484" s="1"/>
      <c r="BS484" s="3"/>
      <c r="CC484" s="1"/>
      <c r="CE484" s="1"/>
      <c r="CF484" s="1"/>
      <c r="CJ484" s="1"/>
      <c r="DF484" s="2"/>
    </row>
    <row r="485" spans="1:110">
      <c r="A485" s="1"/>
      <c r="B485" s="4"/>
      <c r="C485" s="1"/>
      <c r="D485" s="1"/>
      <c r="E485" s="1"/>
      <c r="F485" s="1"/>
      <c r="G485" s="1"/>
      <c r="H485" s="2"/>
      <c r="I485" s="1"/>
      <c r="J485" s="1"/>
      <c r="K485" s="5"/>
      <c r="L485" s="6"/>
      <c r="Q485" s="5"/>
      <c r="R485" s="6"/>
      <c r="X485" s="2"/>
      <c r="Y485" s="1"/>
      <c r="AF485" s="2"/>
      <c r="AG485" s="1"/>
      <c r="BG485" s="1"/>
      <c r="BS485" s="3"/>
      <c r="CC485" s="1"/>
      <c r="CE485" s="1"/>
      <c r="CF485" s="1"/>
      <c r="CJ485" s="1"/>
      <c r="DF485" s="2"/>
    </row>
    <row r="486" spans="1:110">
      <c r="A486" s="1"/>
      <c r="B486" s="4"/>
      <c r="C486" s="1"/>
      <c r="D486" s="1"/>
      <c r="E486" s="1"/>
      <c r="F486" s="1"/>
      <c r="G486" s="1"/>
      <c r="H486" s="2"/>
      <c r="I486" s="1"/>
      <c r="J486" s="1"/>
      <c r="K486" s="5"/>
      <c r="L486" s="6"/>
      <c r="Q486" s="5"/>
      <c r="R486" s="6"/>
      <c r="X486" s="2"/>
      <c r="Y486" s="1"/>
      <c r="AF486" s="2"/>
      <c r="AG486" s="1"/>
      <c r="BG486" s="1"/>
      <c r="BS486" s="3"/>
      <c r="CC486" s="1"/>
      <c r="CE486" s="1"/>
      <c r="CF486" s="1"/>
      <c r="CJ486" s="1"/>
      <c r="DF486" s="2"/>
    </row>
    <row r="487" spans="1:110">
      <c r="A487" s="1"/>
      <c r="B487" s="4"/>
      <c r="C487" s="1"/>
      <c r="D487" s="1"/>
      <c r="E487" s="1"/>
      <c r="F487" s="1"/>
      <c r="G487" s="1"/>
      <c r="H487" s="2"/>
      <c r="I487" s="1"/>
      <c r="J487" s="1"/>
      <c r="K487" s="5"/>
      <c r="L487" s="6"/>
      <c r="Q487" s="5"/>
      <c r="R487" s="6"/>
      <c r="X487" s="2"/>
      <c r="Y487" s="1"/>
      <c r="AF487" s="2"/>
      <c r="AG487" s="1"/>
      <c r="BG487" s="1"/>
      <c r="BS487" s="3"/>
      <c r="CC487" s="1"/>
      <c r="CE487" s="1"/>
      <c r="CF487" s="1"/>
      <c r="CJ487" s="1"/>
      <c r="DF487" s="2"/>
    </row>
    <row r="488" spans="1:110">
      <c r="A488" s="1"/>
      <c r="B488" s="4"/>
      <c r="C488" s="1"/>
      <c r="D488" s="1"/>
      <c r="E488" s="1"/>
      <c r="F488" s="1"/>
      <c r="G488" s="1"/>
      <c r="H488" s="2"/>
      <c r="I488" s="1"/>
      <c r="J488" s="1"/>
      <c r="K488" s="5"/>
      <c r="L488" s="6"/>
      <c r="Q488" s="5"/>
      <c r="R488" s="6"/>
      <c r="X488" s="2"/>
      <c r="Y488" s="1"/>
      <c r="AF488" s="2"/>
      <c r="AG488" s="1"/>
      <c r="BG488" s="1"/>
      <c r="BS488" s="3"/>
      <c r="CC488" s="1"/>
      <c r="CE488" s="1"/>
      <c r="CF488" s="1"/>
      <c r="CJ488" s="1"/>
      <c r="DF488" s="2"/>
    </row>
    <row r="489" spans="1:110">
      <c r="A489" s="1"/>
      <c r="B489" s="4"/>
      <c r="C489" s="1"/>
      <c r="D489" s="1"/>
      <c r="E489" s="1"/>
      <c r="F489" s="1"/>
      <c r="G489" s="1"/>
      <c r="H489" s="2"/>
      <c r="I489" s="1"/>
      <c r="J489" s="1"/>
      <c r="K489" s="5"/>
      <c r="L489" s="6"/>
      <c r="Q489" s="5"/>
      <c r="R489" s="6"/>
      <c r="X489" s="2"/>
      <c r="Y489" s="1"/>
      <c r="AF489" s="2"/>
      <c r="AG489" s="1"/>
      <c r="BG489" s="1"/>
      <c r="BS489" s="3"/>
      <c r="CC489" s="1"/>
      <c r="CE489" s="1"/>
      <c r="CF489" s="1"/>
      <c r="CJ489" s="1"/>
      <c r="DF489" s="2"/>
    </row>
    <row r="490" spans="1:110">
      <c r="A490" s="1"/>
      <c r="B490" s="4"/>
      <c r="C490" s="1"/>
      <c r="D490" s="1"/>
      <c r="E490" s="1"/>
      <c r="F490" s="1"/>
      <c r="G490" s="1"/>
      <c r="H490" s="2"/>
      <c r="I490" s="1"/>
      <c r="J490" s="1"/>
      <c r="K490" s="5"/>
      <c r="L490" s="6"/>
      <c r="Q490" s="5"/>
      <c r="R490" s="6"/>
      <c r="X490" s="2"/>
      <c r="Y490" s="1"/>
      <c r="AF490" s="2"/>
      <c r="AG490" s="1"/>
      <c r="BG490" s="1"/>
      <c r="BS490" s="3"/>
      <c r="CC490" s="1"/>
      <c r="CE490" s="1"/>
      <c r="CF490" s="1"/>
      <c r="CJ490" s="1"/>
      <c r="DF490" s="2"/>
    </row>
    <row r="491" spans="1:110">
      <c r="A491" s="1"/>
      <c r="B491" s="4"/>
      <c r="C491" s="1"/>
      <c r="D491" s="1"/>
      <c r="E491" s="1"/>
      <c r="F491" s="1"/>
      <c r="G491" s="1"/>
      <c r="H491" s="2"/>
      <c r="I491" s="1"/>
      <c r="J491" s="1"/>
      <c r="K491" s="5"/>
      <c r="L491" s="6"/>
      <c r="Q491" s="5"/>
      <c r="R491" s="6"/>
      <c r="X491" s="2"/>
      <c r="Y491" s="1"/>
      <c r="AF491" s="2"/>
      <c r="AG491" s="1"/>
      <c r="BG491" s="1"/>
      <c r="BS491" s="3"/>
      <c r="CC491" s="1"/>
      <c r="CE491" s="1"/>
      <c r="CF491" s="1"/>
      <c r="CJ491" s="1"/>
      <c r="DF491" s="2"/>
    </row>
    <row r="492" spans="1:110">
      <c r="A492" s="1"/>
      <c r="B492" s="4"/>
      <c r="C492" s="1"/>
      <c r="D492" s="1"/>
      <c r="E492" s="1"/>
      <c r="F492" s="1"/>
      <c r="G492" s="1"/>
      <c r="H492" s="2"/>
      <c r="I492" s="1"/>
      <c r="J492" s="1"/>
      <c r="K492" s="5"/>
      <c r="L492" s="6"/>
      <c r="Q492" s="5"/>
      <c r="R492" s="6"/>
      <c r="X492" s="2"/>
      <c r="Y492" s="1"/>
      <c r="AF492" s="2"/>
      <c r="AG492" s="1"/>
      <c r="BG492" s="1"/>
      <c r="BS492" s="3"/>
      <c r="CC492" s="1"/>
      <c r="CE492" s="1"/>
      <c r="CF492" s="1"/>
      <c r="CJ492" s="1"/>
      <c r="DF492" s="2"/>
    </row>
    <row r="493" spans="1:110">
      <c r="A493" s="1"/>
      <c r="B493" s="4"/>
      <c r="C493" s="1"/>
      <c r="D493" s="1"/>
      <c r="E493" s="1"/>
      <c r="F493" s="1"/>
      <c r="G493" s="1"/>
      <c r="H493" s="2"/>
      <c r="I493" s="1"/>
      <c r="J493" s="1"/>
      <c r="K493" s="5"/>
      <c r="L493" s="6"/>
      <c r="Q493" s="5"/>
      <c r="R493" s="6"/>
      <c r="X493" s="2"/>
      <c r="Y493" s="1"/>
      <c r="AF493" s="2"/>
      <c r="AG493" s="1"/>
      <c r="BG493" s="1"/>
      <c r="BS493" s="3"/>
      <c r="CC493" s="1"/>
      <c r="CE493" s="1"/>
      <c r="CF493" s="1"/>
      <c r="CJ493" s="1"/>
      <c r="DF493" s="2"/>
    </row>
    <row r="494" spans="1:110">
      <c r="A494" s="1"/>
      <c r="B494" s="4"/>
      <c r="C494" s="1"/>
      <c r="D494" s="1"/>
      <c r="E494" s="1"/>
      <c r="F494" s="1"/>
      <c r="G494" s="1"/>
      <c r="H494" s="2"/>
      <c r="I494" s="1"/>
      <c r="J494" s="1"/>
      <c r="K494" s="5"/>
      <c r="L494" s="6"/>
      <c r="Q494" s="5"/>
      <c r="R494" s="6"/>
      <c r="X494" s="2"/>
      <c r="Y494" s="1"/>
      <c r="AF494" s="2"/>
      <c r="AG494" s="1"/>
      <c r="BG494" s="1"/>
      <c r="BS494" s="3"/>
      <c r="CC494" s="1"/>
      <c r="CE494" s="1"/>
      <c r="CF494" s="1"/>
      <c r="CJ494" s="1"/>
      <c r="DF494" s="2"/>
    </row>
    <row r="495" spans="1:110">
      <c r="A495" s="1"/>
      <c r="B495" s="4"/>
      <c r="C495" s="1"/>
      <c r="D495" s="1"/>
      <c r="E495" s="1"/>
      <c r="F495" s="1"/>
      <c r="G495" s="1"/>
      <c r="H495" s="2"/>
      <c r="I495" s="1"/>
      <c r="J495" s="1"/>
      <c r="K495" s="5"/>
      <c r="L495" s="6"/>
      <c r="Q495" s="5"/>
      <c r="R495" s="6"/>
      <c r="X495" s="2"/>
      <c r="Y495" s="1"/>
      <c r="AF495" s="2"/>
      <c r="AG495" s="1"/>
      <c r="BG495" s="1"/>
      <c r="BS495" s="3"/>
      <c r="CC495" s="1"/>
      <c r="CE495" s="1"/>
      <c r="CF495" s="1"/>
      <c r="CJ495" s="1"/>
      <c r="DF495" s="2"/>
    </row>
    <row r="496" spans="1:110">
      <c r="A496" s="1"/>
      <c r="B496" s="4"/>
      <c r="C496" s="1"/>
      <c r="D496" s="1"/>
      <c r="E496" s="1"/>
      <c r="F496" s="1"/>
      <c r="G496" s="1"/>
      <c r="H496" s="2"/>
      <c r="I496" s="1"/>
      <c r="J496" s="1"/>
      <c r="K496" s="5"/>
      <c r="L496" s="6"/>
      <c r="Q496" s="5"/>
      <c r="R496" s="6"/>
      <c r="X496" s="2"/>
      <c r="Y496" s="1"/>
      <c r="AF496" s="2"/>
      <c r="AG496" s="1"/>
      <c r="BG496" s="1"/>
      <c r="BS496" s="3"/>
      <c r="CC496" s="1"/>
      <c r="CE496" s="1"/>
      <c r="CF496" s="1"/>
      <c r="CJ496" s="1"/>
      <c r="DF496" s="2"/>
    </row>
    <row r="497" spans="1:110">
      <c r="A497" s="1"/>
      <c r="B497" s="4"/>
      <c r="C497" s="1"/>
      <c r="D497" s="1"/>
      <c r="E497" s="1"/>
      <c r="F497" s="1"/>
      <c r="G497" s="1"/>
      <c r="H497" s="2"/>
      <c r="I497" s="1"/>
      <c r="J497" s="1"/>
      <c r="K497" s="5"/>
      <c r="L497" s="6"/>
      <c r="Q497" s="5"/>
      <c r="R497" s="6"/>
      <c r="X497" s="2"/>
      <c r="Y497" s="1"/>
      <c r="AF497" s="2"/>
      <c r="AG497" s="1"/>
      <c r="BG497" s="1"/>
      <c r="BS497" s="3"/>
      <c r="CC497" s="1"/>
      <c r="CE497" s="1"/>
      <c r="CF497" s="1"/>
      <c r="CJ497" s="1"/>
      <c r="DF497" s="2"/>
    </row>
    <row r="498" spans="1:110">
      <c r="A498" s="1"/>
      <c r="B498" s="4"/>
      <c r="C498" s="1"/>
      <c r="D498" s="1"/>
      <c r="E498" s="1"/>
      <c r="F498" s="1"/>
      <c r="G498" s="1"/>
      <c r="H498" s="2"/>
      <c r="I498" s="1"/>
      <c r="J498" s="1"/>
      <c r="K498" s="5"/>
      <c r="L498" s="6"/>
      <c r="Q498" s="5"/>
      <c r="R498" s="6"/>
      <c r="X498" s="2"/>
      <c r="Y498" s="1"/>
      <c r="AF498" s="2"/>
      <c r="AG498" s="1"/>
      <c r="BG498" s="1"/>
      <c r="BS498" s="3"/>
      <c r="CC498" s="1"/>
      <c r="CE498" s="1"/>
      <c r="CF498" s="1"/>
      <c r="CJ498" s="1"/>
      <c r="DF498" s="2"/>
    </row>
    <row r="499" spans="1:110">
      <c r="A499" s="1"/>
      <c r="B499" s="4"/>
      <c r="C499" s="1"/>
      <c r="D499" s="1"/>
      <c r="E499" s="1"/>
      <c r="F499" s="1"/>
      <c r="G499" s="1"/>
      <c r="H499" s="2"/>
      <c r="I499" s="1"/>
      <c r="J499" s="1"/>
      <c r="K499" s="5"/>
      <c r="L499" s="6"/>
      <c r="Q499" s="5"/>
      <c r="R499" s="6"/>
      <c r="X499" s="2"/>
      <c r="Y499" s="1"/>
      <c r="AF499" s="2"/>
      <c r="AG499" s="1"/>
      <c r="BG499" s="1"/>
      <c r="BS499" s="3"/>
      <c r="CC499" s="1"/>
      <c r="CE499" s="1"/>
      <c r="CF499" s="1"/>
      <c r="CJ499" s="1"/>
      <c r="DF499" s="2"/>
    </row>
    <row r="500" spans="1:110">
      <c r="A500" s="1"/>
      <c r="B500" s="4"/>
      <c r="C500" s="1"/>
      <c r="D500" s="1"/>
      <c r="E500" s="1"/>
      <c r="F500" s="1"/>
      <c r="G500" s="1"/>
      <c r="H500" s="2"/>
      <c r="I500" s="1"/>
      <c r="J500" s="1"/>
      <c r="K500" s="5"/>
      <c r="L500" s="6"/>
      <c r="Q500" s="5"/>
      <c r="R500" s="6"/>
      <c r="X500" s="2"/>
      <c r="Y500" s="1"/>
      <c r="AF500" s="2"/>
      <c r="AG500" s="1"/>
      <c r="BG500" s="1"/>
      <c r="BS500" s="3"/>
      <c r="CC500" s="1"/>
      <c r="CE500" s="1"/>
      <c r="CF500" s="1"/>
      <c r="CJ500" s="1"/>
      <c r="DF500" s="2"/>
    </row>
    <row r="501" spans="1:110">
      <c r="A501" s="1"/>
      <c r="B501" s="4"/>
      <c r="C501" s="1"/>
      <c r="D501" s="1"/>
      <c r="E501" s="1"/>
      <c r="F501" s="1"/>
      <c r="G501" s="1"/>
      <c r="H501" s="2"/>
      <c r="I501" s="1"/>
      <c r="J501" s="1"/>
      <c r="K501" s="5"/>
      <c r="L501" s="6"/>
      <c r="Q501" s="5"/>
      <c r="R501" s="6"/>
      <c r="X501" s="2"/>
      <c r="Y501" s="1"/>
      <c r="AF501" s="2"/>
      <c r="AG501" s="1"/>
      <c r="BG501" s="1"/>
      <c r="BS501" s="3"/>
      <c r="CC501" s="1"/>
      <c r="CE501" s="1"/>
      <c r="CF501" s="1"/>
      <c r="CJ501" s="1"/>
      <c r="DF501" s="2"/>
    </row>
    <row r="502" spans="1:110">
      <c r="A502" s="1"/>
      <c r="B502" s="4"/>
      <c r="C502" s="1"/>
      <c r="D502" s="1"/>
      <c r="E502" s="1"/>
      <c r="F502" s="1"/>
      <c r="G502" s="1"/>
      <c r="H502" s="2"/>
      <c r="I502" s="1"/>
      <c r="J502" s="1"/>
      <c r="K502" s="5"/>
      <c r="L502" s="6"/>
      <c r="Q502" s="5"/>
      <c r="R502" s="6"/>
      <c r="X502" s="2"/>
      <c r="Y502" s="1"/>
      <c r="AF502" s="2"/>
      <c r="AG502" s="1"/>
      <c r="BG502" s="1"/>
      <c r="BS502" s="3"/>
      <c r="CC502" s="1"/>
      <c r="CE502" s="1"/>
      <c r="CF502" s="1"/>
      <c r="CJ502" s="1"/>
      <c r="DF502" s="2"/>
    </row>
    <row r="503" spans="1:110">
      <c r="A503" s="1"/>
      <c r="B503" s="4"/>
      <c r="C503" s="1"/>
      <c r="D503" s="1"/>
      <c r="E503" s="1"/>
      <c r="F503" s="1"/>
      <c r="G503" s="1"/>
      <c r="H503" s="2"/>
      <c r="I503" s="1"/>
      <c r="J503" s="1"/>
      <c r="K503" s="5"/>
      <c r="L503" s="6"/>
      <c r="Q503" s="5"/>
      <c r="R503" s="6"/>
      <c r="X503" s="2"/>
      <c r="Y503" s="1"/>
      <c r="AF503" s="2"/>
      <c r="AG503" s="1"/>
      <c r="BG503" s="1"/>
      <c r="BS503" s="3"/>
      <c r="CC503" s="1"/>
      <c r="CE503" s="1"/>
      <c r="CF503" s="1"/>
      <c r="CJ503" s="1"/>
      <c r="DF503" s="2"/>
    </row>
    <row r="504" spans="1:110">
      <c r="A504" s="1"/>
      <c r="B504" s="4"/>
      <c r="C504" s="1"/>
      <c r="D504" s="1"/>
      <c r="E504" s="1"/>
      <c r="F504" s="1"/>
      <c r="G504" s="1"/>
      <c r="H504" s="2"/>
      <c r="I504" s="1"/>
      <c r="J504" s="1"/>
      <c r="K504" s="5"/>
      <c r="L504" s="6"/>
      <c r="Q504" s="5"/>
      <c r="R504" s="6"/>
      <c r="X504" s="2"/>
      <c r="Y504" s="1"/>
      <c r="AF504" s="2"/>
      <c r="AG504" s="1"/>
      <c r="BG504" s="1"/>
      <c r="BS504" s="3"/>
      <c r="CC504" s="1"/>
      <c r="CE504" s="1"/>
      <c r="CF504" s="1"/>
      <c r="CJ504" s="1"/>
      <c r="DF504" s="2"/>
    </row>
    <row r="505" spans="1:110">
      <c r="A505" s="1"/>
      <c r="B505" s="4"/>
      <c r="C505" s="1"/>
      <c r="D505" s="1"/>
      <c r="E505" s="1"/>
      <c r="F505" s="1"/>
      <c r="G505" s="1"/>
      <c r="H505" s="2"/>
      <c r="I505" s="1"/>
      <c r="J505" s="1"/>
      <c r="K505" s="5"/>
      <c r="L505" s="6"/>
      <c r="Q505" s="5"/>
      <c r="R505" s="6"/>
      <c r="X505" s="2"/>
      <c r="Y505" s="1"/>
      <c r="AF505" s="2"/>
      <c r="AG505" s="1"/>
      <c r="BG505" s="1"/>
      <c r="BS505" s="3"/>
      <c r="CC505" s="1"/>
      <c r="CE505" s="1"/>
      <c r="CF505" s="1"/>
      <c r="CJ505" s="1"/>
      <c r="DF505" s="2"/>
    </row>
    <row r="506" spans="1:110">
      <c r="A506" s="1"/>
      <c r="B506" s="4"/>
      <c r="C506" s="1"/>
      <c r="D506" s="1"/>
      <c r="E506" s="1"/>
      <c r="F506" s="1"/>
      <c r="G506" s="1"/>
      <c r="H506" s="2"/>
      <c r="I506" s="1"/>
      <c r="J506" s="1"/>
      <c r="K506" s="5"/>
      <c r="L506" s="6"/>
      <c r="Q506" s="5"/>
      <c r="R506" s="6"/>
      <c r="X506" s="2"/>
      <c r="Y506" s="1"/>
      <c r="AF506" s="2"/>
      <c r="AG506" s="1"/>
      <c r="BG506" s="1"/>
      <c r="BS506" s="3"/>
      <c r="CC506" s="1"/>
      <c r="CE506" s="1"/>
      <c r="CF506" s="1"/>
      <c r="CJ506" s="1"/>
      <c r="DF506" s="2"/>
    </row>
    <row r="507" spans="1:110">
      <c r="A507" s="1"/>
      <c r="B507" s="4"/>
      <c r="C507" s="1"/>
      <c r="D507" s="1"/>
      <c r="E507" s="1"/>
      <c r="F507" s="1"/>
      <c r="G507" s="1"/>
      <c r="H507" s="2"/>
      <c r="I507" s="1"/>
      <c r="J507" s="1"/>
      <c r="K507" s="5"/>
      <c r="L507" s="6"/>
      <c r="Q507" s="5"/>
      <c r="R507" s="6"/>
      <c r="X507" s="2"/>
      <c r="Y507" s="1"/>
      <c r="AF507" s="2"/>
      <c r="AG507" s="1"/>
      <c r="BG507" s="1"/>
      <c r="BS507" s="3"/>
      <c r="CC507" s="1"/>
      <c r="CE507" s="1"/>
      <c r="CF507" s="1"/>
      <c r="CJ507" s="1"/>
      <c r="DF507" s="2"/>
    </row>
    <row r="508" spans="1:110">
      <c r="A508" s="1"/>
      <c r="B508" s="4"/>
      <c r="C508" s="1"/>
      <c r="D508" s="1"/>
      <c r="E508" s="1"/>
      <c r="F508" s="1"/>
      <c r="G508" s="1"/>
      <c r="H508" s="2"/>
      <c r="I508" s="1"/>
      <c r="J508" s="1"/>
      <c r="K508" s="5"/>
      <c r="L508" s="6"/>
      <c r="Q508" s="5"/>
      <c r="R508" s="6"/>
      <c r="X508" s="2"/>
      <c r="Y508" s="1"/>
      <c r="AF508" s="2"/>
      <c r="AG508" s="1"/>
      <c r="BG508" s="1"/>
      <c r="BS508" s="3"/>
      <c r="CC508" s="1"/>
      <c r="CE508" s="1"/>
      <c r="CF508" s="1"/>
      <c r="CJ508" s="1"/>
      <c r="DF508" s="2"/>
    </row>
    <row r="509" spans="1:110">
      <c r="A509" s="1"/>
      <c r="B509" s="4"/>
      <c r="C509" s="1"/>
      <c r="D509" s="1"/>
      <c r="E509" s="1"/>
      <c r="F509" s="1"/>
      <c r="G509" s="1"/>
      <c r="H509" s="2"/>
      <c r="I509" s="1"/>
      <c r="J509" s="1"/>
      <c r="K509" s="5"/>
      <c r="L509" s="6"/>
      <c r="Q509" s="5"/>
      <c r="R509" s="6"/>
      <c r="X509" s="2"/>
      <c r="Y509" s="1"/>
      <c r="AF509" s="2"/>
      <c r="AG509" s="1"/>
      <c r="BG509" s="1"/>
      <c r="BS509" s="3"/>
      <c r="CC509" s="1"/>
      <c r="CE509" s="1"/>
      <c r="CF509" s="1"/>
      <c r="CJ509" s="1"/>
      <c r="DF509" s="2"/>
    </row>
    <row r="510" spans="1:110">
      <c r="A510" s="1"/>
      <c r="B510" s="4"/>
      <c r="C510" s="1"/>
      <c r="D510" s="1"/>
      <c r="E510" s="1"/>
      <c r="F510" s="1"/>
      <c r="G510" s="1"/>
      <c r="H510" s="2"/>
      <c r="I510" s="1"/>
      <c r="J510" s="1"/>
      <c r="K510" s="5"/>
      <c r="L510" s="6"/>
      <c r="Q510" s="5"/>
      <c r="R510" s="6"/>
      <c r="X510" s="2"/>
      <c r="Y510" s="1"/>
      <c r="AF510" s="2"/>
      <c r="AG510" s="1"/>
      <c r="BG510" s="1"/>
      <c r="BS510" s="3"/>
      <c r="CC510" s="1"/>
      <c r="CE510" s="1"/>
      <c r="CF510" s="1"/>
      <c r="CJ510" s="1"/>
      <c r="DF510" s="2"/>
    </row>
    <row r="511" spans="1:110">
      <c r="A511" s="1"/>
      <c r="B511" s="4"/>
      <c r="C511" s="1"/>
      <c r="D511" s="1"/>
      <c r="E511" s="1"/>
      <c r="F511" s="1"/>
      <c r="G511" s="1"/>
      <c r="H511" s="2"/>
      <c r="I511" s="1"/>
      <c r="J511" s="1"/>
      <c r="K511" s="5"/>
      <c r="L511" s="6"/>
      <c r="Q511" s="5"/>
      <c r="R511" s="6"/>
      <c r="X511" s="2"/>
      <c r="Y511" s="1"/>
      <c r="AF511" s="2"/>
      <c r="AG511" s="1"/>
      <c r="BG511" s="1"/>
      <c r="BS511" s="3"/>
      <c r="CC511" s="1"/>
      <c r="CE511" s="1"/>
      <c r="CF511" s="1"/>
      <c r="CJ511" s="1"/>
      <c r="DF511" s="2"/>
    </row>
    <row r="512" spans="1:110">
      <c r="A512" s="1"/>
      <c r="B512" s="4"/>
      <c r="C512" s="1"/>
      <c r="D512" s="1"/>
      <c r="E512" s="1"/>
      <c r="F512" s="1"/>
      <c r="G512" s="1"/>
      <c r="H512" s="2"/>
      <c r="I512" s="1"/>
      <c r="J512" s="1"/>
      <c r="K512" s="5"/>
      <c r="L512" s="6"/>
      <c r="Q512" s="5"/>
      <c r="R512" s="6"/>
      <c r="X512" s="2"/>
      <c r="Y512" s="1"/>
      <c r="AF512" s="2"/>
      <c r="AG512" s="1"/>
      <c r="BG512" s="1"/>
      <c r="BS512" s="3"/>
      <c r="CC512" s="1"/>
      <c r="CE512" s="1"/>
      <c r="CF512" s="1"/>
      <c r="CJ512" s="1"/>
      <c r="DF512" s="2"/>
    </row>
    <row r="513" spans="1:110">
      <c r="A513" s="1"/>
      <c r="B513" s="4"/>
      <c r="C513" s="1"/>
      <c r="D513" s="1"/>
      <c r="E513" s="1"/>
      <c r="F513" s="1"/>
      <c r="G513" s="1"/>
      <c r="H513" s="2"/>
      <c r="I513" s="1"/>
      <c r="J513" s="1"/>
      <c r="K513" s="5"/>
      <c r="L513" s="6"/>
      <c r="Q513" s="5"/>
      <c r="R513" s="6"/>
      <c r="X513" s="2"/>
      <c r="Y513" s="1"/>
      <c r="AF513" s="2"/>
      <c r="AG513" s="1"/>
      <c r="BG513" s="1"/>
      <c r="BS513" s="3"/>
      <c r="CC513" s="1"/>
      <c r="CE513" s="1"/>
      <c r="CF513" s="1"/>
      <c r="CJ513" s="1"/>
      <c r="DF513" s="2"/>
    </row>
    <row r="514" spans="1:110">
      <c r="A514" s="1"/>
      <c r="B514" s="4"/>
      <c r="C514" s="1"/>
      <c r="D514" s="1"/>
      <c r="E514" s="1"/>
      <c r="F514" s="1"/>
      <c r="G514" s="1"/>
      <c r="H514" s="2"/>
      <c r="I514" s="1"/>
      <c r="J514" s="1"/>
      <c r="K514" s="5"/>
      <c r="L514" s="6"/>
      <c r="Q514" s="5"/>
      <c r="R514" s="6"/>
      <c r="X514" s="2"/>
      <c r="Y514" s="1"/>
      <c r="AF514" s="2"/>
      <c r="AG514" s="1"/>
      <c r="BG514" s="1"/>
      <c r="BS514" s="3"/>
      <c r="CC514" s="1"/>
      <c r="CE514" s="1"/>
      <c r="CF514" s="1"/>
      <c r="CJ514" s="1"/>
      <c r="DF514" s="2"/>
    </row>
    <row r="515" spans="1:110">
      <c r="A515" s="1"/>
      <c r="B515" s="4"/>
      <c r="C515" s="1"/>
      <c r="D515" s="1"/>
      <c r="E515" s="1"/>
      <c r="F515" s="1"/>
      <c r="G515" s="1"/>
      <c r="H515" s="2"/>
      <c r="I515" s="1"/>
      <c r="J515" s="1"/>
      <c r="K515" s="5"/>
      <c r="L515" s="6"/>
      <c r="Q515" s="5"/>
      <c r="R515" s="6"/>
      <c r="X515" s="2"/>
      <c r="Y515" s="1"/>
      <c r="AF515" s="2"/>
      <c r="AG515" s="1"/>
      <c r="BG515" s="1"/>
      <c r="BS515" s="3"/>
      <c r="CC515" s="1"/>
      <c r="CE515" s="1"/>
      <c r="CF515" s="1"/>
      <c r="CJ515" s="1"/>
      <c r="DF515" s="2"/>
    </row>
    <row r="516" spans="1:110">
      <c r="A516" s="1"/>
      <c r="B516" s="4"/>
      <c r="C516" s="1"/>
      <c r="D516" s="1"/>
      <c r="E516" s="1"/>
      <c r="F516" s="1"/>
      <c r="G516" s="1"/>
      <c r="H516" s="2"/>
      <c r="I516" s="1"/>
      <c r="J516" s="1"/>
      <c r="K516" s="5"/>
      <c r="L516" s="6"/>
      <c r="Q516" s="5"/>
      <c r="R516" s="6"/>
      <c r="X516" s="2"/>
      <c r="Y516" s="1"/>
      <c r="AF516" s="2"/>
      <c r="AG516" s="1"/>
      <c r="BG516" s="1"/>
      <c r="BS516" s="3"/>
      <c r="CC516" s="1"/>
      <c r="CE516" s="1"/>
      <c r="CF516" s="1"/>
      <c r="CJ516" s="1"/>
      <c r="DF516" s="2"/>
    </row>
    <row r="517" spans="1:110">
      <c r="A517" s="1"/>
      <c r="B517" s="4"/>
      <c r="C517" s="1"/>
      <c r="D517" s="1"/>
      <c r="E517" s="1"/>
      <c r="F517" s="1"/>
      <c r="G517" s="1"/>
      <c r="H517" s="2"/>
      <c r="I517" s="1"/>
      <c r="J517" s="1"/>
      <c r="K517" s="5"/>
      <c r="L517" s="6"/>
      <c r="Q517" s="5"/>
      <c r="R517" s="6"/>
      <c r="X517" s="2"/>
      <c r="Y517" s="1"/>
      <c r="AF517" s="2"/>
      <c r="AG517" s="1"/>
      <c r="BG517" s="1"/>
      <c r="BS517" s="3"/>
      <c r="CC517" s="1"/>
      <c r="CE517" s="1"/>
      <c r="CF517" s="1"/>
      <c r="CJ517" s="1"/>
      <c r="DF517" s="2"/>
    </row>
    <row r="518" spans="1:110">
      <c r="A518" s="1"/>
      <c r="B518" s="4"/>
      <c r="C518" s="1"/>
      <c r="D518" s="1"/>
      <c r="E518" s="1"/>
      <c r="F518" s="1"/>
      <c r="G518" s="1"/>
      <c r="H518" s="2"/>
      <c r="I518" s="1"/>
      <c r="J518" s="1"/>
      <c r="K518" s="5"/>
      <c r="L518" s="6"/>
      <c r="Q518" s="5"/>
      <c r="R518" s="6"/>
      <c r="X518" s="2"/>
      <c r="Y518" s="1"/>
      <c r="AF518" s="2"/>
      <c r="AG518" s="1"/>
      <c r="BG518" s="1"/>
      <c r="BS518" s="3"/>
      <c r="CC518" s="1"/>
      <c r="CE518" s="1"/>
      <c r="CF518" s="1"/>
      <c r="CJ518" s="1"/>
      <c r="DF518" s="2"/>
    </row>
    <row r="519" spans="1:110">
      <c r="A519" s="1"/>
      <c r="B519" s="4"/>
      <c r="C519" s="1"/>
      <c r="D519" s="1"/>
      <c r="E519" s="1"/>
      <c r="F519" s="1"/>
      <c r="G519" s="1"/>
      <c r="H519" s="2"/>
      <c r="I519" s="1"/>
      <c r="J519" s="1"/>
      <c r="K519" s="5"/>
      <c r="L519" s="6"/>
      <c r="Q519" s="5"/>
      <c r="R519" s="6"/>
      <c r="X519" s="2"/>
      <c r="Y519" s="1"/>
      <c r="AF519" s="2"/>
      <c r="AG519" s="1"/>
      <c r="BG519" s="1"/>
      <c r="BS519" s="3"/>
      <c r="CC519" s="1"/>
      <c r="CE519" s="1"/>
      <c r="CF519" s="1"/>
      <c r="CJ519" s="1"/>
      <c r="DF519" s="2"/>
    </row>
    <row r="520" spans="1:110">
      <c r="A520" s="1"/>
      <c r="B520" s="4"/>
      <c r="C520" s="1"/>
      <c r="D520" s="1"/>
      <c r="E520" s="1"/>
      <c r="F520" s="1"/>
      <c r="G520" s="1"/>
      <c r="H520" s="2"/>
      <c r="I520" s="1"/>
      <c r="J520" s="1"/>
      <c r="K520" s="5"/>
      <c r="L520" s="6"/>
      <c r="Q520" s="5"/>
      <c r="R520" s="6"/>
      <c r="X520" s="2"/>
      <c r="Y520" s="1"/>
      <c r="AF520" s="2"/>
      <c r="AG520" s="1"/>
      <c r="BG520" s="1"/>
      <c r="BS520" s="3"/>
      <c r="CC520" s="1"/>
      <c r="CE520" s="1"/>
      <c r="CF520" s="1"/>
      <c r="CJ520" s="1"/>
      <c r="DF520" s="2"/>
    </row>
    <row r="521" spans="1:110">
      <c r="A521" s="1"/>
      <c r="B521" s="4"/>
      <c r="C521" s="1"/>
      <c r="D521" s="1"/>
      <c r="E521" s="1"/>
      <c r="F521" s="1"/>
      <c r="G521" s="1"/>
      <c r="H521" s="2"/>
      <c r="I521" s="1"/>
      <c r="J521" s="1"/>
      <c r="K521" s="5"/>
      <c r="L521" s="6"/>
      <c r="Q521" s="5"/>
      <c r="R521" s="6"/>
      <c r="X521" s="2"/>
      <c r="Y521" s="1"/>
      <c r="AF521" s="2"/>
      <c r="AG521" s="1"/>
      <c r="BG521" s="1"/>
      <c r="BS521" s="3"/>
      <c r="CC521" s="1"/>
      <c r="CE521" s="1"/>
      <c r="CF521" s="1"/>
      <c r="CJ521" s="1"/>
      <c r="DF521" s="2"/>
    </row>
    <row r="522" spans="1:110">
      <c r="A522" s="1"/>
      <c r="B522" s="4"/>
      <c r="C522" s="1"/>
      <c r="D522" s="1"/>
      <c r="E522" s="1"/>
      <c r="F522" s="1"/>
      <c r="G522" s="1"/>
      <c r="H522" s="2"/>
      <c r="I522" s="1"/>
      <c r="J522" s="1"/>
      <c r="K522" s="5"/>
      <c r="L522" s="6"/>
      <c r="Q522" s="5"/>
      <c r="R522" s="6"/>
      <c r="X522" s="2"/>
      <c r="Y522" s="1"/>
      <c r="AF522" s="2"/>
      <c r="AG522" s="1"/>
      <c r="BG522" s="1"/>
      <c r="BS522" s="3"/>
      <c r="CC522" s="1"/>
      <c r="CE522" s="1"/>
      <c r="CF522" s="1"/>
      <c r="CJ522" s="1"/>
      <c r="DF522" s="2"/>
    </row>
    <row r="523" spans="1:110">
      <c r="A523" s="1"/>
      <c r="B523" s="4"/>
      <c r="C523" s="1"/>
      <c r="D523" s="1"/>
      <c r="E523" s="1"/>
      <c r="F523" s="1"/>
      <c r="G523" s="1"/>
      <c r="H523" s="2"/>
      <c r="I523" s="1"/>
      <c r="J523" s="1"/>
      <c r="K523" s="5"/>
      <c r="L523" s="6"/>
      <c r="Q523" s="5"/>
      <c r="R523" s="6"/>
      <c r="X523" s="2"/>
      <c r="Y523" s="1"/>
      <c r="AF523" s="2"/>
      <c r="AG523" s="1"/>
      <c r="BG523" s="1"/>
      <c r="BS523" s="3"/>
      <c r="CC523" s="1"/>
      <c r="CE523" s="1"/>
      <c r="CF523" s="1"/>
      <c r="CJ523" s="1"/>
      <c r="DF523" s="2"/>
    </row>
    <row r="524" spans="1:110">
      <c r="A524" s="1"/>
      <c r="B524" s="4"/>
      <c r="C524" s="1"/>
      <c r="D524" s="1"/>
      <c r="E524" s="1"/>
      <c r="F524" s="1"/>
      <c r="G524" s="1"/>
      <c r="H524" s="2"/>
      <c r="I524" s="1"/>
      <c r="J524" s="1"/>
      <c r="K524" s="5"/>
      <c r="L524" s="6"/>
      <c r="Q524" s="5"/>
      <c r="R524" s="6"/>
      <c r="X524" s="2"/>
      <c r="Y524" s="1"/>
      <c r="AF524" s="2"/>
      <c r="AG524" s="1"/>
      <c r="BG524" s="1"/>
      <c r="BS524" s="3"/>
      <c r="CC524" s="1"/>
      <c r="CE524" s="1"/>
      <c r="CF524" s="1"/>
      <c r="CJ524" s="1"/>
      <c r="DF524" s="2"/>
    </row>
    <row r="525" spans="1:110">
      <c r="A525" s="1"/>
      <c r="B525" s="4"/>
      <c r="C525" s="1"/>
      <c r="D525" s="1"/>
      <c r="E525" s="1"/>
      <c r="F525" s="1"/>
      <c r="G525" s="1"/>
      <c r="H525" s="2"/>
      <c r="I525" s="1"/>
      <c r="J525" s="1"/>
      <c r="K525" s="5"/>
      <c r="L525" s="6"/>
      <c r="Q525" s="5"/>
      <c r="R525" s="6"/>
      <c r="X525" s="2"/>
      <c r="Y525" s="1"/>
      <c r="AF525" s="2"/>
      <c r="AG525" s="1"/>
      <c r="BG525" s="1"/>
      <c r="BS525" s="3"/>
      <c r="CC525" s="1"/>
      <c r="CE525" s="1"/>
      <c r="CF525" s="1"/>
      <c r="CJ525" s="1"/>
      <c r="DF525" s="2"/>
    </row>
    <row r="526" spans="1:110">
      <c r="A526" s="1"/>
      <c r="B526" s="4"/>
      <c r="C526" s="1"/>
      <c r="D526" s="1"/>
      <c r="E526" s="1"/>
      <c r="F526" s="1"/>
      <c r="G526" s="1"/>
      <c r="H526" s="2"/>
      <c r="I526" s="1"/>
      <c r="J526" s="1"/>
      <c r="K526" s="5"/>
      <c r="L526" s="6"/>
      <c r="Q526" s="5"/>
      <c r="R526" s="6"/>
      <c r="X526" s="2"/>
      <c r="Y526" s="1"/>
      <c r="AF526" s="2"/>
      <c r="AG526" s="1"/>
      <c r="BG526" s="1"/>
      <c r="BS526" s="3"/>
      <c r="CC526" s="1"/>
      <c r="CE526" s="1"/>
      <c r="CF526" s="1"/>
      <c r="CJ526" s="1"/>
      <c r="DF526" s="2"/>
    </row>
    <row r="527" spans="1:110">
      <c r="A527" s="1"/>
      <c r="B527" s="4"/>
      <c r="C527" s="1"/>
      <c r="D527" s="1"/>
      <c r="E527" s="1"/>
      <c r="F527" s="1"/>
      <c r="G527" s="1"/>
      <c r="H527" s="2"/>
      <c r="I527" s="1"/>
      <c r="J527" s="1"/>
      <c r="K527" s="5"/>
      <c r="L527" s="6"/>
      <c r="Q527" s="5"/>
      <c r="R527" s="6"/>
      <c r="X527" s="2"/>
      <c r="Y527" s="1"/>
      <c r="AF527" s="2"/>
      <c r="AG527" s="1"/>
      <c r="BG527" s="1"/>
      <c r="BS527" s="3"/>
      <c r="CC527" s="1"/>
      <c r="CE527" s="1"/>
      <c r="CF527" s="1"/>
      <c r="CJ527" s="1"/>
      <c r="DF527" s="2"/>
    </row>
    <row r="528" spans="1:110">
      <c r="A528" s="1"/>
      <c r="B528" s="4"/>
      <c r="C528" s="1"/>
      <c r="D528" s="1"/>
      <c r="E528" s="1"/>
      <c r="F528" s="1"/>
      <c r="G528" s="1"/>
      <c r="H528" s="2"/>
      <c r="I528" s="1"/>
      <c r="J528" s="1"/>
      <c r="K528" s="5"/>
      <c r="L528" s="6"/>
      <c r="Q528" s="5"/>
      <c r="R528" s="6"/>
      <c r="X528" s="2"/>
      <c r="Y528" s="1"/>
      <c r="AF528" s="2"/>
      <c r="AG528" s="1"/>
      <c r="BG528" s="1"/>
      <c r="BS528" s="3"/>
      <c r="CC528" s="1"/>
      <c r="CE528" s="1"/>
      <c r="CF528" s="1"/>
      <c r="CJ528" s="1"/>
      <c r="DF528" s="2"/>
    </row>
    <row r="529" spans="1:110">
      <c r="A529" s="1"/>
      <c r="B529" s="4"/>
      <c r="C529" s="1"/>
      <c r="D529" s="1"/>
      <c r="E529" s="1"/>
      <c r="F529" s="1"/>
      <c r="G529" s="1"/>
      <c r="H529" s="2"/>
      <c r="I529" s="1"/>
      <c r="J529" s="1"/>
      <c r="K529" s="5"/>
      <c r="L529" s="6"/>
      <c r="Q529" s="5"/>
      <c r="R529" s="6"/>
      <c r="X529" s="2"/>
      <c r="Y529" s="1"/>
      <c r="AF529" s="2"/>
      <c r="AG529" s="1"/>
      <c r="BG529" s="1"/>
      <c r="BS529" s="3"/>
      <c r="CC529" s="1"/>
      <c r="CE529" s="1"/>
      <c r="CF529" s="1"/>
      <c r="CJ529" s="1"/>
      <c r="DF529" s="2"/>
    </row>
    <row r="530" spans="1:110">
      <c r="A530" s="1"/>
      <c r="B530" s="4"/>
      <c r="C530" s="1"/>
      <c r="D530" s="1"/>
      <c r="E530" s="1"/>
      <c r="F530" s="1"/>
      <c r="G530" s="1"/>
      <c r="H530" s="2"/>
      <c r="I530" s="1"/>
      <c r="J530" s="1"/>
      <c r="K530" s="5"/>
      <c r="L530" s="6"/>
      <c r="Q530" s="5"/>
      <c r="R530" s="6"/>
      <c r="X530" s="2"/>
      <c r="Y530" s="1"/>
      <c r="AF530" s="2"/>
      <c r="AG530" s="1"/>
      <c r="BG530" s="1"/>
      <c r="BS530" s="3"/>
      <c r="CC530" s="1"/>
      <c r="CE530" s="1"/>
      <c r="CF530" s="1"/>
      <c r="CJ530" s="1"/>
      <c r="DF530" s="2"/>
    </row>
    <row r="531" spans="1:110">
      <c r="A531" s="1"/>
      <c r="B531" s="4"/>
      <c r="C531" s="1"/>
      <c r="D531" s="1"/>
      <c r="E531" s="1"/>
      <c r="F531" s="1"/>
      <c r="G531" s="1"/>
      <c r="H531" s="2"/>
      <c r="I531" s="1"/>
      <c r="J531" s="1"/>
      <c r="K531" s="5"/>
      <c r="L531" s="6"/>
      <c r="Q531" s="5"/>
      <c r="R531" s="6"/>
      <c r="X531" s="2"/>
      <c r="Y531" s="1"/>
      <c r="AF531" s="2"/>
      <c r="AG531" s="1"/>
      <c r="BG531" s="1"/>
      <c r="BS531" s="3"/>
      <c r="CC531" s="1"/>
      <c r="CE531" s="1"/>
      <c r="CF531" s="1"/>
      <c r="CJ531" s="1"/>
      <c r="DF531" s="2"/>
    </row>
    <row r="532" spans="1:110">
      <c r="A532" s="1"/>
      <c r="B532" s="4"/>
      <c r="C532" s="1"/>
      <c r="D532" s="1"/>
      <c r="E532" s="1"/>
      <c r="F532" s="1"/>
      <c r="G532" s="1"/>
      <c r="H532" s="2"/>
      <c r="I532" s="1"/>
      <c r="J532" s="1"/>
      <c r="K532" s="5"/>
      <c r="L532" s="6"/>
      <c r="Q532" s="5"/>
      <c r="R532" s="6"/>
      <c r="X532" s="2"/>
      <c r="Y532" s="1"/>
      <c r="AF532" s="2"/>
      <c r="AG532" s="1"/>
      <c r="BG532" s="1"/>
      <c r="BS532" s="3"/>
      <c r="CC532" s="1"/>
      <c r="CE532" s="1"/>
      <c r="CF532" s="1"/>
      <c r="CJ532" s="1"/>
      <c r="DF532" s="2"/>
    </row>
    <row r="533" spans="1:110">
      <c r="A533" s="1"/>
      <c r="B533" s="4"/>
      <c r="C533" s="1"/>
      <c r="D533" s="1"/>
      <c r="E533" s="1"/>
      <c r="F533" s="1"/>
      <c r="G533" s="1"/>
      <c r="H533" s="2"/>
      <c r="I533" s="1"/>
      <c r="J533" s="1"/>
      <c r="K533" s="5"/>
      <c r="L533" s="6"/>
      <c r="Q533" s="5"/>
      <c r="R533" s="6"/>
      <c r="X533" s="2"/>
      <c r="Y533" s="1"/>
      <c r="AF533" s="2"/>
      <c r="AG533" s="1"/>
      <c r="BG533" s="1"/>
      <c r="BS533" s="3"/>
      <c r="CC533" s="1"/>
      <c r="CE533" s="1"/>
      <c r="CF533" s="1"/>
      <c r="CJ533" s="1"/>
      <c r="DF533" s="2"/>
    </row>
    <row r="534" spans="1:110">
      <c r="A534" s="1"/>
      <c r="B534" s="4"/>
      <c r="C534" s="1"/>
      <c r="D534" s="1"/>
      <c r="E534" s="1"/>
      <c r="F534" s="1"/>
      <c r="G534" s="1"/>
      <c r="H534" s="2"/>
      <c r="I534" s="1"/>
      <c r="J534" s="1"/>
      <c r="K534" s="5"/>
      <c r="L534" s="6"/>
      <c r="Q534" s="5"/>
      <c r="R534" s="6"/>
      <c r="X534" s="2"/>
      <c r="Y534" s="1"/>
      <c r="AF534" s="2"/>
      <c r="AG534" s="1"/>
      <c r="BG534" s="1"/>
      <c r="BS534" s="3"/>
      <c r="CC534" s="1"/>
      <c r="CE534" s="1"/>
      <c r="CF534" s="1"/>
      <c r="CJ534" s="1"/>
      <c r="DF534" s="2"/>
    </row>
    <row r="535" spans="1:110">
      <c r="A535" s="1"/>
      <c r="B535" s="4"/>
      <c r="C535" s="1"/>
      <c r="D535" s="1"/>
      <c r="E535" s="1"/>
      <c r="F535" s="1"/>
      <c r="G535" s="1"/>
      <c r="H535" s="2"/>
      <c r="I535" s="1"/>
      <c r="J535" s="1"/>
      <c r="K535" s="5"/>
      <c r="L535" s="6"/>
      <c r="Q535" s="5"/>
      <c r="R535" s="6"/>
      <c r="X535" s="2"/>
      <c r="Y535" s="1"/>
      <c r="AF535" s="2"/>
      <c r="AG535" s="1"/>
      <c r="BG535" s="1"/>
      <c r="BS535" s="3"/>
      <c r="CC535" s="1"/>
      <c r="CE535" s="1"/>
      <c r="CF535" s="1"/>
      <c r="CJ535" s="1"/>
      <c r="DF535" s="2"/>
    </row>
    <row r="536" spans="1:110">
      <c r="A536" s="1"/>
      <c r="B536" s="4"/>
      <c r="C536" s="1"/>
      <c r="D536" s="1"/>
      <c r="E536" s="1"/>
      <c r="F536" s="1"/>
      <c r="G536" s="1"/>
      <c r="H536" s="2"/>
      <c r="I536" s="1"/>
      <c r="J536" s="1"/>
      <c r="K536" s="5"/>
      <c r="L536" s="6"/>
      <c r="Q536" s="5"/>
      <c r="R536" s="6"/>
      <c r="X536" s="2"/>
      <c r="Y536" s="1"/>
      <c r="AF536" s="2"/>
      <c r="AG536" s="1"/>
      <c r="BG536" s="1"/>
      <c r="BS536" s="3"/>
      <c r="CC536" s="1"/>
      <c r="CE536" s="1"/>
      <c r="CF536" s="1"/>
      <c r="CJ536" s="1"/>
      <c r="DF536" s="2"/>
    </row>
    <row r="537" spans="1:110">
      <c r="A537" s="1"/>
      <c r="B537" s="4"/>
      <c r="C537" s="1"/>
      <c r="D537" s="1"/>
      <c r="E537" s="1"/>
      <c r="F537" s="1"/>
      <c r="G537" s="1"/>
      <c r="H537" s="2"/>
      <c r="I537" s="1"/>
      <c r="J537" s="1"/>
      <c r="K537" s="5"/>
      <c r="L537" s="6"/>
      <c r="Q537" s="5"/>
      <c r="R537" s="6"/>
      <c r="X537" s="2"/>
      <c r="Y537" s="1"/>
      <c r="AF537" s="2"/>
      <c r="AG537" s="1"/>
      <c r="BG537" s="1"/>
      <c r="BS537" s="3"/>
      <c r="CC537" s="1"/>
      <c r="CE537" s="1"/>
      <c r="CF537" s="1"/>
      <c r="CJ537" s="1"/>
      <c r="DF537" s="2"/>
    </row>
    <row r="538" spans="1:110">
      <c r="A538" s="1"/>
      <c r="B538" s="4"/>
      <c r="C538" s="1"/>
      <c r="D538" s="1"/>
      <c r="E538" s="1"/>
      <c r="F538" s="1"/>
      <c r="G538" s="1"/>
      <c r="H538" s="2"/>
      <c r="I538" s="1"/>
      <c r="J538" s="1"/>
      <c r="K538" s="5"/>
      <c r="L538" s="6"/>
      <c r="Q538" s="5"/>
      <c r="R538" s="6"/>
      <c r="X538" s="2"/>
      <c r="Y538" s="1"/>
      <c r="AF538" s="2"/>
      <c r="AG538" s="1"/>
      <c r="BG538" s="1"/>
      <c r="BS538" s="3"/>
      <c r="CC538" s="1"/>
      <c r="CE538" s="1"/>
      <c r="CF538" s="1"/>
      <c r="CJ538" s="1"/>
      <c r="DF538" s="2"/>
    </row>
    <row r="539" spans="1:110">
      <c r="A539" s="1"/>
      <c r="B539" s="4"/>
      <c r="C539" s="1"/>
      <c r="D539" s="1"/>
      <c r="E539" s="1"/>
      <c r="F539" s="1"/>
      <c r="G539" s="1"/>
      <c r="H539" s="2"/>
      <c r="I539" s="1"/>
      <c r="J539" s="1"/>
      <c r="K539" s="5"/>
      <c r="L539" s="6"/>
      <c r="Q539" s="5"/>
      <c r="R539" s="6"/>
      <c r="X539" s="2"/>
      <c r="Y539" s="1"/>
      <c r="AF539" s="2"/>
      <c r="AG539" s="1"/>
      <c r="BG539" s="1"/>
      <c r="BS539" s="3"/>
      <c r="CC539" s="1"/>
      <c r="CE539" s="1"/>
      <c r="CF539" s="1"/>
      <c r="CJ539" s="1"/>
      <c r="DF539" s="2"/>
    </row>
    <row r="540" spans="1:110">
      <c r="A540" s="1"/>
      <c r="B540" s="4"/>
      <c r="C540" s="1"/>
      <c r="D540" s="1"/>
      <c r="E540" s="1"/>
      <c r="F540" s="1"/>
      <c r="G540" s="1"/>
      <c r="H540" s="2"/>
      <c r="I540" s="1"/>
      <c r="J540" s="1"/>
      <c r="K540" s="5"/>
      <c r="L540" s="6"/>
      <c r="Q540" s="5"/>
      <c r="R540" s="6"/>
      <c r="X540" s="2"/>
      <c r="Y540" s="1"/>
      <c r="AF540" s="2"/>
      <c r="AG540" s="1"/>
      <c r="BG540" s="1"/>
      <c r="BS540" s="3"/>
      <c r="CC540" s="1"/>
      <c r="CE540" s="1"/>
      <c r="CF540" s="1"/>
      <c r="CJ540" s="1"/>
      <c r="DF540" s="2"/>
    </row>
    <row r="541" spans="1:110">
      <c r="A541" s="1"/>
      <c r="B541" s="4"/>
      <c r="C541" s="1"/>
      <c r="D541" s="1"/>
      <c r="E541" s="1"/>
      <c r="F541" s="1"/>
      <c r="G541" s="1"/>
      <c r="H541" s="2"/>
      <c r="I541" s="1"/>
      <c r="J541" s="1"/>
      <c r="K541" s="5"/>
      <c r="L541" s="6"/>
      <c r="Q541" s="5"/>
      <c r="R541" s="6"/>
      <c r="X541" s="2"/>
      <c r="Y541" s="1"/>
      <c r="AF541" s="2"/>
      <c r="AG541" s="1"/>
      <c r="BG541" s="1"/>
      <c r="BS541" s="3"/>
      <c r="CC541" s="1"/>
      <c r="CE541" s="1"/>
      <c r="CF541" s="1"/>
      <c r="CJ541" s="1"/>
      <c r="DF541" s="2"/>
    </row>
    <row r="542" spans="1:110">
      <c r="A542" s="1"/>
      <c r="B542" s="4"/>
      <c r="C542" s="1"/>
      <c r="D542" s="1"/>
      <c r="E542" s="1"/>
      <c r="F542" s="1"/>
      <c r="G542" s="1"/>
      <c r="H542" s="2"/>
      <c r="I542" s="1"/>
      <c r="J542" s="1"/>
      <c r="K542" s="5"/>
      <c r="L542" s="6"/>
      <c r="Q542" s="5"/>
      <c r="R542" s="6"/>
      <c r="X542" s="2"/>
      <c r="Y542" s="1"/>
      <c r="AF542" s="2"/>
      <c r="AG542" s="1"/>
      <c r="BG542" s="1"/>
      <c r="BS542" s="3"/>
      <c r="CC542" s="1"/>
      <c r="CE542" s="1"/>
      <c r="CF542" s="1"/>
      <c r="CJ542" s="1"/>
      <c r="DF542" s="2"/>
    </row>
    <row r="543" spans="1:110">
      <c r="A543" s="1"/>
      <c r="B543" s="4"/>
      <c r="C543" s="1"/>
      <c r="D543" s="1"/>
      <c r="E543" s="1"/>
      <c r="F543" s="1"/>
      <c r="G543" s="1"/>
      <c r="H543" s="2"/>
      <c r="I543" s="1"/>
      <c r="J543" s="1"/>
      <c r="K543" s="5"/>
      <c r="L543" s="6"/>
      <c r="Q543" s="5"/>
      <c r="R543" s="6"/>
      <c r="X543" s="2"/>
      <c r="Y543" s="1"/>
      <c r="AF543" s="2"/>
      <c r="AG543" s="1"/>
      <c r="BG543" s="1"/>
      <c r="BS543" s="3"/>
      <c r="CC543" s="1"/>
      <c r="CE543" s="1"/>
      <c r="CF543" s="1"/>
      <c r="CJ543" s="1"/>
      <c r="DF543" s="2"/>
    </row>
    <row r="544" spans="1:110">
      <c r="A544" s="1"/>
      <c r="B544" s="4"/>
      <c r="C544" s="1"/>
      <c r="D544" s="1"/>
      <c r="E544" s="1"/>
      <c r="F544" s="1"/>
      <c r="G544" s="1"/>
      <c r="H544" s="2"/>
      <c r="I544" s="1"/>
      <c r="J544" s="1"/>
      <c r="K544" s="5"/>
      <c r="L544" s="6"/>
      <c r="Q544" s="5"/>
      <c r="R544" s="6"/>
      <c r="X544" s="2"/>
      <c r="Y544" s="1"/>
      <c r="AF544" s="2"/>
      <c r="AG544" s="1"/>
      <c r="BG544" s="1"/>
      <c r="BS544" s="3"/>
      <c r="CC544" s="1"/>
      <c r="CE544" s="1"/>
      <c r="CF544" s="1"/>
      <c r="CJ544" s="1"/>
      <c r="DF544" s="2"/>
    </row>
    <row r="545" spans="1:110">
      <c r="A545" s="1"/>
      <c r="B545" s="4"/>
      <c r="C545" s="1"/>
      <c r="D545" s="1"/>
      <c r="E545" s="1"/>
      <c r="F545" s="1"/>
      <c r="G545" s="1"/>
      <c r="H545" s="2"/>
      <c r="I545" s="1"/>
      <c r="J545" s="1"/>
      <c r="K545" s="5"/>
      <c r="L545" s="6"/>
      <c r="Q545" s="5"/>
      <c r="R545" s="6"/>
      <c r="X545" s="2"/>
      <c r="Y545" s="1"/>
      <c r="AF545" s="2"/>
      <c r="AG545" s="1"/>
      <c r="BG545" s="1"/>
      <c r="BS545" s="3"/>
      <c r="CC545" s="1"/>
      <c r="CE545" s="1"/>
      <c r="CF545" s="1"/>
      <c r="CJ545" s="1"/>
      <c r="DF545" s="2"/>
    </row>
    <row r="546" spans="1:110">
      <c r="A546" s="1"/>
      <c r="B546" s="4"/>
      <c r="C546" s="1"/>
      <c r="D546" s="1"/>
      <c r="E546" s="1"/>
      <c r="F546" s="1"/>
      <c r="G546" s="1"/>
      <c r="H546" s="2"/>
      <c r="I546" s="1"/>
      <c r="J546" s="1"/>
      <c r="K546" s="5"/>
      <c r="L546" s="6"/>
      <c r="Q546" s="5"/>
      <c r="R546" s="6"/>
      <c r="X546" s="2"/>
      <c r="Y546" s="1"/>
      <c r="AF546" s="2"/>
      <c r="AG546" s="1"/>
      <c r="BG546" s="1"/>
      <c r="BS546" s="3"/>
      <c r="CC546" s="1"/>
      <c r="CE546" s="1"/>
      <c r="CF546" s="1"/>
      <c r="CJ546" s="1"/>
      <c r="DF546" s="2"/>
    </row>
    <row r="547" spans="1:110">
      <c r="A547" s="1"/>
      <c r="B547" s="4"/>
      <c r="C547" s="1"/>
      <c r="D547" s="1"/>
      <c r="E547" s="1"/>
      <c r="F547" s="1"/>
      <c r="G547" s="1"/>
      <c r="H547" s="2"/>
      <c r="I547" s="1"/>
      <c r="J547" s="1"/>
      <c r="K547" s="5"/>
      <c r="L547" s="6"/>
      <c r="Q547" s="5"/>
      <c r="R547" s="6"/>
      <c r="X547" s="2"/>
      <c r="Y547" s="1"/>
      <c r="AF547" s="2"/>
      <c r="AG547" s="1"/>
      <c r="BG547" s="1"/>
      <c r="BS547" s="3"/>
      <c r="CC547" s="1"/>
      <c r="CE547" s="1"/>
      <c r="CF547" s="1"/>
      <c r="CJ547" s="1"/>
      <c r="DF547" s="2"/>
    </row>
    <row r="548" spans="1:110">
      <c r="A548" s="1"/>
      <c r="B548" s="4"/>
      <c r="C548" s="1"/>
      <c r="D548" s="1"/>
      <c r="E548" s="1"/>
      <c r="F548" s="1"/>
      <c r="G548" s="1"/>
      <c r="H548" s="2"/>
      <c r="I548" s="1"/>
      <c r="J548" s="1"/>
      <c r="K548" s="5"/>
      <c r="L548" s="6"/>
      <c r="Q548" s="5"/>
      <c r="R548" s="6"/>
      <c r="X548" s="2"/>
      <c r="Y548" s="1"/>
      <c r="AF548" s="2"/>
      <c r="AG548" s="1"/>
      <c r="BG548" s="1"/>
      <c r="BS548" s="3"/>
      <c r="CC548" s="1"/>
      <c r="CE548" s="1"/>
      <c r="CF548" s="1"/>
      <c r="CJ548" s="1"/>
      <c r="DF548" s="2"/>
    </row>
    <row r="549" spans="1:110">
      <c r="A549" s="1"/>
      <c r="B549" s="4"/>
      <c r="C549" s="1"/>
      <c r="D549" s="1"/>
      <c r="E549" s="1"/>
      <c r="F549" s="1"/>
      <c r="G549" s="1"/>
      <c r="H549" s="2"/>
      <c r="I549" s="1"/>
      <c r="J549" s="1"/>
      <c r="K549" s="5"/>
      <c r="L549" s="6"/>
      <c r="Q549" s="5"/>
      <c r="R549" s="6"/>
      <c r="X549" s="2"/>
      <c r="Y549" s="1"/>
      <c r="AF549" s="2"/>
      <c r="AG549" s="1"/>
      <c r="BG549" s="1"/>
      <c r="BS549" s="3"/>
      <c r="CC549" s="1"/>
      <c r="CE549" s="1"/>
      <c r="CF549" s="1"/>
      <c r="CJ549" s="1"/>
      <c r="DF549" s="2"/>
    </row>
    <row r="550" spans="1:110">
      <c r="A550" s="1"/>
      <c r="B550" s="4"/>
      <c r="C550" s="1"/>
      <c r="D550" s="1"/>
      <c r="E550" s="1"/>
      <c r="F550" s="1"/>
      <c r="G550" s="1"/>
      <c r="H550" s="2"/>
      <c r="I550" s="1"/>
      <c r="J550" s="1"/>
      <c r="K550" s="5"/>
      <c r="L550" s="6"/>
      <c r="Q550" s="5"/>
      <c r="R550" s="6"/>
      <c r="X550" s="2"/>
      <c r="Y550" s="1"/>
      <c r="AF550" s="2"/>
      <c r="AG550" s="1"/>
      <c r="BG550" s="1"/>
      <c r="BS550" s="3"/>
      <c r="CC550" s="1"/>
      <c r="CE550" s="1"/>
      <c r="CF550" s="1"/>
      <c r="CJ550" s="1"/>
      <c r="DF550" s="2"/>
    </row>
    <row r="551" spans="1:110">
      <c r="A551" s="1"/>
      <c r="B551" s="4"/>
      <c r="C551" s="1"/>
      <c r="D551" s="1"/>
      <c r="E551" s="1"/>
      <c r="F551" s="1"/>
      <c r="G551" s="1"/>
      <c r="H551" s="2"/>
      <c r="I551" s="1"/>
      <c r="J551" s="1"/>
      <c r="K551" s="5"/>
      <c r="L551" s="6"/>
      <c r="Q551" s="5"/>
      <c r="R551" s="6"/>
      <c r="X551" s="2"/>
      <c r="Y551" s="1"/>
      <c r="AF551" s="2"/>
      <c r="AG551" s="1"/>
      <c r="BG551" s="1"/>
      <c r="BS551" s="3"/>
      <c r="CC551" s="1"/>
      <c r="CE551" s="1"/>
      <c r="CF551" s="1"/>
      <c r="CJ551" s="1"/>
      <c r="DF551" s="2"/>
    </row>
    <row r="552" spans="1:110">
      <c r="A552" s="1"/>
      <c r="B552" s="4"/>
      <c r="C552" s="1"/>
      <c r="D552" s="1"/>
      <c r="E552" s="1"/>
      <c r="F552" s="1"/>
      <c r="G552" s="1"/>
      <c r="H552" s="2"/>
      <c r="I552" s="1"/>
      <c r="J552" s="1"/>
      <c r="K552" s="5"/>
      <c r="L552" s="6"/>
      <c r="Q552" s="5"/>
      <c r="R552" s="6"/>
      <c r="X552" s="2"/>
      <c r="Y552" s="1"/>
      <c r="AF552" s="2"/>
      <c r="AG552" s="1"/>
      <c r="BG552" s="1"/>
      <c r="BS552" s="3"/>
      <c r="CC552" s="1"/>
      <c r="CE552" s="1"/>
      <c r="CF552" s="1"/>
      <c r="CJ552" s="1"/>
      <c r="DF552" s="2"/>
    </row>
    <row r="553" spans="1:110">
      <c r="A553" s="1"/>
      <c r="B553" s="4"/>
      <c r="C553" s="1"/>
      <c r="D553" s="1"/>
      <c r="E553" s="1"/>
      <c r="F553" s="1"/>
      <c r="G553" s="1"/>
      <c r="H553" s="2"/>
      <c r="I553" s="1"/>
      <c r="J553" s="1"/>
      <c r="K553" s="5"/>
      <c r="L553" s="6"/>
      <c r="Q553" s="5"/>
      <c r="R553" s="6"/>
      <c r="X553" s="2"/>
      <c r="Y553" s="1"/>
      <c r="AF553" s="2"/>
      <c r="AG553" s="1"/>
      <c r="BG553" s="1"/>
      <c r="BS553" s="3"/>
      <c r="CC553" s="1"/>
      <c r="CE553" s="1"/>
      <c r="CF553" s="1"/>
      <c r="CJ553" s="1"/>
      <c r="DF553" s="2"/>
    </row>
    <row r="554" spans="1:110">
      <c r="A554" s="1"/>
      <c r="B554" s="4"/>
      <c r="C554" s="1"/>
      <c r="D554" s="1"/>
      <c r="E554" s="1"/>
      <c r="F554" s="1"/>
      <c r="G554" s="1"/>
      <c r="H554" s="2"/>
      <c r="I554" s="1"/>
      <c r="J554" s="1"/>
      <c r="K554" s="5"/>
      <c r="L554" s="6"/>
      <c r="Q554" s="5"/>
      <c r="R554" s="6"/>
      <c r="X554" s="2"/>
      <c r="Y554" s="1"/>
      <c r="AF554" s="2"/>
      <c r="AG554" s="1"/>
      <c r="BG554" s="1"/>
      <c r="BS554" s="3"/>
      <c r="CC554" s="1"/>
      <c r="CE554" s="1"/>
      <c r="CF554" s="1"/>
      <c r="CJ554" s="1"/>
      <c r="DF554" s="2"/>
    </row>
    <row r="555" spans="1:110">
      <c r="A555" s="1"/>
      <c r="B555" s="4"/>
      <c r="C555" s="1"/>
      <c r="D555" s="1"/>
      <c r="E555" s="1"/>
      <c r="F555" s="1"/>
      <c r="G555" s="1"/>
      <c r="H555" s="2"/>
      <c r="I555" s="1"/>
      <c r="J555" s="1"/>
      <c r="K555" s="5"/>
      <c r="L555" s="6"/>
      <c r="Q555" s="5"/>
      <c r="R555" s="6"/>
      <c r="X555" s="2"/>
      <c r="Y555" s="1"/>
      <c r="AF555" s="2"/>
      <c r="AG555" s="1"/>
      <c r="BG555" s="1"/>
      <c r="BS555" s="3"/>
      <c r="CC555" s="1"/>
      <c r="CE555" s="1"/>
      <c r="CF555" s="1"/>
      <c r="CJ555" s="1"/>
      <c r="DF555" s="2"/>
    </row>
    <row r="556" spans="1:110">
      <c r="A556" s="1"/>
      <c r="B556" s="4"/>
      <c r="C556" s="1"/>
      <c r="D556" s="1"/>
      <c r="E556" s="1"/>
      <c r="F556" s="1"/>
      <c r="G556" s="1"/>
      <c r="H556" s="2"/>
      <c r="I556" s="1"/>
      <c r="J556" s="1"/>
      <c r="K556" s="5"/>
      <c r="L556" s="6"/>
      <c r="Q556" s="5"/>
      <c r="R556" s="6"/>
      <c r="X556" s="2"/>
      <c r="Y556" s="1"/>
      <c r="AF556" s="2"/>
      <c r="AG556" s="1"/>
      <c r="BG556" s="1"/>
      <c r="BS556" s="3"/>
      <c r="CC556" s="1"/>
      <c r="CE556" s="1"/>
      <c r="CF556" s="1"/>
      <c r="CJ556" s="1"/>
      <c r="DF556" s="2"/>
    </row>
    <row r="557" spans="1:110">
      <c r="A557" s="1"/>
      <c r="B557" s="4"/>
      <c r="C557" s="1"/>
      <c r="D557" s="1"/>
      <c r="E557" s="1"/>
      <c r="F557" s="1"/>
      <c r="G557" s="1"/>
      <c r="H557" s="2"/>
      <c r="I557" s="1"/>
      <c r="J557" s="1"/>
      <c r="K557" s="5"/>
      <c r="L557" s="6"/>
      <c r="Q557" s="5"/>
      <c r="R557" s="6"/>
      <c r="X557" s="2"/>
      <c r="Y557" s="1"/>
      <c r="AF557" s="2"/>
      <c r="AG557" s="1"/>
      <c r="BG557" s="1"/>
      <c r="BS557" s="3"/>
      <c r="CC557" s="1"/>
      <c r="CE557" s="1"/>
      <c r="CF557" s="1"/>
      <c r="CJ557" s="1"/>
      <c r="DF557" s="2"/>
    </row>
    <row r="558" spans="1:110">
      <c r="A558" s="1"/>
      <c r="B558" s="4"/>
      <c r="C558" s="1"/>
      <c r="D558" s="1"/>
      <c r="E558" s="1"/>
      <c r="F558" s="1"/>
      <c r="G558" s="1"/>
      <c r="H558" s="2"/>
      <c r="I558" s="1"/>
      <c r="J558" s="1"/>
      <c r="K558" s="5"/>
      <c r="L558" s="6"/>
      <c r="Q558" s="5"/>
      <c r="R558" s="6"/>
      <c r="X558" s="2"/>
      <c r="Y558" s="1"/>
      <c r="AF558" s="2"/>
      <c r="AG558" s="1"/>
      <c r="BG558" s="1"/>
      <c r="BS558" s="3"/>
      <c r="CC558" s="1"/>
      <c r="CE558" s="1"/>
      <c r="CF558" s="1"/>
      <c r="CJ558" s="1"/>
      <c r="DF558" s="2"/>
    </row>
    <row r="559" spans="1:110">
      <c r="A559" s="1"/>
      <c r="B559" s="4"/>
      <c r="C559" s="1"/>
      <c r="D559" s="1"/>
      <c r="E559" s="1"/>
      <c r="F559" s="1"/>
      <c r="G559" s="1"/>
      <c r="H559" s="2"/>
      <c r="I559" s="1"/>
      <c r="J559" s="1"/>
      <c r="K559" s="5"/>
      <c r="L559" s="6"/>
      <c r="Q559" s="5"/>
      <c r="R559" s="6"/>
      <c r="X559" s="2"/>
      <c r="Y559" s="1"/>
      <c r="AF559" s="2"/>
      <c r="AG559" s="1"/>
      <c r="BG559" s="1"/>
      <c r="BS559" s="3"/>
      <c r="CC559" s="1"/>
      <c r="CE559" s="1"/>
      <c r="CF559" s="1"/>
      <c r="CJ559" s="1"/>
      <c r="DF559" s="2"/>
    </row>
    <row r="560" spans="1:110">
      <c r="A560" s="1"/>
      <c r="B560" s="4"/>
      <c r="C560" s="1"/>
      <c r="D560" s="1"/>
      <c r="E560" s="1"/>
      <c r="F560" s="1"/>
      <c r="G560" s="1"/>
      <c r="H560" s="2"/>
      <c r="I560" s="1"/>
      <c r="J560" s="1"/>
      <c r="K560" s="5"/>
      <c r="L560" s="6"/>
      <c r="Q560" s="5"/>
      <c r="R560" s="6"/>
      <c r="X560" s="2"/>
      <c r="Y560" s="1"/>
      <c r="AF560" s="2"/>
      <c r="AG560" s="1"/>
      <c r="BG560" s="1"/>
      <c r="BS560" s="3"/>
      <c r="CC560" s="1"/>
      <c r="CE560" s="1"/>
      <c r="CF560" s="1"/>
      <c r="CJ560" s="1"/>
      <c r="DF560" s="2"/>
    </row>
    <row r="561" spans="1:110">
      <c r="A561" s="1"/>
      <c r="B561" s="4"/>
      <c r="C561" s="1"/>
      <c r="D561" s="1"/>
      <c r="E561" s="1"/>
      <c r="F561" s="1"/>
      <c r="G561" s="1"/>
      <c r="H561" s="2"/>
      <c r="I561" s="1"/>
      <c r="J561" s="1"/>
      <c r="K561" s="5"/>
      <c r="L561" s="6"/>
      <c r="Q561" s="5"/>
      <c r="R561" s="6"/>
      <c r="X561" s="2"/>
      <c r="Y561" s="1"/>
      <c r="AF561" s="2"/>
      <c r="AG561" s="1"/>
      <c r="BG561" s="1"/>
      <c r="BS561" s="3"/>
      <c r="CC561" s="1"/>
      <c r="CE561" s="1"/>
      <c r="CF561" s="1"/>
      <c r="CJ561" s="1"/>
      <c r="DF561" s="2"/>
    </row>
    <row r="562" spans="1:110">
      <c r="A562" s="1"/>
      <c r="B562" s="4"/>
      <c r="C562" s="1"/>
      <c r="D562" s="1"/>
      <c r="E562" s="1"/>
      <c r="F562" s="1"/>
      <c r="G562" s="1"/>
      <c r="H562" s="2"/>
      <c r="I562" s="1"/>
      <c r="J562" s="1"/>
      <c r="K562" s="5"/>
      <c r="L562" s="6"/>
      <c r="Q562" s="5"/>
      <c r="R562" s="6"/>
      <c r="X562" s="2"/>
      <c r="Y562" s="1"/>
      <c r="AF562" s="2"/>
      <c r="AG562" s="1"/>
      <c r="BG562" s="1"/>
      <c r="BS562" s="3"/>
      <c r="CC562" s="1"/>
      <c r="CE562" s="1"/>
      <c r="CF562" s="1"/>
      <c r="CJ562" s="1"/>
      <c r="DF562" s="2"/>
    </row>
    <row r="563" spans="1:110">
      <c r="A563" s="1"/>
      <c r="B563" s="4"/>
      <c r="C563" s="1"/>
      <c r="D563" s="1"/>
      <c r="E563" s="1"/>
      <c r="F563" s="1"/>
      <c r="G563" s="1"/>
      <c r="H563" s="2"/>
      <c r="I563" s="1"/>
      <c r="J563" s="1"/>
      <c r="K563" s="5"/>
      <c r="L563" s="6"/>
      <c r="Q563" s="5"/>
      <c r="R563" s="6"/>
      <c r="X563" s="2"/>
      <c r="Y563" s="1"/>
      <c r="AF563" s="2"/>
      <c r="AG563" s="1"/>
      <c r="BG563" s="1"/>
      <c r="BS563" s="3"/>
      <c r="CC563" s="1"/>
      <c r="CE563" s="1"/>
      <c r="CF563" s="1"/>
      <c r="CJ563" s="1"/>
      <c r="DF563" s="2"/>
    </row>
    <row r="564" spans="1:110">
      <c r="A564" s="1"/>
      <c r="B564" s="4"/>
      <c r="C564" s="1"/>
      <c r="D564" s="1"/>
      <c r="E564" s="1"/>
      <c r="F564" s="1"/>
      <c r="G564" s="1"/>
      <c r="H564" s="2"/>
      <c r="I564" s="1"/>
      <c r="J564" s="1"/>
      <c r="K564" s="5"/>
      <c r="L564" s="6"/>
      <c r="Q564" s="5"/>
      <c r="R564" s="6"/>
      <c r="X564" s="2"/>
      <c r="Y564" s="1"/>
      <c r="AF564" s="2"/>
      <c r="AG564" s="1"/>
      <c r="BG564" s="1"/>
      <c r="BS564" s="3"/>
      <c r="CC564" s="1"/>
      <c r="CE564" s="1"/>
      <c r="CF564" s="1"/>
      <c r="CJ564" s="1"/>
      <c r="DF564" s="2"/>
    </row>
    <row r="565" spans="1:110">
      <c r="A565" s="1"/>
      <c r="B565" s="4"/>
      <c r="C565" s="1"/>
      <c r="D565" s="1"/>
      <c r="E565" s="1"/>
      <c r="F565" s="1"/>
      <c r="G565" s="1"/>
      <c r="H565" s="2"/>
      <c r="I565" s="1"/>
      <c r="J565" s="1"/>
      <c r="K565" s="5"/>
      <c r="L565" s="6"/>
      <c r="Q565" s="5"/>
      <c r="R565" s="6"/>
      <c r="X565" s="2"/>
      <c r="Y565" s="1"/>
      <c r="AF565" s="2"/>
      <c r="AG565" s="1"/>
      <c r="BG565" s="1"/>
      <c r="BS565" s="3"/>
      <c r="CC565" s="1"/>
      <c r="CE565" s="1"/>
      <c r="CF565" s="1"/>
      <c r="CJ565" s="1"/>
      <c r="DF565" s="2"/>
    </row>
    <row r="566" spans="1:110">
      <c r="A566" s="1"/>
      <c r="B566" s="4"/>
      <c r="C566" s="1"/>
      <c r="D566" s="1"/>
      <c r="E566" s="1"/>
      <c r="F566" s="1"/>
      <c r="G566" s="1"/>
      <c r="H566" s="2"/>
      <c r="I566" s="1"/>
      <c r="J566" s="1"/>
      <c r="K566" s="5"/>
      <c r="L566" s="6"/>
      <c r="Q566" s="5"/>
      <c r="R566" s="6"/>
      <c r="X566" s="2"/>
      <c r="Y566" s="1"/>
      <c r="AF566" s="2"/>
      <c r="AG566" s="1"/>
      <c r="BG566" s="1"/>
      <c r="BS566" s="3"/>
      <c r="CC566" s="1"/>
      <c r="CE566" s="1"/>
      <c r="CF566" s="1"/>
      <c r="CJ566" s="1"/>
      <c r="DF566" s="2"/>
    </row>
    <row r="567" spans="1:110">
      <c r="A567" s="1"/>
      <c r="B567" s="4"/>
      <c r="C567" s="1"/>
      <c r="D567" s="1"/>
      <c r="E567" s="1"/>
      <c r="F567" s="1"/>
      <c r="G567" s="1"/>
      <c r="H567" s="2"/>
      <c r="I567" s="1"/>
      <c r="J567" s="1"/>
      <c r="K567" s="5"/>
      <c r="L567" s="6"/>
      <c r="Q567" s="5"/>
      <c r="R567" s="6"/>
      <c r="X567" s="2"/>
      <c r="Y567" s="1"/>
      <c r="AF567" s="2"/>
      <c r="AG567" s="1"/>
      <c r="BG567" s="1"/>
      <c r="BS567" s="3"/>
      <c r="CC567" s="1"/>
      <c r="CE567" s="1"/>
      <c r="CF567" s="1"/>
      <c r="CJ567" s="1"/>
      <c r="DF567" s="2"/>
    </row>
    <row r="568" spans="1:110">
      <c r="A568" s="1"/>
      <c r="B568" s="4"/>
      <c r="C568" s="1"/>
      <c r="D568" s="1"/>
      <c r="E568" s="1"/>
      <c r="F568" s="1"/>
      <c r="G568" s="1"/>
      <c r="H568" s="2"/>
      <c r="I568" s="1"/>
      <c r="J568" s="1"/>
      <c r="K568" s="5"/>
      <c r="L568" s="6"/>
      <c r="Q568" s="5"/>
      <c r="R568" s="6"/>
      <c r="X568" s="2"/>
      <c r="Y568" s="1"/>
      <c r="AF568" s="2"/>
      <c r="AG568" s="1"/>
      <c r="BG568" s="1"/>
      <c r="BS568" s="3"/>
      <c r="CC568" s="1"/>
      <c r="CE568" s="1"/>
      <c r="CF568" s="1"/>
      <c r="CJ568" s="1"/>
      <c r="DF568" s="2"/>
    </row>
    <row r="569" spans="1:110">
      <c r="A569" s="1"/>
      <c r="B569" s="4"/>
      <c r="C569" s="1"/>
      <c r="D569" s="1"/>
      <c r="E569" s="1"/>
      <c r="F569" s="1"/>
      <c r="G569" s="1"/>
      <c r="H569" s="2"/>
      <c r="I569" s="1"/>
      <c r="J569" s="1"/>
      <c r="K569" s="5"/>
      <c r="L569" s="6"/>
      <c r="Q569" s="5"/>
      <c r="R569" s="6"/>
      <c r="X569" s="2"/>
      <c r="Y569" s="1"/>
      <c r="AF569" s="2"/>
      <c r="AG569" s="1"/>
      <c r="BG569" s="1"/>
      <c r="BS569" s="3"/>
      <c r="CC569" s="1"/>
      <c r="CE569" s="1"/>
      <c r="CF569" s="1"/>
      <c r="CJ569" s="1"/>
      <c r="DF569" s="2"/>
    </row>
    <row r="570" spans="1:110">
      <c r="A570" s="1"/>
      <c r="B570" s="4"/>
      <c r="C570" s="1"/>
      <c r="D570" s="1"/>
      <c r="E570" s="1"/>
      <c r="F570" s="1"/>
      <c r="G570" s="1"/>
      <c r="H570" s="2"/>
      <c r="I570" s="1"/>
      <c r="J570" s="1"/>
      <c r="K570" s="5"/>
      <c r="L570" s="6"/>
      <c r="Q570" s="5"/>
      <c r="R570" s="6"/>
      <c r="X570" s="2"/>
      <c r="Y570" s="1"/>
      <c r="AF570" s="2"/>
      <c r="AG570" s="1"/>
      <c r="BG570" s="1"/>
      <c r="BS570" s="3"/>
      <c r="CC570" s="1"/>
      <c r="CE570" s="1"/>
      <c r="CF570" s="1"/>
      <c r="CJ570" s="1"/>
      <c r="DF570" s="2"/>
    </row>
    <row r="571" spans="1:110">
      <c r="A571" s="1"/>
      <c r="B571" s="4"/>
      <c r="C571" s="1"/>
      <c r="D571" s="1"/>
      <c r="E571" s="1"/>
      <c r="F571" s="1"/>
      <c r="G571" s="1"/>
      <c r="H571" s="2"/>
      <c r="I571" s="1"/>
      <c r="J571" s="1"/>
      <c r="K571" s="5"/>
      <c r="L571" s="6"/>
      <c r="Q571" s="5"/>
      <c r="R571" s="6"/>
      <c r="X571" s="2"/>
      <c r="Y571" s="1"/>
      <c r="AF571" s="2"/>
      <c r="AG571" s="1"/>
      <c r="BG571" s="1"/>
      <c r="BS571" s="3"/>
      <c r="CC571" s="1"/>
      <c r="CE571" s="1"/>
      <c r="CF571" s="1"/>
      <c r="CJ571" s="1"/>
      <c r="DF571" s="2"/>
    </row>
    <row r="572" spans="1:110">
      <c r="A572" s="1"/>
      <c r="B572" s="4"/>
      <c r="C572" s="1"/>
      <c r="D572" s="1"/>
      <c r="E572" s="1"/>
      <c r="F572" s="1"/>
      <c r="G572" s="1"/>
      <c r="H572" s="2"/>
      <c r="I572" s="1"/>
      <c r="J572" s="1"/>
      <c r="K572" s="5"/>
      <c r="L572" s="6"/>
      <c r="Q572" s="5"/>
      <c r="R572" s="6"/>
      <c r="X572" s="2"/>
      <c r="Y572" s="1"/>
      <c r="AF572" s="2"/>
      <c r="AG572" s="1"/>
      <c r="BG572" s="1"/>
      <c r="BS572" s="3"/>
      <c r="CC572" s="1"/>
      <c r="CE572" s="1"/>
      <c r="CF572" s="1"/>
      <c r="CJ572" s="1"/>
      <c r="DF572" s="2"/>
    </row>
    <row r="573" spans="1:110">
      <c r="A573" s="1"/>
      <c r="B573" s="4"/>
      <c r="C573" s="1"/>
      <c r="D573" s="1"/>
      <c r="E573" s="1"/>
      <c r="F573" s="1"/>
      <c r="G573" s="1"/>
      <c r="H573" s="2"/>
      <c r="I573" s="1"/>
      <c r="J573" s="1"/>
      <c r="K573" s="5"/>
      <c r="L573" s="6"/>
      <c r="Q573" s="5"/>
      <c r="R573" s="6"/>
      <c r="X573" s="2"/>
      <c r="Y573" s="1"/>
      <c r="AF573" s="2"/>
      <c r="AG573" s="1"/>
      <c r="BG573" s="1"/>
      <c r="BS573" s="3"/>
      <c r="CC573" s="1"/>
      <c r="CE573" s="1"/>
      <c r="CF573" s="1"/>
      <c r="CJ573" s="1"/>
      <c r="DF573" s="2"/>
    </row>
    <row r="574" spans="1:110">
      <c r="A574" s="1"/>
      <c r="B574" s="4"/>
      <c r="C574" s="1"/>
      <c r="D574" s="1"/>
      <c r="E574" s="1"/>
      <c r="F574" s="1"/>
      <c r="G574" s="1"/>
      <c r="H574" s="2"/>
      <c r="I574" s="1"/>
      <c r="J574" s="1"/>
      <c r="K574" s="5"/>
      <c r="L574" s="6"/>
      <c r="Q574" s="5"/>
      <c r="R574" s="6"/>
      <c r="X574" s="2"/>
      <c r="Y574" s="1"/>
      <c r="AF574" s="2"/>
      <c r="AG574" s="1"/>
      <c r="BG574" s="1"/>
      <c r="BS574" s="3"/>
      <c r="CC574" s="1"/>
      <c r="CE574" s="1"/>
      <c r="CF574" s="1"/>
      <c r="CJ574" s="1"/>
      <c r="DF574" s="2"/>
    </row>
    <row r="575" spans="1:110">
      <c r="A575" s="1"/>
      <c r="B575" s="4"/>
      <c r="C575" s="1"/>
      <c r="D575" s="1"/>
      <c r="E575" s="1"/>
      <c r="F575" s="1"/>
      <c r="G575" s="1"/>
      <c r="H575" s="2"/>
      <c r="I575" s="1"/>
      <c r="J575" s="1"/>
      <c r="K575" s="5"/>
      <c r="L575" s="6"/>
      <c r="Q575" s="5"/>
      <c r="R575" s="6"/>
      <c r="X575" s="2"/>
      <c r="Y575" s="1"/>
      <c r="AF575" s="2"/>
      <c r="AG575" s="1"/>
      <c r="BG575" s="1"/>
      <c r="BS575" s="3"/>
      <c r="CC575" s="1"/>
      <c r="CE575" s="1"/>
      <c r="CF575" s="1"/>
      <c r="CJ575" s="1"/>
      <c r="DF575" s="2"/>
    </row>
    <row r="576" spans="1:110">
      <c r="A576" s="1"/>
      <c r="B576" s="4"/>
      <c r="C576" s="1"/>
      <c r="D576" s="1"/>
      <c r="E576" s="1"/>
      <c r="F576" s="1"/>
      <c r="G576" s="1"/>
      <c r="H576" s="2"/>
      <c r="I576" s="1"/>
      <c r="J576" s="1"/>
      <c r="K576" s="5"/>
      <c r="L576" s="6"/>
      <c r="Q576" s="5"/>
      <c r="R576" s="6"/>
      <c r="X576" s="2"/>
      <c r="Y576" s="1"/>
      <c r="AF576" s="2"/>
      <c r="AG576" s="1"/>
      <c r="BG576" s="1"/>
      <c r="BS576" s="3"/>
      <c r="CC576" s="1"/>
      <c r="CE576" s="1"/>
      <c r="CF576" s="1"/>
      <c r="CJ576" s="1"/>
      <c r="DF576" s="2"/>
    </row>
    <row r="577" spans="1:110">
      <c r="A577" s="1"/>
      <c r="B577" s="4"/>
      <c r="C577" s="1"/>
      <c r="D577" s="1"/>
      <c r="E577" s="1"/>
      <c r="F577" s="1"/>
      <c r="G577" s="1"/>
      <c r="H577" s="2"/>
      <c r="I577" s="1"/>
      <c r="J577" s="1"/>
      <c r="K577" s="5"/>
      <c r="L577" s="6"/>
      <c r="Q577" s="5"/>
      <c r="R577" s="6"/>
      <c r="X577" s="2"/>
      <c r="Y577" s="1"/>
      <c r="AF577" s="2"/>
      <c r="AG577" s="1"/>
      <c r="BG577" s="1"/>
      <c r="BS577" s="3"/>
      <c r="CC577" s="1"/>
      <c r="CE577" s="1"/>
      <c r="CF577" s="1"/>
      <c r="CJ577" s="1"/>
      <c r="DF577" s="2"/>
    </row>
    <row r="578" spans="1:110">
      <c r="A578" s="1"/>
      <c r="B578" s="4"/>
      <c r="C578" s="1"/>
      <c r="D578" s="1"/>
      <c r="E578" s="1"/>
      <c r="F578" s="1"/>
      <c r="G578" s="1"/>
      <c r="H578" s="2"/>
      <c r="I578" s="1"/>
      <c r="J578" s="1"/>
      <c r="K578" s="5"/>
      <c r="L578" s="6"/>
      <c r="Q578" s="5"/>
      <c r="R578" s="6"/>
      <c r="X578" s="2"/>
      <c r="Y578" s="1"/>
      <c r="AF578" s="2"/>
      <c r="AG578" s="1"/>
      <c r="BG578" s="1"/>
      <c r="BS578" s="3"/>
      <c r="CC578" s="1"/>
      <c r="CE578" s="1"/>
      <c r="CF578" s="1"/>
      <c r="CJ578" s="1"/>
      <c r="DF578" s="2"/>
    </row>
    <row r="579" spans="1:110">
      <c r="A579" s="1"/>
      <c r="B579" s="4"/>
      <c r="C579" s="1"/>
      <c r="D579" s="1"/>
      <c r="E579" s="1"/>
      <c r="F579" s="1"/>
      <c r="G579" s="1"/>
      <c r="H579" s="2"/>
      <c r="I579" s="1"/>
      <c r="J579" s="1"/>
      <c r="K579" s="5"/>
      <c r="L579" s="6"/>
      <c r="Q579" s="5"/>
      <c r="R579" s="6"/>
      <c r="X579" s="2"/>
      <c r="Y579" s="1"/>
      <c r="AF579" s="2"/>
      <c r="AG579" s="1"/>
      <c r="BG579" s="1"/>
      <c r="BS579" s="3"/>
      <c r="CC579" s="1"/>
      <c r="CE579" s="1"/>
      <c r="CF579" s="1"/>
      <c r="CJ579" s="1"/>
      <c r="DF579" s="2"/>
    </row>
    <row r="580" spans="1:110">
      <c r="A580" s="1"/>
      <c r="B580" s="4"/>
      <c r="C580" s="1"/>
      <c r="D580" s="1"/>
      <c r="E580" s="1"/>
      <c r="F580" s="1"/>
      <c r="G580" s="1"/>
      <c r="H580" s="2"/>
      <c r="I580" s="1"/>
      <c r="J580" s="1"/>
      <c r="K580" s="5"/>
      <c r="L580" s="6"/>
      <c r="Q580" s="5"/>
      <c r="R580" s="6"/>
      <c r="X580" s="2"/>
      <c r="Y580" s="1"/>
      <c r="AF580" s="2"/>
      <c r="AG580" s="1"/>
      <c r="BG580" s="1"/>
      <c r="BS580" s="3"/>
      <c r="CC580" s="1"/>
      <c r="CE580" s="1"/>
      <c r="CF580" s="1"/>
      <c r="CJ580" s="1"/>
      <c r="DF580" s="2"/>
    </row>
    <row r="581" spans="1:110">
      <c r="A581" s="1"/>
      <c r="B581" s="4"/>
      <c r="C581" s="1"/>
      <c r="D581" s="1"/>
      <c r="E581" s="1"/>
      <c r="F581" s="1"/>
      <c r="G581" s="1"/>
      <c r="H581" s="2"/>
      <c r="I581" s="1"/>
      <c r="J581" s="1"/>
      <c r="K581" s="5"/>
      <c r="L581" s="6"/>
      <c r="Q581" s="5"/>
      <c r="R581" s="6"/>
      <c r="X581" s="2"/>
      <c r="Y581" s="1"/>
      <c r="AF581" s="2"/>
      <c r="AG581" s="1"/>
      <c r="BG581" s="1"/>
      <c r="BS581" s="3"/>
      <c r="CC581" s="1"/>
      <c r="CE581" s="1"/>
      <c r="CF581" s="1"/>
      <c r="CJ581" s="1"/>
      <c r="DF581" s="2"/>
    </row>
    <row r="582" spans="1:110">
      <c r="A582" s="1"/>
      <c r="B582" s="4"/>
      <c r="C582" s="1"/>
      <c r="D582" s="1"/>
      <c r="E582" s="1"/>
      <c r="F582" s="1"/>
      <c r="G582" s="1"/>
      <c r="H582" s="2"/>
      <c r="I582" s="1"/>
      <c r="J582" s="1"/>
      <c r="K582" s="5"/>
      <c r="L582" s="6"/>
      <c r="Q582" s="5"/>
      <c r="R582" s="6"/>
      <c r="X582" s="2"/>
      <c r="Y582" s="1"/>
      <c r="AF582" s="2"/>
      <c r="AG582" s="1"/>
      <c r="BG582" s="1"/>
      <c r="BS582" s="3"/>
      <c r="CC582" s="1"/>
      <c r="CE582" s="1"/>
      <c r="CF582" s="1"/>
      <c r="CJ582" s="1"/>
      <c r="DF582" s="2"/>
    </row>
    <row r="583" spans="1:110">
      <c r="A583" s="1"/>
      <c r="B583" s="4"/>
      <c r="C583" s="1"/>
      <c r="D583" s="1"/>
      <c r="E583" s="1"/>
      <c r="F583" s="1"/>
      <c r="G583" s="1"/>
      <c r="H583" s="2"/>
      <c r="I583" s="1"/>
      <c r="J583" s="1"/>
      <c r="K583" s="5"/>
      <c r="L583" s="6"/>
      <c r="Q583" s="5"/>
      <c r="R583" s="6"/>
      <c r="X583" s="2"/>
      <c r="Y583" s="1"/>
      <c r="AF583" s="2"/>
      <c r="AG583" s="1"/>
      <c r="BG583" s="1"/>
      <c r="BS583" s="3"/>
      <c r="CC583" s="1"/>
      <c r="CE583" s="1"/>
      <c r="CF583" s="1"/>
      <c r="CJ583" s="1"/>
      <c r="DF583" s="2"/>
    </row>
    <row r="584" spans="1:110">
      <c r="A584" s="1"/>
      <c r="B584" s="4"/>
      <c r="C584" s="1"/>
      <c r="D584" s="1"/>
      <c r="E584" s="1"/>
      <c r="F584" s="1"/>
      <c r="G584" s="1"/>
      <c r="H584" s="2"/>
      <c r="I584" s="1"/>
      <c r="J584" s="1"/>
      <c r="K584" s="5"/>
      <c r="L584" s="6"/>
      <c r="Q584" s="5"/>
      <c r="R584" s="6"/>
      <c r="X584" s="2"/>
      <c r="Y584" s="1"/>
      <c r="AF584" s="2"/>
      <c r="AG584" s="1"/>
      <c r="BG584" s="1"/>
      <c r="BS584" s="3"/>
      <c r="CC584" s="1"/>
      <c r="CE584" s="1"/>
      <c r="CF584" s="1"/>
      <c r="CJ584" s="1"/>
      <c r="DF584" s="2"/>
    </row>
    <row r="585" spans="1:110">
      <c r="A585" s="1"/>
      <c r="B585" s="4"/>
      <c r="C585" s="1"/>
      <c r="D585" s="1"/>
      <c r="E585" s="1"/>
      <c r="F585" s="1"/>
      <c r="G585" s="1"/>
      <c r="H585" s="2"/>
      <c r="I585" s="1"/>
      <c r="J585" s="1"/>
      <c r="K585" s="5"/>
      <c r="L585" s="6"/>
      <c r="Q585" s="5"/>
      <c r="R585" s="6"/>
      <c r="X585" s="2"/>
      <c r="Y585" s="1"/>
      <c r="AF585" s="2"/>
      <c r="AG585" s="1"/>
      <c r="BG585" s="1"/>
      <c r="BS585" s="3"/>
      <c r="CC585" s="1"/>
      <c r="CE585" s="1"/>
      <c r="CF585" s="1"/>
      <c r="CJ585" s="1"/>
      <c r="DF585" s="2"/>
    </row>
    <row r="586" spans="1:110">
      <c r="A586" s="1"/>
      <c r="B586" s="4"/>
      <c r="C586" s="1"/>
      <c r="D586" s="1"/>
      <c r="E586" s="1"/>
      <c r="F586" s="1"/>
      <c r="G586" s="1"/>
      <c r="H586" s="2"/>
      <c r="I586" s="1"/>
      <c r="J586" s="1"/>
      <c r="K586" s="5"/>
      <c r="L586" s="6"/>
      <c r="Q586" s="5"/>
      <c r="R586" s="6"/>
      <c r="X586" s="2"/>
      <c r="Y586" s="1"/>
      <c r="AF586" s="2"/>
      <c r="AG586" s="1"/>
      <c r="BG586" s="1"/>
      <c r="BS586" s="3"/>
      <c r="CC586" s="1"/>
      <c r="CE586" s="1"/>
      <c r="CF586" s="1"/>
      <c r="CJ586" s="1"/>
      <c r="DF586" s="2"/>
    </row>
    <row r="587" spans="1:110">
      <c r="A587" s="1"/>
      <c r="B587" s="4"/>
      <c r="C587" s="1"/>
      <c r="D587" s="1"/>
      <c r="E587" s="1"/>
      <c r="F587" s="1"/>
      <c r="G587" s="1"/>
      <c r="H587" s="2"/>
      <c r="I587" s="1"/>
      <c r="J587" s="1"/>
      <c r="K587" s="5"/>
      <c r="L587" s="6"/>
      <c r="Q587" s="5"/>
      <c r="R587" s="6"/>
      <c r="X587" s="2"/>
      <c r="Y587" s="1"/>
      <c r="AF587" s="2"/>
      <c r="AG587" s="1"/>
      <c r="BG587" s="1"/>
      <c r="BS587" s="3"/>
      <c r="CC587" s="1"/>
      <c r="CE587" s="1"/>
      <c r="CF587" s="1"/>
      <c r="CJ587" s="1"/>
      <c r="DF587" s="2"/>
    </row>
    <row r="588" spans="1:110">
      <c r="A588" s="1"/>
      <c r="B588" s="4"/>
      <c r="C588" s="1"/>
      <c r="D588" s="1"/>
      <c r="E588" s="1"/>
      <c r="F588" s="1"/>
      <c r="G588" s="1"/>
      <c r="H588" s="2"/>
      <c r="I588" s="1"/>
      <c r="J588" s="1"/>
      <c r="K588" s="5"/>
      <c r="L588" s="6"/>
      <c r="Q588" s="5"/>
      <c r="R588" s="6"/>
      <c r="X588" s="2"/>
      <c r="Y588" s="1"/>
      <c r="AF588" s="2"/>
      <c r="AG588" s="1"/>
      <c r="BG588" s="1"/>
      <c r="BS588" s="3"/>
      <c r="CC588" s="1"/>
      <c r="CE588" s="1"/>
      <c r="CF588" s="1"/>
      <c r="CJ588" s="1"/>
      <c r="DF588" s="2"/>
    </row>
    <row r="589" spans="1:110">
      <c r="A589" s="1"/>
      <c r="B589" s="4"/>
      <c r="C589" s="1"/>
      <c r="D589" s="1"/>
      <c r="E589" s="1"/>
      <c r="F589" s="1"/>
      <c r="G589" s="1"/>
      <c r="H589" s="2"/>
      <c r="I589" s="1"/>
      <c r="J589" s="1"/>
      <c r="K589" s="5"/>
      <c r="L589" s="6"/>
      <c r="Q589" s="5"/>
      <c r="R589" s="6"/>
      <c r="X589" s="2"/>
      <c r="Y589" s="1"/>
      <c r="AF589" s="2"/>
      <c r="AG589" s="1"/>
      <c r="BG589" s="1"/>
      <c r="BS589" s="3"/>
      <c r="CC589" s="1"/>
      <c r="CE589" s="1"/>
      <c r="CF589" s="1"/>
      <c r="CJ589" s="1"/>
      <c r="DF589" s="2"/>
    </row>
    <row r="590" spans="1:110">
      <c r="A590" s="1"/>
      <c r="B590" s="4"/>
      <c r="C590" s="1"/>
      <c r="D590" s="1"/>
      <c r="E590" s="1"/>
      <c r="F590" s="1"/>
      <c r="G590" s="1"/>
      <c r="H590" s="2"/>
      <c r="I590" s="1"/>
      <c r="J590" s="1"/>
      <c r="K590" s="5"/>
      <c r="L590" s="6"/>
      <c r="Q590" s="5"/>
      <c r="R590" s="6"/>
      <c r="X590" s="2"/>
      <c r="Y590" s="1"/>
      <c r="AF590" s="2"/>
      <c r="AG590" s="1"/>
      <c r="BG590" s="1"/>
      <c r="BS590" s="3"/>
      <c r="CC590" s="1"/>
      <c r="CE590" s="1"/>
      <c r="CF590" s="1"/>
      <c r="CJ590" s="1"/>
      <c r="DF590" s="2"/>
    </row>
    <row r="591" spans="1:110">
      <c r="A591" s="1"/>
      <c r="B591" s="4"/>
      <c r="C591" s="1"/>
      <c r="D591" s="1"/>
      <c r="E591" s="1"/>
      <c r="F591" s="1"/>
      <c r="G591" s="1"/>
      <c r="H591" s="2"/>
      <c r="I591" s="1"/>
      <c r="J591" s="1"/>
      <c r="K591" s="5"/>
      <c r="L591" s="6"/>
      <c r="Q591" s="5"/>
      <c r="R591" s="6"/>
      <c r="X591" s="2"/>
      <c r="Y591" s="1"/>
      <c r="AF591" s="2"/>
      <c r="AG591" s="1"/>
      <c r="BG591" s="1"/>
      <c r="BS591" s="3"/>
      <c r="CC591" s="1"/>
      <c r="CE591" s="1"/>
      <c r="CF591" s="1"/>
      <c r="CJ591" s="1"/>
      <c r="DF591" s="2"/>
    </row>
    <row r="592" spans="1:110">
      <c r="A592" s="1"/>
      <c r="B592" s="4"/>
      <c r="C592" s="1"/>
      <c r="D592" s="1"/>
      <c r="E592" s="1"/>
      <c r="F592" s="1"/>
      <c r="G592" s="1"/>
      <c r="H592" s="2"/>
      <c r="I592" s="1"/>
      <c r="J592" s="1"/>
      <c r="K592" s="5"/>
      <c r="L592" s="6"/>
      <c r="Q592" s="5"/>
      <c r="R592" s="6"/>
      <c r="X592" s="2"/>
      <c r="Y592" s="1"/>
      <c r="AF592" s="2"/>
      <c r="AG592" s="1"/>
      <c r="BG592" s="1"/>
      <c r="BS592" s="3"/>
      <c r="CC592" s="1"/>
      <c r="CE592" s="1"/>
      <c r="CF592" s="1"/>
      <c r="CJ592" s="1"/>
      <c r="DF592" s="2"/>
    </row>
    <row r="593" spans="1:110">
      <c r="A593" s="1"/>
      <c r="B593" s="4"/>
      <c r="C593" s="1"/>
      <c r="D593" s="1"/>
      <c r="E593" s="1"/>
      <c r="F593" s="1"/>
      <c r="G593" s="1"/>
      <c r="H593" s="2"/>
      <c r="I593" s="1"/>
      <c r="J593" s="1"/>
      <c r="K593" s="5"/>
      <c r="L593" s="6"/>
      <c r="Q593" s="5"/>
      <c r="R593" s="6"/>
      <c r="X593" s="2"/>
      <c r="Y593" s="1"/>
      <c r="AF593" s="2"/>
      <c r="AG593" s="1"/>
      <c r="BG593" s="1"/>
      <c r="BS593" s="3"/>
      <c r="CC593" s="1"/>
      <c r="CE593" s="1"/>
      <c r="CF593" s="1"/>
      <c r="CJ593" s="1"/>
      <c r="DF593" s="2"/>
    </row>
    <row r="594" spans="1:110">
      <c r="A594" s="1"/>
      <c r="B594" s="4"/>
      <c r="C594" s="1"/>
      <c r="D594" s="1"/>
      <c r="E594" s="1"/>
      <c r="F594" s="1"/>
      <c r="G594" s="1"/>
      <c r="H594" s="2"/>
      <c r="I594" s="1"/>
      <c r="J594" s="1"/>
      <c r="K594" s="5"/>
      <c r="L594" s="6"/>
      <c r="Q594" s="5"/>
      <c r="R594" s="6"/>
      <c r="X594" s="2"/>
      <c r="Y594" s="1"/>
      <c r="AF594" s="2"/>
      <c r="AG594" s="1"/>
      <c r="BG594" s="1"/>
      <c r="BS594" s="3"/>
      <c r="CC594" s="1"/>
      <c r="CE594" s="1"/>
      <c r="CF594" s="1"/>
      <c r="CJ594" s="1"/>
      <c r="DF594" s="2"/>
    </row>
    <row r="595" spans="1:110">
      <c r="A595" s="1"/>
      <c r="B595" s="4"/>
      <c r="C595" s="1"/>
      <c r="D595" s="1"/>
      <c r="E595" s="1"/>
      <c r="F595" s="1"/>
      <c r="G595" s="1"/>
      <c r="H595" s="2"/>
      <c r="I595" s="1"/>
      <c r="J595" s="1"/>
      <c r="K595" s="5"/>
      <c r="L595" s="6"/>
      <c r="Q595" s="5"/>
      <c r="R595" s="6"/>
      <c r="X595" s="2"/>
      <c r="Y595" s="1"/>
      <c r="AF595" s="2"/>
      <c r="AG595" s="1"/>
      <c r="BG595" s="1"/>
      <c r="BS595" s="3"/>
      <c r="CC595" s="1"/>
      <c r="CE595" s="1"/>
      <c r="CF595" s="1"/>
      <c r="CJ595" s="1"/>
      <c r="DF595" s="2"/>
    </row>
    <row r="596" spans="1:110">
      <c r="A596" s="1"/>
      <c r="B596" s="4"/>
      <c r="C596" s="1"/>
      <c r="D596" s="1"/>
      <c r="E596" s="1"/>
      <c r="F596" s="1"/>
      <c r="G596" s="1"/>
      <c r="H596" s="2"/>
      <c r="I596" s="1"/>
      <c r="J596" s="1"/>
      <c r="K596" s="5"/>
      <c r="L596" s="6"/>
      <c r="Q596" s="5"/>
      <c r="R596" s="6"/>
      <c r="X596" s="2"/>
      <c r="Y596" s="1"/>
      <c r="AF596" s="2"/>
      <c r="AG596" s="1"/>
      <c r="BG596" s="1"/>
      <c r="BS596" s="3"/>
      <c r="CC596" s="1"/>
      <c r="CE596" s="1"/>
      <c r="CF596" s="1"/>
      <c r="CJ596" s="1"/>
      <c r="DF596" s="2"/>
    </row>
    <row r="597" spans="1:110">
      <c r="A597" s="1"/>
      <c r="B597" s="4"/>
      <c r="C597" s="1"/>
      <c r="D597" s="1"/>
      <c r="E597" s="1"/>
      <c r="F597" s="1"/>
      <c r="G597" s="1"/>
      <c r="H597" s="2"/>
      <c r="I597" s="1"/>
      <c r="J597" s="1"/>
      <c r="K597" s="5"/>
      <c r="L597" s="6"/>
      <c r="Q597" s="5"/>
      <c r="R597" s="6"/>
      <c r="X597" s="2"/>
      <c r="Y597" s="1"/>
      <c r="AF597" s="2"/>
      <c r="AG597" s="1"/>
      <c r="BG597" s="1"/>
      <c r="BS597" s="3"/>
      <c r="CC597" s="1"/>
      <c r="CE597" s="1"/>
      <c r="CF597" s="1"/>
      <c r="CJ597" s="1"/>
      <c r="DF597" s="2"/>
    </row>
    <row r="598" spans="1:110">
      <c r="A598" s="1"/>
      <c r="B598" s="4"/>
      <c r="C598" s="1"/>
      <c r="D598" s="1"/>
      <c r="E598" s="1"/>
      <c r="F598" s="1"/>
      <c r="G598" s="1"/>
      <c r="H598" s="2"/>
      <c r="I598" s="1"/>
      <c r="J598" s="1"/>
      <c r="K598" s="5"/>
      <c r="L598" s="6"/>
      <c r="Q598" s="5"/>
      <c r="R598" s="6"/>
      <c r="X598" s="2"/>
      <c r="Y598" s="1"/>
      <c r="AF598" s="2"/>
      <c r="AG598" s="1"/>
      <c r="BG598" s="1"/>
      <c r="BS598" s="3"/>
      <c r="CC598" s="1"/>
      <c r="CE598" s="1"/>
      <c r="CF598" s="1"/>
      <c r="CJ598" s="1"/>
      <c r="DF598" s="2"/>
    </row>
    <row r="599" spans="1:110">
      <c r="A599" s="1"/>
      <c r="B599" s="4"/>
      <c r="C599" s="1"/>
      <c r="D599" s="1"/>
      <c r="E599" s="1"/>
      <c r="F599" s="1"/>
      <c r="G599" s="1"/>
      <c r="H599" s="2"/>
      <c r="I599" s="1"/>
      <c r="J599" s="1"/>
      <c r="K599" s="5"/>
      <c r="L599" s="6"/>
      <c r="Q599" s="5"/>
      <c r="R599" s="6"/>
      <c r="X599" s="2"/>
      <c r="Y599" s="1"/>
      <c r="AF599" s="2"/>
      <c r="AG599" s="1"/>
      <c r="BG599" s="1"/>
      <c r="BS599" s="3"/>
      <c r="CC599" s="1"/>
      <c r="CE599" s="1"/>
      <c r="CF599" s="1"/>
      <c r="CJ599" s="1"/>
      <c r="DF599" s="2"/>
    </row>
    <row r="600" spans="1:110">
      <c r="A600" s="1"/>
      <c r="B600" s="4"/>
      <c r="C600" s="1"/>
      <c r="D600" s="1"/>
      <c r="E600" s="1"/>
      <c r="F600" s="1"/>
      <c r="G600" s="1"/>
      <c r="H600" s="2"/>
      <c r="I600" s="1"/>
      <c r="J600" s="1"/>
      <c r="K600" s="5"/>
      <c r="L600" s="6"/>
      <c r="Q600" s="5"/>
      <c r="R600" s="6"/>
      <c r="X600" s="2"/>
      <c r="Y600" s="1"/>
      <c r="AF600" s="2"/>
      <c r="AG600" s="1"/>
      <c r="BG600" s="1"/>
      <c r="BS600" s="3"/>
      <c r="CC600" s="1"/>
      <c r="CE600" s="1"/>
      <c r="CF600" s="1"/>
      <c r="CJ600" s="1"/>
      <c r="DF600" s="2"/>
    </row>
    <row r="601" spans="1:110">
      <c r="A601" s="1"/>
      <c r="B601" s="4"/>
      <c r="C601" s="1"/>
      <c r="D601" s="1"/>
      <c r="E601" s="1"/>
      <c r="F601" s="1"/>
      <c r="G601" s="1"/>
      <c r="H601" s="2"/>
      <c r="I601" s="1"/>
      <c r="J601" s="1"/>
      <c r="K601" s="5"/>
      <c r="L601" s="6"/>
      <c r="Q601" s="5"/>
      <c r="R601" s="6"/>
      <c r="X601" s="2"/>
      <c r="Y601" s="1"/>
      <c r="AF601" s="2"/>
      <c r="AG601" s="1"/>
      <c r="BG601" s="1"/>
      <c r="BS601" s="3"/>
      <c r="CC601" s="1"/>
      <c r="CE601" s="1"/>
      <c r="CF601" s="1"/>
      <c r="CJ601" s="1"/>
      <c r="DF601" s="2"/>
    </row>
    <row r="602" spans="1:110">
      <c r="A602" s="1"/>
      <c r="B602" s="4"/>
      <c r="C602" s="1"/>
      <c r="D602" s="1"/>
      <c r="E602" s="1"/>
      <c r="F602" s="1"/>
      <c r="G602" s="1"/>
      <c r="H602" s="2"/>
      <c r="I602" s="1"/>
      <c r="J602" s="1"/>
      <c r="K602" s="5"/>
      <c r="L602" s="6"/>
      <c r="Q602" s="5"/>
      <c r="R602" s="6"/>
      <c r="X602" s="2"/>
      <c r="Y602" s="1"/>
      <c r="AF602" s="2"/>
      <c r="AG602" s="1"/>
      <c r="BG602" s="1"/>
      <c r="BS602" s="3"/>
      <c r="CC602" s="1"/>
      <c r="CE602" s="1"/>
      <c r="CF602" s="1"/>
      <c r="CJ602" s="1"/>
      <c r="DF602" s="2"/>
    </row>
    <row r="603" spans="1:110">
      <c r="A603" s="1"/>
      <c r="B603" s="4"/>
      <c r="C603" s="1"/>
      <c r="D603" s="1"/>
      <c r="E603" s="1"/>
      <c r="F603" s="1"/>
      <c r="G603" s="1"/>
      <c r="H603" s="2"/>
      <c r="I603" s="1"/>
      <c r="J603" s="1"/>
      <c r="K603" s="5"/>
      <c r="L603" s="6"/>
      <c r="Q603" s="5"/>
      <c r="R603" s="6"/>
      <c r="X603" s="2"/>
      <c r="Y603" s="1"/>
      <c r="AF603" s="2"/>
      <c r="AG603" s="1"/>
      <c r="BG603" s="1"/>
      <c r="BS603" s="3"/>
      <c r="CC603" s="1"/>
      <c r="CE603" s="1"/>
      <c r="CF603" s="1"/>
      <c r="CJ603" s="1"/>
      <c r="DF603" s="2"/>
    </row>
    <row r="604" spans="1:110">
      <c r="A604" s="1"/>
      <c r="B604" s="4"/>
      <c r="C604" s="1"/>
      <c r="D604" s="1"/>
      <c r="E604" s="1"/>
      <c r="F604" s="1"/>
      <c r="G604" s="1"/>
      <c r="H604" s="2"/>
      <c r="I604" s="1"/>
      <c r="J604" s="1"/>
      <c r="K604" s="5"/>
      <c r="L604" s="6"/>
      <c r="Q604" s="5"/>
      <c r="R604" s="6"/>
      <c r="X604" s="2"/>
      <c r="Y604" s="1"/>
      <c r="AF604" s="2"/>
      <c r="AG604" s="1"/>
      <c r="BG604" s="1"/>
      <c r="BS604" s="3"/>
      <c r="CC604" s="1"/>
      <c r="CE604" s="1"/>
      <c r="CF604" s="1"/>
      <c r="CJ604" s="1"/>
      <c r="DF604" s="2"/>
    </row>
    <row r="605" spans="1:110">
      <c r="A605" s="1"/>
      <c r="B605" s="4"/>
      <c r="C605" s="1"/>
      <c r="D605" s="1"/>
      <c r="E605" s="1"/>
      <c r="F605" s="1"/>
      <c r="G605" s="1"/>
      <c r="H605" s="2"/>
      <c r="I605" s="1"/>
      <c r="J605" s="1"/>
      <c r="K605" s="5"/>
      <c r="L605" s="6"/>
      <c r="Q605" s="5"/>
      <c r="R605" s="6"/>
      <c r="X605" s="2"/>
      <c r="Y605" s="1"/>
      <c r="AF605" s="2"/>
      <c r="AG605" s="1"/>
      <c r="BG605" s="1"/>
      <c r="BS605" s="3"/>
      <c r="CC605" s="1"/>
      <c r="CE605" s="1"/>
      <c r="CF605" s="1"/>
      <c r="CJ605" s="1"/>
      <c r="DF605" s="2"/>
    </row>
    <row r="606" spans="1:110">
      <c r="A606" s="1"/>
      <c r="B606" s="4"/>
      <c r="C606" s="1"/>
      <c r="D606" s="1"/>
      <c r="E606" s="1"/>
      <c r="F606" s="1"/>
      <c r="G606" s="1"/>
      <c r="H606" s="2"/>
      <c r="I606" s="1"/>
      <c r="J606" s="1"/>
      <c r="K606" s="5"/>
      <c r="L606" s="6"/>
      <c r="Q606" s="5"/>
      <c r="R606" s="6"/>
      <c r="X606" s="2"/>
      <c r="Y606" s="1"/>
      <c r="AF606" s="2"/>
      <c r="AG606" s="1"/>
      <c r="BG606" s="1"/>
      <c r="BS606" s="3"/>
      <c r="CC606" s="1"/>
      <c r="CE606" s="1"/>
      <c r="CF606" s="1"/>
      <c r="CJ606" s="1"/>
      <c r="DF606" s="2"/>
    </row>
    <row r="607" spans="1:110">
      <c r="A607" s="1"/>
      <c r="B607" s="4"/>
      <c r="C607" s="1"/>
      <c r="D607" s="1"/>
      <c r="E607" s="1"/>
      <c r="F607" s="1"/>
      <c r="G607" s="1"/>
      <c r="H607" s="2"/>
      <c r="I607" s="1"/>
      <c r="J607" s="1"/>
      <c r="K607" s="5"/>
      <c r="L607" s="6"/>
      <c r="Q607" s="5"/>
      <c r="R607" s="6"/>
      <c r="X607" s="2"/>
      <c r="Y607" s="1"/>
      <c r="AF607" s="2"/>
      <c r="AG607" s="1"/>
      <c r="BG607" s="1"/>
      <c r="BS607" s="3"/>
      <c r="CC607" s="1"/>
      <c r="CE607" s="1"/>
      <c r="CF607" s="1"/>
      <c r="CJ607" s="1"/>
      <c r="DF607" s="2"/>
    </row>
    <row r="608" spans="1:110">
      <c r="A608" s="1"/>
      <c r="B608" s="4"/>
      <c r="C608" s="1"/>
      <c r="D608" s="1"/>
      <c r="E608" s="1"/>
      <c r="F608" s="1"/>
      <c r="G608" s="1"/>
      <c r="H608" s="2"/>
      <c r="I608" s="1"/>
      <c r="J608" s="1"/>
      <c r="K608" s="5"/>
      <c r="L608" s="6"/>
      <c r="Q608" s="5"/>
      <c r="R608" s="6"/>
      <c r="X608" s="2"/>
      <c r="Y608" s="1"/>
      <c r="AF608" s="2"/>
      <c r="AG608" s="1"/>
      <c r="BG608" s="1"/>
      <c r="BS608" s="3"/>
      <c r="CC608" s="1"/>
      <c r="CE608" s="1"/>
      <c r="CF608" s="1"/>
      <c r="CJ608" s="1"/>
      <c r="DF608" s="2"/>
    </row>
    <row r="609" spans="1:110">
      <c r="A609" s="1"/>
      <c r="B609" s="4"/>
      <c r="C609" s="1"/>
      <c r="D609" s="1"/>
      <c r="E609" s="1"/>
      <c r="F609" s="1"/>
      <c r="G609" s="1"/>
      <c r="H609" s="2"/>
      <c r="I609" s="1"/>
      <c r="J609" s="1"/>
      <c r="K609" s="5"/>
      <c r="L609" s="6"/>
      <c r="Q609" s="5"/>
      <c r="R609" s="6"/>
      <c r="X609" s="2"/>
      <c r="Y609" s="1"/>
      <c r="AF609" s="2"/>
      <c r="AG609" s="1"/>
      <c r="BG609" s="1"/>
      <c r="BS609" s="3"/>
      <c r="CC609" s="1"/>
      <c r="CE609" s="1"/>
      <c r="CF609" s="1"/>
      <c r="CJ609" s="1"/>
      <c r="DF609" s="2"/>
    </row>
    <row r="610" spans="1:110">
      <c r="A610" s="1"/>
      <c r="B610" s="4"/>
      <c r="C610" s="1"/>
      <c r="D610" s="1"/>
      <c r="E610" s="1"/>
      <c r="F610" s="1"/>
      <c r="G610" s="1"/>
      <c r="H610" s="2"/>
      <c r="I610" s="1"/>
      <c r="J610" s="1"/>
      <c r="K610" s="5"/>
      <c r="L610" s="6"/>
      <c r="Q610" s="5"/>
      <c r="R610" s="6"/>
      <c r="X610" s="2"/>
      <c r="Y610" s="1"/>
      <c r="AF610" s="2"/>
      <c r="AG610" s="1"/>
      <c r="BG610" s="1"/>
      <c r="BS610" s="3"/>
      <c r="CC610" s="1"/>
      <c r="CE610" s="1"/>
      <c r="CF610" s="1"/>
      <c r="CJ610" s="1"/>
      <c r="DF610" s="2"/>
    </row>
    <row r="611" spans="1:110">
      <c r="A611" s="1"/>
      <c r="B611" s="4"/>
      <c r="C611" s="1"/>
      <c r="D611" s="1"/>
      <c r="E611" s="1"/>
      <c r="F611" s="1"/>
      <c r="G611" s="1"/>
      <c r="H611" s="2"/>
      <c r="I611" s="1"/>
      <c r="J611" s="1"/>
      <c r="K611" s="5"/>
      <c r="L611" s="6"/>
      <c r="Q611" s="5"/>
      <c r="R611" s="6"/>
      <c r="X611" s="2"/>
      <c r="Y611" s="1"/>
      <c r="AF611" s="2"/>
      <c r="AG611" s="1"/>
      <c r="BG611" s="1"/>
      <c r="BS611" s="3"/>
      <c r="CC611" s="1"/>
      <c r="CE611" s="1"/>
      <c r="CF611" s="1"/>
      <c r="CJ611" s="1"/>
      <c r="DF611" s="2"/>
    </row>
    <row r="612" spans="1:110">
      <c r="A612" s="1"/>
      <c r="B612" s="4"/>
      <c r="C612" s="1"/>
      <c r="D612" s="1"/>
      <c r="E612" s="1"/>
      <c r="F612" s="1"/>
      <c r="G612" s="1"/>
      <c r="H612" s="2"/>
      <c r="I612" s="1"/>
      <c r="J612" s="1"/>
      <c r="K612" s="5"/>
      <c r="L612" s="6"/>
      <c r="Q612" s="5"/>
      <c r="R612" s="6"/>
      <c r="X612" s="2"/>
      <c r="Y612" s="1"/>
      <c r="AF612" s="2"/>
      <c r="AG612" s="1"/>
      <c r="BG612" s="1"/>
      <c r="BS612" s="3"/>
      <c r="CC612" s="1"/>
      <c r="CE612" s="1"/>
      <c r="CF612" s="1"/>
      <c r="CJ612" s="1"/>
      <c r="DF612" s="2"/>
    </row>
    <row r="613" spans="1:110">
      <c r="A613" s="1"/>
      <c r="B613" s="4"/>
      <c r="C613" s="1"/>
      <c r="D613" s="1"/>
      <c r="E613" s="1"/>
      <c r="F613" s="1"/>
      <c r="G613" s="1"/>
      <c r="H613" s="2"/>
      <c r="I613" s="1"/>
      <c r="J613" s="1"/>
      <c r="K613" s="5"/>
      <c r="L613" s="6"/>
      <c r="Q613" s="5"/>
      <c r="R613" s="6"/>
      <c r="X613" s="2"/>
      <c r="Y613" s="1"/>
      <c r="AF613" s="2"/>
      <c r="AG613" s="1"/>
      <c r="BG613" s="1"/>
      <c r="BS613" s="3"/>
      <c r="CC613" s="1"/>
      <c r="CE613" s="1"/>
      <c r="CF613" s="1"/>
      <c r="CJ613" s="1"/>
      <c r="DF613" s="2"/>
    </row>
    <row r="614" spans="1:110">
      <c r="A614" s="1"/>
      <c r="B614" s="4"/>
      <c r="C614" s="1"/>
      <c r="D614" s="1"/>
      <c r="E614" s="1"/>
      <c r="F614" s="1"/>
      <c r="G614" s="1"/>
      <c r="H614" s="2"/>
      <c r="I614" s="1"/>
      <c r="J614" s="1"/>
      <c r="K614" s="5"/>
      <c r="L614" s="6"/>
      <c r="Q614" s="5"/>
      <c r="R614" s="6"/>
      <c r="X614" s="2"/>
      <c r="Y614" s="1"/>
      <c r="AF614" s="2"/>
      <c r="AG614" s="1"/>
      <c r="BG614" s="1"/>
      <c r="BS614" s="3"/>
      <c r="CC614" s="1"/>
      <c r="CE614" s="1"/>
      <c r="CF614" s="1"/>
      <c r="CJ614" s="1"/>
      <c r="DF614" s="2"/>
    </row>
    <row r="615" spans="1:110">
      <c r="A615" s="1"/>
      <c r="B615" s="4"/>
      <c r="C615" s="1"/>
      <c r="D615" s="1"/>
      <c r="E615" s="1"/>
      <c r="F615" s="1"/>
      <c r="G615" s="1"/>
      <c r="H615" s="2"/>
      <c r="I615" s="1"/>
      <c r="J615" s="1"/>
      <c r="K615" s="5"/>
      <c r="L615" s="6"/>
      <c r="Q615" s="5"/>
      <c r="R615" s="6"/>
      <c r="X615" s="2"/>
      <c r="Y615" s="1"/>
      <c r="AF615" s="2"/>
      <c r="AG615" s="1"/>
      <c r="BG615" s="1"/>
      <c r="BS615" s="3"/>
      <c r="CC615" s="1"/>
      <c r="CE615" s="1"/>
      <c r="CF615" s="1"/>
      <c r="CJ615" s="1"/>
      <c r="DF615" s="2"/>
    </row>
    <row r="616" spans="1:110">
      <c r="A616" s="1"/>
      <c r="B616" s="4"/>
      <c r="C616" s="1"/>
      <c r="D616" s="1"/>
      <c r="E616" s="1"/>
      <c r="F616" s="1"/>
      <c r="G616" s="1"/>
      <c r="H616" s="2"/>
      <c r="I616" s="1"/>
      <c r="J616" s="1"/>
      <c r="K616" s="5"/>
      <c r="L616" s="6"/>
      <c r="Q616" s="5"/>
      <c r="R616" s="6"/>
      <c r="X616" s="2"/>
      <c r="Y616" s="1"/>
      <c r="AF616" s="2"/>
      <c r="AG616" s="1"/>
      <c r="BG616" s="1"/>
      <c r="BS616" s="3"/>
      <c r="CC616" s="1"/>
      <c r="CE616" s="1"/>
      <c r="CF616" s="1"/>
      <c r="CJ616" s="1"/>
      <c r="DF616" s="2"/>
    </row>
    <row r="617" spans="1:110">
      <c r="A617" s="1"/>
      <c r="B617" s="4"/>
      <c r="C617" s="1"/>
      <c r="D617" s="1"/>
      <c r="E617" s="1"/>
      <c r="F617" s="1"/>
      <c r="G617" s="1"/>
      <c r="H617" s="2"/>
      <c r="I617" s="1"/>
      <c r="J617" s="1"/>
      <c r="K617" s="5"/>
      <c r="L617" s="6"/>
      <c r="Q617" s="5"/>
      <c r="R617" s="6"/>
      <c r="X617" s="2"/>
      <c r="Y617" s="1"/>
      <c r="AF617" s="2"/>
      <c r="AG617" s="1"/>
      <c r="BG617" s="1"/>
      <c r="BS617" s="3"/>
      <c r="CC617" s="1"/>
      <c r="CE617" s="1"/>
      <c r="CF617" s="1"/>
      <c r="CJ617" s="1"/>
      <c r="DF617" s="2"/>
    </row>
    <row r="618" spans="1:110">
      <c r="A618" s="1"/>
      <c r="B618" s="4"/>
      <c r="C618" s="1"/>
      <c r="D618" s="1"/>
      <c r="E618" s="1"/>
      <c r="F618" s="1"/>
      <c r="G618" s="1"/>
      <c r="H618" s="2"/>
      <c r="I618" s="1"/>
      <c r="J618" s="1"/>
      <c r="K618" s="5"/>
      <c r="L618" s="6"/>
      <c r="Q618" s="5"/>
      <c r="R618" s="6"/>
      <c r="X618" s="2"/>
      <c r="Y618" s="1"/>
      <c r="AF618" s="2"/>
      <c r="AG618" s="1"/>
      <c r="BG618" s="1"/>
      <c r="BS618" s="3"/>
      <c r="CC618" s="1"/>
      <c r="CE618" s="1"/>
      <c r="CF618" s="1"/>
      <c r="CJ618" s="1"/>
      <c r="DF618" s="2"/>
    </row>
    <row r="619" spans="1:110">
      <c r="A619" s="1"/>
      <c r="B619" s="4"/>
      <c r="C619" s="1"/>
      <c r="D619" s="1"/>
      <c r="E619" s="1"/>
      <c r="F619" s="1"/>
      <c r="G619" s="1"/>
      <c r="H619" s="2"/>
      <c r="I619" s="1"/>
      <c r="J619" s="1"/>
      <c r="K619" s="5"/>
      <c r="L619" s="6"/>
      <c r="Q619" s="5"/>
      <c r="R619" s="6"/>
      <c r="X619" s="2"/>
      <c r="Y619" s="1"/>
      <c r="AF619" s="2"/>
      <c r="AG619" s="1"/>
      <c r="BG619" s="1"/>
      <c r="BS619" s="3"/>
      <c r="CC619" s="1"/>
      <c r="CE619" s="1"/>
      <c r="CF619" s="1"/>
      <c r="CJ619" s="1"/>
      <c r="DF619" s="2"/>
    </row>
    <row r="620" spans="1:110">
      <c r="A620" s="1"/>
      <c r="B620" s="4"/>
      <c r="C620" s="1"/>
      <c r="D620" s="1"/>
      <c r="E620" s="1"/>
      <c r="F620" s="1"/>
      <c r="G620" s="1"/>
      <c r="H620" s="2"/>
      <c r="I620" s="1"/>
      <c r="J620" s="1"/>
      <c r="K620" s="5"/>
      <c r="L620" s="6"/>
      <c r="Q620" s="5"/>
      <c r="R620" s="6"/>
      <c r="X620" s="2"/>
      <c r="Y620" s="1"/>
      <c r="AF620" s="2"/>
      <c r="AG620" s="1"/>
      <c r="BG620" s="1"/>
      <c r="BS620" s="3"/>
      <c r="CC620" s="1"/>
      <c r="CE620" s="1"/>
      <c r="CF620" s="1"/>
      <c r="CJ620" s="1"/>
      <c r="DF620" s="2"/>
    </row>
    <row r="621" spans="1:110">
      <c r="A621" s="1"/>
      <c r="B621" s="4"/>
      <c r="C621" s="1"/>
      <c r="D621" s="1"/>
      <c r="E621" s="1"/>
      <c r="F621" s="1"/>
      <c r="G621" s="1"/>
      <c r="H621" s="2"/>
      <c r="I621" s="1"/>
      <c r="J621" s="1"/>
      <c r="K621" s="5"/>
      <c r="L621" s="6"/>
      <c r="Q621" s="5"/>
      <c r="R621" s="6"/>
      <c r="X621" s="2"/>
      <c r="Y621" s="1"/>
      <c r="AF621" s="2"/>
      <c r="AG621" s="1"/>
      <c r="BG621" s="1"/>
      <c r="BS621" s="3"/>
      <c r="CC621" s="1"/>
      <c r="CE621" s="1"/>
      <c r="CF621" s="1"/>
      <c r="CJ621" s="1"/>
      <c r="DF621" s="2"/>
    </row>
    <row r="622" spans="1:110">
      <c r="A622" s="1"/>
      <c r="B622" s="4"/>
      <c r="C622" s="1"/>
      <c r="D622" s="1"/>
      <c r="E622" s="1"/>
      <c r="F622" s="1"/>
      <c r="G622" s="1"/>
      <c r="H622" s="2"/>
      <c r="I622" s="1"/>
      <c r="J622" s="1"/>
      <c r="K622" s="5"/>
      <c r="L622" s="6"/>
      <c r="Q622" s="5"/>
      <c r="R622" s="6"/>
      <c r="X622" s="2"/>
      <c r="Y622" s="1"/>
      <c r="AF622" s="2"/>
      <c r="AG622" s="1"/>
      <c r="BG622" s="1"/>
      <c r="BS622" s="3"/>
      <c r="CC622" s="1"/>
      <c r="CE622" s="1"/>
      <c r="CF622" s="1"/>
      <c r="CJ622" s="1"/>
      <c r="DF622" s="2"/>
    </row>
    <row r="623" spans="1:110">
      <c r="A623" s="1"/>
      <c r="B623" s="4"/>
      <c r="C623" s="1"/>
      <c r="D623" s="1"/>
      <c r="E623" s="1"/>
      <c r="F623" s="1"/>
      <c r="G623" s="1"/>
      <c r="H623" s="2"/>
      <c r="I623" s="1"/>
      <c r="J623" s="1"/>
      <c r="K623" s="5"/>
      <c r="L623" s="6"/>
      <c r="Q623" s="5"/>
      <c r="R623" s="6"/>
      <c r="X623" s="2"/>
      <c r="Y623" s="1"/>
      <c r="AF623" s="2"/>
      <c r="AG623" s="1"/>
      <c r="BG623" s="1"/>
      <c r="BS623" s="3"/>
      <c r="CC623" s="1"/>
      <c r="CE623" s="1"/>
      <c r="CF623" s="1"/>
      <c r="CJ623" s="1"/>
      <c r="DF623" s="2"/>
    </row>
    <row r="624" spans="1:110">
      <c r="A624" s="1"/>
      <c r="B624" s="4"/>
      <c r="C624" s="1"/>
      <c r="D624" s="1"/>
      <c r="E624" s="1"/>
      <c r="F624" s="1"/>
      <c r="G624" s="1"/>
      <c r="H624" s="2"/>
      <c r="I624" s="1"/>
      <c r="J624" s="1"/>
      <c r="K624" s="5"/>
      <c r="L624" s="6"/>
      <c r="Q624" s="5"/>
      <c r="R624" s="6"/>
      <c r="X624" s="2"/>
      <c r="Y624" s="1"/>
      <c r="AF624" s="2"/>
      <c r="AG624" s="1"/>
      <c r="BG624" s="1"/>
      <c r="BS624" s="3"/>
      <c r="CC624" s="1"/>
      <c r="CE624" s="1"/>
      <c r="CF624" s="1"/>
      <c r="CJ624" s="1"/>
      <c r="DF624" s="2"/>
    </row>
    <row r="625" spans="1:110">
      <c r="A625" s="1"/>
      <c r="B625" s="4"/>
      <c r="C625" s="1"/>
      <c r="D625" s="1"/>
      <c r="E625" s="1"/>
      <c r="F625" s="1"/>
      <c r="G625" s="1"/>
      <c r="H625" s="2"/>
      <c r="I625" s="1"/>
      <c r="J625" s="1"/>
      <c r="K625" s="5"/>
      <c r="L625" s="6"/>
      <c r="Q625" s="5"/>
      <c r="R625" s="6"/>
      <c r="X625" s="2"/>
      <c r="Y625" s="1"/>
      <c r="AF625" s="2"/>
      <c r="AG625" s="1"/>
      <c r="BG625" s="1"/>
      <c r="BS625" s="3"/>
      <c r="CC625" s="1"/>
      <c r="CE625" s="1"/>
      <c r="CF625" s="1"/>
      <c r="CJ625" s="1"/>
      <c r="DF625" s="2"/>
    </row>
    <row r="626" spans="1:110">
      <c r="A626" s="1"/>
      <c r="B626" s="4"/>
      <c r="C626" s="1"/>
      <c r="D626" s="1"/>
      <c r="E626" s="1"/>
      <c r="F626" s="1"/>
      <c r="G626" s="1"/>
      <c r="H626" s="2"/>
      <c r="I626" s="1"/>
      <c r="J626" s="1"/>
      <c r="K626" s="5"/>
      <c r="L626" s="6"/>
      <c r="Q626" s="5"/>
      <c r="R626" s="6"/>
      <c r="X626" s="2"/>
      <c r="Y626" s="1"/>
      <c r="AF626" s="2"/>
      <c r="AG626" s="1"/>
      <c r="BG626" s="1"/>
      <c r="BS626" s="3"/>
      <c r="CC626" s="1"/>
      <c r="CE626" s="1"/>
      <c r="CF626" s="1"/>
      <c r="CJ626" s="1"/>
      <c r="DF626" s="2"/>
    </row>
    <row r="627" spans="1:110">
      <c r="A627" s="1"/>
      <c r="B627" s="4"/>
      <c r="C627" s="1"/>
      <c r="D627" s="1"/>
      <c r="E627" s="1"/>
      <c r="F627" s="1"/>
      <c r="G627" s="1"/>
      <c r="H627" s="2"/>
      <c r="I627" s="1"/>
      <c r="J627" s="1"/>
      <c r="K627" s="5"/>
      <c r="L627" s="6"/>
      <c r="Q627" s="5"/>
      <c r="R627" s="6"/>
      <c r="X627" s="2"/>
      <c r="Y627" s="1"/>
      <c r="AF627" s="2"/>
      <c r="AG627" s="1"/>
      <c r="BG627" s="1"/>
      <c r="BS627" s="3"/>
      <c r="CC627" s="1"/>
      <c r="CE627" s="1"/>
      <c r="CF627" s="1"/>
      <c r="CJ627" s="1"/>
      <c r="DF627" s="2"/>
    </row>
    <row r="628" spans="1:110">
      <c r="A628" s="1"/>
      <c r="B628" s="4"/>
      <c r="C628" s="1"/>
      <c r="D628" s="1"/>
      <c r="E628" s="1"/>
      <c r="F628" s="1"/>
      <c r="G628" s="1"/>
      <c r="H628" s="2"/>
      <c r="I628" s="1"/>
      <c r="J628" s="1"/>
      <c r="K628" s="5"/>
      <c r="L628" s="6"/>
      <c r="Q628" s="5"/>
      <c r="R628" s="6"/>
      <c r="X628" s="2"/>
      <c r="Y628" s="1"/>
      <c r="AF628" s="2"/>
      <c r="AG628" s="1"/>
      <c r="BG628" s="1"/>
      <c r="BS628" s="3"/>
      <c r="CC628" s="1"/>
      <c r="CE628" s="1"/>
      <c r="CF628" s="1"/>
      <c r="CJ628" s="1"/>
      <c r="DF628" s="2"/>
    </row>
    <row r="629" spans="1:110">
      <c r="A629" s="1"/>
      <c r="B629" s="4"/>
      <c r="C629" s="1"/>
      <c r="D629" s="1"/>
      <c r="E629" s="1"/>
      <c r="F629" s="1"/>
      <c r="G629" s="1"/>
      <c r="H629" s="2"/>
      <c r="I629" s="1"/>
      <c r="J629" s="1"/>
      <c r="K629" s="5"/>
      <c r="L629" s="6"/>
      <c r="Q629" s="5"/>
      <c r="R629" s="6"/>
      <c r="X629" s="2"/>
      <c r="Y629" s="1"/>
      <c r="AF629" s="2"/>
      <c r="AG629" s="1"/>
      <c r="BG629" s="1"/>
      <c r="BS629" s="3"/>
      <c r="CC629" s="1"/>
      <c r="CE629" s="1"/>
      <c r="CF629" s="1"/>
      <c r="CJ629" s="1"/>
      <c r="DF629" s="2"/>
    </row>
    <row r="630" spans="1:110">
      <c r="A630" s="1"/>
      <c r="B630" s="4"/>
      <c r="C630" s="1"/>
      <c r="D630" s="1"/>
      <c r="E630" s="1"/>
      <c r="F630" s="1"/>
      <c r="G630" s="1"/>
      <c r="H630" s="2"/>
      <c r="I630" s="1"/>
      <c r="J630" s="1"/>
      <c r="K630" s="5"/>
      <c r="L630" s="6"/>
      <c r="Q630" s="5"/>
      <c r="R630" s="6"/>
      <c r="X630" s="2"/>
      <c r="Y630" s="1"/>
      <c r="AF630" s="2"/>
      <c r="AG630" s="1"/>
      <c r="BG630" s="1"/>
      <c r="BS630" s="3"/>
      <c r="CC630" s="1"/>
      <c r="CE630" s="1"/>
      <c r="CF630" s="1"/>
      <c r="CJ630" s="1"/>
      <c r="DF630" s="2"/>
    </row>
    <row r="631" spans="1:110">
      <c r="A631" s="1"/>
      <c r="B631" s="4"/>
      <c r="C631" s="1"/>
      <c r="D631" s="1"/>
      <c r="E631" s="1"/>
      <c r="F631" s="1"/>
      <c r="G631" s="1"/>
      <c r="H631" s="2"/>
      <c r="I631" s="1"/>
      <c r="J631" s="1"/>
      <c r="K631" s="5"/>
      <c r="L631" s="6"/>
      <c r="Q631" s="5"/>
      <c r="R631" s="6"/>
      <c r="X631" s="2"/>
      <c r="Y631" s="1"/>
      <c r="AF631" s="2"/>
      <c r="AG631" s="1"/>
      <c r="BG631" s="1"/>
      <c r="BS631" s="3"/>
      <c r="CC631" s="1"/>
      <c r="CE631" s="1"/>
      <c r="CF631" s="1"/>
      <c r="CJ631" s="1"/>
      <c r="DF631" s="2"/>
    </row>
    <row r="632" spans="1:110">
      <c r="A632" s="1"/>
      <c r="B632" s="4"/>
      <c r="C632" s="1"/>
      <c r="D632" s="1"/>
      <c r="E632" s="1"/>
      <c r="F632" s="1"/>
      <c r="G632" s="1"/>
      <c r="H632" s="2"/>
      <c r="I632" s="1"/>
      <c r="J632" s="1"/>
      <c r="K632" s="5"/>
      <c r="L632" s="6"/>
      <c r="Q632" s="5"/>
      <c r="R632" s="6"/>
      <c r="X632" s="2"/>
      <c r="Y632" s="1"/>
      <c r="AF632" s="2"/>
      <c r="AG632" s="1"/>
      <c r="BG632" s="1"/>
      <c r="BS632" s="3"/>
      <c r="CC632" s="1"/>
      <c r="CE632" s="1"/>
      <c r="CF632" s="1"/>
      <c r="CJ632" s="1"/>
      <c r="DF632" s="2"/>
    </row>
    <row r="633" spans="1:110">
      <c r="A633" s="1"/>
      <c r="B633" s="4"/>
      <c r="C633" s="1"/>
      <c r="D633" s="1"/>
      <c r="E633" s="1"/>
      <c r="F633" s="1"/>
      <c r="G633" s="1"/>
      <c r="H633" s="2"/>
      <c r="I633" s="1"/>
      <c r="J633" s="1"/>
      <c r="K633" s="5"/>
      <c r="L633" s="6"/>
      <c r="Q633" s="5"/>
      <c r="R633" s="6"/>
      <c r="X633" s="2"/>
      <c r="Y633" s="1"/>
      <c r="AF633" s="2"/>
      <c r="AG633" s="1"/>
      <c r="BG633" s="1"/>
      <c r="BS633" s="3"/>
      <c r="CC633" s="1"/>
      <c r="CE633" s="1"/>
      <c r="CF633" s="1"/>
      <c r="CJ633" s="1"/>
      <c r="DF633" s="2"/>
    </row>
    <row r="634" spans="1:110">
      <c r="A634" s="1"/>
      <c r="B634" s="4"/>
      <c r="C634" s="1"/>
      <c r="D634" s="1"/>
      <c r="E634" s="1"/>
      <c r="F634" s="1"/>
      <c r="G634" s="1"/>
      <c r="H634" s="2"/>
      <c r="I634" s="1"/>
      <c r="J634" s="1"/>
      <c r="K634" s="5"/>
      <c r="L634" s="6"/>
      <c r="Q634" s="5"/>
      <c r="R634" s="6"/>
      <c r="X634" s="2"/>
      <c r="Y634" s="1"/>
      <c r="AF634" s="2"/>
      <c r="AG634" s="1"/>
      <c r="BG634" s="1"/>
      <c r="BS634" s="3"/>
      <c r="CC634" s="1"/>
      <c r="CE634" s="1"/>
      <c r="CF634" s="1"/>
      <c r="CJ634" s="1"/>
      <c r="DF634" s="2"/>
    </row>
    <row r="635" spans="1:110">
      <c r="A635" s="1"/>
      <c r="B635" s="4"/>
      <c r="C635" s="1"/>
      <c r="D635" s="1"/>
      <c r="E635" s="1"/>
      <c r="F635" s="1"/>
      <c r="G635" s="1"/>
      <c r="H635" s="2"/>
      <c r="I635" s="1"/>
      <c r="J635" s="1"/>
      <c r="K635" s="5"/>
      <c r="L635" s="6"/>
      <c r="Q635" s="5"/>
      <c r="R635" s="6"/>
      <c r="X635" s="2"/>
      <c r="Y635" s="1"/>
      <c r="AF635" s="2"/>
      <c r="AG635" s="1"/>
      <c r="BG635" s="1"/>
      <c r="BS635" s="3"/>
      <c r="CC635" s="1"/>
      <c r="CE635" s="1"/>
      <c r="CF635" s="1"/>
      <c r="CJ635" s="1"/>
      <c r="DF635" s="2"/>
    </row>
    <row r="636" spans="1:110">
      <c r="A636" s="1"/>
      <c r="B636" s="4"/>
      <c r="C636" s="1"/>
      <c r="D636" s="1"/>
      <c r="E636" s="1"/>
      <c r="F636" s="1"/>
      <c r="G636" s="1"/>
      <c r="H636" s="2"/>
      <c r="I636" s="1"/>
      <c r="J636" s="1"/>
      <c r="K636" s="5"/>
      <c r="L636" s="6"/>
      <c r="Q636" s="5"/>
      <c r="R636" s="6"/>
      <c r="X636" s="2"/>
      <c r="Y636" s="1"/>
      <c r="AF636" s="2"/>
      <c r="AG636" s="1"/>
      <c r="BG636" s="1"/>
      <c r="BS636" s="3"/>
      <c r="CC636" s="1"/>
      <c r="CE636" s="1"/>
      <c r="CF636" s="1"/>
      <c r="CJ636" s="1"/>
      <c r="DF636" s="2"/>
    </row>
    <row r="637" spans="1:110">
      <c r="A637" s="1"/>
      <c r="B637" s="4"/>
      <c r="C637" s="1"/>
      <c r="D637" s="1"/>
      <c r="E637" s="1"/>
      <c r="F637" s="1"/>
      <c r="G637" s="1"/>
      <c r="H637" s="2"/>
      <c r="I637" s="1"/>
      <c r="J637" s="1"/>
      <c r="K637" s="5"/>
      <c r="L637" s="6"/>
      <c r="Q637" s="5"/>
      <c r="R637" s="6"/>
      <c r="X637" s="2"/>
      <c r="Y637" s="1"/>
      <c r="AF637" s="2"/>
      <c r="AG637" s="1"/>
      <c r="BG637" s="1"/>
      <c r="BS637" s="3"/>
      <c r="CC637" s="1"/>
      <c r="CE637" s="1"/>
      <c r="CF637" s="1"/>
      <c r="CJ637" s="1"/>
      <c r="DF637" s="2"/>
    </row>
    <row r="638" spans="1:110">
      <c r="A638" s="1"/>
      <c r="B638" s="4"/>
      <c r="C638" s="1"/>
      <c r="D638" s="1"/>
      <c r="E638" s="1"/>
      <c r="F638" s="1"/>
      <c r="G638" s="1"/>
      <c r="H638" s="2"/>
      <c r="I638" s="1"/>
      <c r="J638" s="1"/>
      <c r="K638" s="5"/>
      <c r="L638" s="6"/>
      <c r="Q638" s="5"/>
      <c r="R638" s="6"/>
      <c r="X638" s="2"/>
      <c r="Y638" s="1"/>
      <c r="AF638" s="2"/>
      <c r="AG638" s="1"/>
      <c r="BG638" s="1"/>
      <c r="BS638" s="3"/>
      <c r="CC638" s="1"/>
      <c r="CE638" s="1"/>
      <c r="CF638" s="1"/>
      <c r="CJ638" s="1"/>
      <c r="DF638" s="2"/>
    </row>
    <row r="639" spans="1:110">
      <c r="A639" s="1"/>
      <c r="B639" s="4"/>
      <c r="C639" s="1"/>
      <c r="D639" s="1"/>
      <c r="E639" s="1"/>
      <c r="F639" s="1"/>
      <c r="G639" s="1"/>
      <c r="H639" s="2"/>
      <c r="I639" s="1"/>
      <c r="J639" s="1"/>
      <c r="K639" s="5"/>
      <c r="L639" s="6"/>
      <c r="Q639" s="5"/>
      <c r="R639" s="6"/>
      <c r="X639" s="2"/>
      <c r="Y639" s="1"/>
      <c r="AF639" s="2"/>
      <c r="AG639" s="1"/>
      <c r="BG639" s="1"/>
      <c r="BS639" s="3"/>
      <c r="CC639" s="1"/>
      <c r="CE639" s="1"/>
      <c r="CF639" s="1"/>
      <c r="CJ639" s="1"/>
      <c r="DF639" s="2"/>
    </row>
    <row r="640" spans="1:110">
      <c r="A640" s="1"/>
      <c r="B640" s="4"/>
      <c r="C640" s="1"/>
      <c r="D640" s="1"/>
      <c r="E640" s="1"/>
      <c r="F640" s="1"/>
      <c r="G640" s="1"/>
      <c r="H640" s="2"/>
      <c r="I640" s="1"/>
      <c r="J640" s="1"/>
      <c r="K640" s="5"/>
      <c r="L640" s="6"/>
      <c r="Q640" s="5"/>
      <c r="R640" s="6"/>
      <c r="X640" s="2"/>
      <c r="Y640" s="1"/>
      <c r="AF640" s="2"/>
      <c r="AG640" s="1"/>
      <c r="BG640" s="1"/>
      <c r="BS640" s="3"/>
      <c r="CC640" s="1"/>
      <c r="CE640" s="1"/>
      <c r="CF640" s="1"/>
      <c r="CJ640" s="1"/>
      <c r="DF640" s="2"/>
    </row>
    <row r="641" spans="1:110">
      <c r="A641" s="1"/>
      <c r="B641" s="4"/>
      <c r="C641" s="1"/>
      <c r="D641" s="1"/>
      <c r="E641" s="1"/>
      <c r="F641" s="1"/>
      <c r="G641" s="1"/>
      <c r="H641" s="2"/>
      <c r="I641" s="1"/>
      <c r="J641" s="1"/>
      <c r="K641" s="5"/>
      <c r="L641" s="6"/>
      <c r="Q641" s="5"/>
      <c r="R641" s="6"/>
      <c r="X641" s="2"/>
      <c r="Y641" s="1"/>
      <c r="AF641" s="2"/>
      <c r="AG641" s="1"/>
      <c r="BG641" s="1"/>
      <c r="BS641" s="3"/>
      <c r="CC641" s="1"/>
      <c r="CE641" s="1"/>
      <c r="CF641" s="1"/>
      <c r="CJ641" s="1"/>
      <c r="DF641" s="2"/>
    </row>
    <row r="642" spans="1:110">
      <c r="A642" s="1"/>
      <c r="B642" s="4"/>
      <c r="C642" s="1"/>
      <c r="D642" s="1"/>
      <c r="E642" s="1"/>
      <c r="F642" s="1"/>
      <c r="G642" s="1"/>
      <c r="H642" s="2"/>
      <c r="I642" s="1"/>
      <c r="J642" s="1"/>
      <c r="K642" s="5"/>
      <c r="L642" s="6"/>
      <c r="Q642" s="5"/>
      <c r="R642" s="6"/>
      <c r="X642" s="2"/>
      <c r="Y642" s="1"/>
      <c r="AF642" s="2"/>
      <c r="AG642" s="1"/>
      <c r="BG642" s="1"/>
      <c r="BS642" s="3"/>
      <c r="CC642" s="1"/>
      <c r="CE642" s="1"/>
      <c r="CF642" s="1"/>
      <c r="CJ642" s="1"/>
      <c r="DF642" s="2"/>
    </row>
    <row r="643" spans="1:110">
      <c r="A643" s="1"/>
      <c r="B643" s="4"/>
      <c r="C643" s="1"/>
      <c r="D643" s="1"/>
      <c r="E643" s="1"/>
      <c r="F643" s="1"/>
      <c r="G643" s="1"/>
      <c r="H643" s="2"/>
      <c r="I643" s="1"/>
      <c r="J643" s="1"/>
      <c r="K643" s="5"/>
      <c r="L643" s="6"/>
      <c r="Q643" s="5"/>
      <c r="R643" s="6"/>
      <c r="X643" s="2"/>
      <c r="Y643" s="1"/>
      <c r="AF643" s="2"/>
      <c r="AG643" s="1"/>
      <c r="BG643" s="1"/>
      <c r="BS643" s="3"/>
      <c r="CC643" s="1"/>
      <c r="CE643" s="1"/>
      <c r="CF643" s="1"/>
      <c r="CJ643" s="1"/>
      <c r="DF643" s="2"/>
    </row>
    <row r="644" spans="1:110">
      <c r="A644" s="1"/>
      <c r="B644" s="4"/>
      <c r="C644" s="1"/>
      <c r="D644" s="1"/>
      <c r="E644" s="1"/>
      <c r="F644" s="1"/>
      <c r="G644" s="1"/>
      <c r="H644" s="2"/>
      <c r="I644" s="1"/>
      <c r="J644" s="1"/>
      <c r="K644" s="5"/>
      <c r="L644" s="6"/>
      <c r="Q644" s="5"/>
      <c r="R644" s="6"/>
      <c r="X644" s="2"/>
      <c r="Y644" s="1"/>
      <c r="AF644" s="2"/>
      <c r="AG644" s="1"/>
      <c r="BG644" s="1"/>
      <c r="BS644" s="3"/>
      <c r="CC644" s="1"/>
      <c r="CE644" s="1"/>
      <c r="CF644" s="1"/>
      <c r="CJ644" s="1"/>
      <c r="DF644" s="2"/>
    </row>
    <row r="645" spans="1:110">
      <c r="A645" s="1"/>
      <c r="B645" s="4"/>
      <c r="C645" s="1"/>
      <c r="D645" s="1"/>
      <c r="E645" s="1"/>
      <c r="F645" s="1"/>
      <c r="G645" s="1"/>
      <c r="H645" s="2"/>
      <c r="I645" s="1"/>
      <c r="J645" s="1"/>
      <c r="K645" s="5"/>
      <c r="L645" s="6"/>
      <c r="Q645" s="5"/>
      <c r="R645" s="6"/>
      <c r="X645" s="2"/>
      <c r="Y645" s="1"/>
      <c r="AF645" s="2"/>
      <c r="AG645" s="1"/>
      <c r="BG645" s="1"/>
      <c r="BS645" s="3"/>
      <c r="CC645" s="1"/>
      <c r="CE645" s="1"/>
      <c r="CF645" s="1"/>
      <c r="CJ645" s="1"/>
      <c r="DF645" s="2"/>
    </row>
    <row r="646" spans="1:110">
      <c r="A646" s="1"/>
      <c r="B646" s="4"/>
      <c r="C646" s="1"/>
      <c r="D646" s="1"/>
      <c r="E646" s="1"/>
      <c r="F646" s="1"/>
      <c r="G646" s="1"/>
      <c r="H646" s="2"/>
      <c r="I646" s="1"/>
      <c r="J646" s="1"/>
      <c r="K646" s="5"/>
      <c r="L646" s="6"/>
      <c r="Q646" s="5"/>
      <c r="R646" s="6"/>
      <c r="X646" s="2"/>
      <c r="Y646" s="1"/>
      <c r="AF646" s="2"/>
      <c r="AG646" s="1"/>
      <c r="BG646" s="1"/>
      <c r="BS646" s="3"/>
      <c r="CC646" s="1"/>
      <c r="CE646" s="1"/>
      <c r="CF646" s="1"/>
      <c r="CJ646" s="1"/>
      <c r="DF646" s="2"/>
    </row>
    <row r="647" spans="1:110">
      <c r="A647" s="1"/>
      <c r="B647" s="4"/>
      <c r="C647" s="1"/>
      <c r="D647" s="1"/>
      <c r="E647" s="1"/>
      <c r="F647" s="1"/>
      <c r="G647" s="1"/>
      <c r="H647" s="2"/>
      <c r="I647" s="1"/>
      <c r="J647" s="1"/>
      <c r="K647" s="5"/>
      <c r="L647" s="6"/>
      <c r="Q647" s="5"/>
      <c r="R647" s="6"/>
      <c r="X647" s="2"/>
      <c r="Y647" s="1"/>
      <c r="AF647" s="2"/>
      <c r="AG647" s="1"/>
      <c r="BG647" s="1"/>
      <c r="BS647" s="3"/>
      <c r="CC647" s="1"/>
      <c r="CE647" s="1"/>
      <c r="CF647" s="1"/>
      <c r="CJ647" s="1"/>
      <c r="DF647" s="2"/>
    </row>
    <row r="648" spans="1:110">
      <c r="A648" s="1"/>
      <c r="B648" s="4"/>
      <c r="C648" s="1"/>
      <c r="D648" s="1"/>
      <c r="E648" s="1"/>
      <c r="F648" s="1"/>
      <c r="G648" s="1"/>
      <c r="H648" s="2"/>
      <c r="I648" s="1"/>
      <c r="J648" s="1"/>
      <c r="K648" s="5"/>
      <c r="L648" s="6"/>
      <c r="Q648" s="5"/>
      <c r="R648" s="6"/>
      <c r="X648" s="2"/>
      <c r="Y648" s="1"/>
      <c r="AF648" s="2"/>
      <c r="AG648" s="1"/>
      <c r="BG648" s="1"/>
      <c r="BS648" s="3"/>
      <c r="CC648" s="1"/>
      <c r="CE648" s="1"/>
      <c r="CF648" s="1"/>
      <c r="CJ648" s="1"/>
      <c r="DF648" s="2"/>
    </row>
    <row r="649" spans="1:110">
      <c r="A649" s="1"/>
      <c r="B649" s="4"/>
      <c r="C649" s="1"/>
      <c r="D649" s="1"/>
      <c r="E649" s="1"/>
      <c r="F649" s="1"/>
      <c r="G649" s="1"/>
      <c r="H649" s="2"/>
      <c r="I649" s="1"/>
      <c r="J649" s="1"/>
      <c r="K649" s="5"/>
      <c r="L649" s="6"/>
      <c r="Q649" s="5"/>
      <c r="R649" s="6"/>
      <c r="X649" s="2"/>
      <c r="Y649" s="1"/>
      <c r="AF649" s="2"/>
      <c r="AG649" s="1"/>
      <c r="BG649" s="1"/>
      <c r="BS649" s="3"/>
      <c r="CC649" s="1"/>
      <c r="CE649" s="1"/>
      <c r="CF649" s="1"/>
      <c r="CJ649" s="1"/>
      <c r="DF649" s="2"/>
    </row>
    <row r="650" spans="1:110">
      <c r="A650" s="1"/>
      <c r="B650" s="4"/>
      <c r="C650" s="1"/>
      <c r="D650" s="1"/>
      <c r="E650" s="1"/>
      <c r="F650" s="1"/>
      <c r="G650" s="1"/>
      <c r="H650" s="2"/>
      <c r="I650" s="1"/>
      <c r="J650" s="1"/>
      <c r="K650" s="5"/>
      <c r="L650" s="6"/>
      <c r="Q650" s="5"/>
      <c r="R650" s="6"/>
      <c r="X650" s="2"/>
      <c r="Y650" s="1"/>
      <c r="AF650" s="2"/>
      <c r="AG650" s="1"/>
      <c r="BG650" s="1"/>
      <c r="BS650" s="3"/>
      <c r="CC650" s="1"/>
      <c r="CE650" s="1"/>
      <c r="CF650" s="1"/>
      <c r="CJ650" s="1"/>
      <c r="DF650" s="2"/>
    </row>
    <row r="651" spans="1:110">
      <c r="A651" s="1"/>
      <c r="B651" s="4"/>
      <c r="C651" s="1"/>
      <c r="D651" s="1"/>
      <c r="E651" s="1"/>
      <c r="F651" s="1"/>
      <c r="G651" s="1"/>
      <c r="H651" s="2"/>
      <c r="I651" s="1"/>
      <c r="J651" s="1"/>
      <c r="K651" s="5"/>
      <c r="L651" s="6"/>
      <c r="Q651" s="5"/>
      <c r="R651" s="6"/>
      <c r="X651" s="2"/>
      <c r="Y651" s="1"/>
      <c r="AF651" s="2"/>
      <c r="AG651" s="1"/>
      <c r="BG651" s="1"/>
      <c r="BS651" s="3"/>
      <c r="CC651" s="1"/>
      <c r="CE651" s="1"/>
      <c r="CF651" s="1"/>
      <c r="CJ651" s="1"/>
      <c r="DF651" s="2"/>
    </row>
    <row r="652" spans="1:110">
      <c r="A652" s="1"/>
      <c r="B652" s="4"/>
      <c r="C652" s="1"/>
      <c r="D652" s="1"/>
      <c r="E652" s="1"/>
      <c r="F652" s="1"/>
      <c r="G652" s="1"/>
      <c r="H652" s="2"/>
      <c r="I652" s="1"/>
      <c r="J652" s="1"/>
      <c r="K652" s="5"/>
      <c r="L652" s="6"/>
      <c r="Q652" s="5"/>
      <c r="R652" s="6"/>
      <c r="X652" s="2"/>
      <c r="Y652" s="1"/>
      <c r="AF652" s="2"/>
      <c r="AG652" s="1"/>
      <c r="BG652" s="1"/>
      <c r="BS652" s="3"/>
      <c r="CC652" s="1"/>
      <c r="CE652" s="1"/>
      <c r="CF652" s="1"/>
      <c r="CJ652" s="1"/>
      <c r="DF652" s="2"/>
    </row>
    <row r="653" spans="1:110">
      <c r="A653" s="1"/>
      <c r="B653" s="4"/>
      <c r="C653" s="1"/>
      <c r="D653" s="1"/>
      <c r="E653" s="1"/>
      <c r="F653" s="1"/>
      <c r="G653" s="1"/>
      <c r="H653" s="2"/>
      <c r="I653" s="1"/>
      <c r="J653" s="1"/>
      <c r="K653" s="5"/>
      <c r="L653" s="6"/>
      <c r="Q653" s="5"/>
      <c r="R653" s="6"/>
      <c r="X653" s="2"/>
      <c r="Y653" s="1"/>
      <c r="AF653" s="2"/>
      <c r="AG653" s="1"/>
      <c r="BG653" s="1"/>
      <c r="BS653" s="3"/>
      <c r="CC653" s="1"/>
      <c r="CE653" s="1"/>
      <c r="CF653" s="1"/>
      <c r="CJ653" s="1"/>
      <c r="DF653" s="2"/>
    </row>
    <row r="654" spans="1:110">
      <c r="A654" s="1"/>
      <c r="B654" s="4"/>
      <c r="C654" s="1"/>
      <c r="D654" s="1"/>
      <c r="E654" s="1"/>
      <c r="F654" s="1"/>
      <c r="G654" s="1"/>
      <c r="H654" s="2"/>
      <c r="I654" s="1"/>
      <c r="J654" s="1"/>
      <c r="K654" s="5"/>
      <c r="L654" s="6"/>
      <c r="Q654" s="5"/>
      <c r="R654" s="6"/>
      <c r="X654" s="2"/>
      <c r="Y654" s="1"/>
      <c r="AF654" s="2"/>
      <c r="AG654" s="1"/>
      <c r="BG654" s="1"/>
      <c r="BS654" s="3"/>
      <c r="CC654" s="1"/>
      <c r="CE654" s="1"/>
      <c r="CF654" s="1"/>
      <c r="CJ654" s="1"/>
      <c r="DF654" s="2"/>
    </row>
    <row r="655" spans="1:110">
      <c r="A655" s="1"/>
      <c r="B655" s="4"/>
      <c r="C655" s="1"/>
      <c r="D655" s="1"/>
      <c r="E655" s="1"/>
      <c r="F655" s="1"/>
      <c r="G655" s="1"/>
      <c r="H655" s="2"/>
      <c r="I655" s="1"/>
      <c r="J655" s="1"/>
      <c r="K655" s="5"/>
      <c r="L655" s="6"/>
      <c r="Q655" s="5"/>
      <c r="R655" s="6"/>
      <c r="X655" s="2"/>
      <c r="Y655" s="1"/>
      <c r="AF655" s="2"/>
      <c r="AG655" s="1"/>
      <c r="BG655" s="1"/>
      <c r="BS655" s="3"/>
      <c r="CC655" s="1"/>
      <c r="CE655" s="1"/>
      <c r="CF655" s="1"/>
      <c r="CJ655" s="1"/>
      <c r="DF655" s="2"/>
    </row>
    <row r="656" spans="1:110">
      <c r="A656" s="1"/>
      <c r="B656" s="4"/>
      <c r="C656" s="1"/>
      <c r="D656" s="1"/>
      <c r="E656" s="1"/>
      <c r="F656" s="1"/>
      <c r="G656" s="1"/>
      <c r="H656" s="2"/>
      <c r="I656" s="1"/>
      <c r="J656" s="1"/>
      <c r="K656" s="5"/>
      <c r="L656" s="6"/>
      <c r="Q656" s="5"/>
      <c r="R656" s="6"/>
      <c r="X656" s="2"/>
      <c r="Y656" s="1"/>
      <c r="AF656" s="2"/>
      <c r="AG656" s="1"/>
      <c r="BG656" s="1"/>
      <c r="BS656" s="3"/>
      <c r="CC656" s="1"/>
      <c r="CE656" s="1"/>
      <c r="CF656" s="1"/>
      <c r="CJ656" s="1"/>
      <c r="DF656" s="2"/>
    </row>
    <row r="657" spans="1:110">
      <c r="A657" s="1"/>
      <c r="B657" s="4"/>
      <c r="C657" s="1"/>
      <c r="D657" s="1"/>
      <c r="E657" s="1"/>
      <c r="F657" s="1"/>
      <c r="G657" s="1"/>
      <c r="H657" s="2"/>
      <c r="I657" s="1"/>
      <c r="J657" s="1"/>
      <c r="K657" s="5"/>
      <c r="L657" s="6"/>
      <c r="Q657" s="5"/>
      <c r="R657" s="6"/>
      <c r="X657" s="2"/>
      <c r="Y657" s="1"/>
      <c r="AF657" s="2"/>
      <c r="AG657" s="1"/>
      <c r="BG657" s="1"/>
      <c r="BS657" s="3"/>
      <c r="CC657" s="1"/>
      <c r="CE657" s="1"/>
      <c r="CF657" s="1"/>
      <c r="CJ657" s="1"/>
      <c r="DF657" s="2"/>
    </row>
    <row r="658" spans="1:110">
      <c r="A658" s="1"/>
      <c r="B658" s="4"/>
      <c r="C658" s="1"/>
      <c r="D658" s="1"/>
      <c r="E658" s="1"/>
      <c r="F658" s="1"/>
      <c r="G658" s="1"/>
      <c r="H658" s="2"/>
      <c r="I658" s="1"/>
      <c r="J658" s="1"/>
      <c r="K658" s="5"/>
      <c r="L658" s="6"/>
      <c r="Q658" s="5"/>
      <c r="R658" s="6"/>
      <c r="X658" s="2"/>
      <c r="Y658" s="1"/>
      <c r="AF658" s="2"/>
      <c r="AG658" s="1"/>
      <c r="BG658" s="1"/>
      <c r="BS658" s="3"/>
      <c r="CC658" s="1"/>
      <c r="CE658" s="1"/>
      <c r="CF658" s="1"/>
      <c r="CJ658" s="1"/>
      <c r="DF658" s="2"/>
    </row>
    <row r="659" spans="1:110">
      <c r="A659" s="1"/>
      <c r="B659" s="4"/>
      <c r="C659" s="1"/>
      <c r="D659" s="1"/>
      <c r="E659" s="1"/>
      <c r="F659" s="1"/>
      <c r="G659" s="1"/>
      <c r="H659" s="2"/>
      <c r="I659" s="1"/>
      <c r="J659" s="1"/>
      <c r="K659" s="5"/>
      <c r="L659" s="6"/>
      <c r="Q659" s="5"/>
      <c r="R659" s="6"/>
      <c r="X659" s="2"/>
      <c r="Y659" s="1"/>
      <c r="AF659" s="2"/>
      <c r="AG659" s="1"/>
      <c r="BG659" s="1"/>
      <c r="BS659" s="3"/>
      <c r="CC659" s="1"/>
      <c r="CE659" s="1"/>
      <c r="CF659" s="1"/>
      <c r="CJ659" s="1"/>
      <c r="DF659" s="2"/>
    </row>
    <row r="660" spans="1:110">
      <c r="A660" s="1"/>
      <c r="B660" s="4"/>
      <c r="C660" s="1"/>
      <c r="D660" s="1"/>
      <c r="E660" s="1"/>
      <c r="F660" s="1"/>
      <c r="G660" s="1"/>
      <c r="H660" s="2"/>
      <c r="I660" s="1"/>
      <c r="J660" s="1"/>
      <c r="K660" s="5"/>
      <c r="L660" s="6"/>
      <c r="Q660" s="5"/>
      <c r="R660" s="6"/>
      <c r="X660" s="2"/>
      <c r="Y660" s="1"/>
      <c r="AF660" s="2"/>
      <c r="AG660" s="1"/>
      <c r="BG660" s="1"/>
      <c r="BS660" s="3"/>
      <c r="CC660" s="1"/>
      <c r="CE660" s="1"/>
      <c r="CF660" s="1"/>
      <c r="CJ660" s="1"/>
      <c r="DF660" s="2"/>
    </row>
    <row r="661" spans="1:110">
      <c r="A661" s="1"/>
      <c r="B661" s="4"/>
      <c r="C661" s="1"/>
      <c r="D661" s="1"/>
      <c r="E661" s="1"/>
      <c r="F661" s="1"/>
      <c r="G661" s="1"/>
      <c r="H661" s="2"/>
      <c r="I661" s="1"/>
      <c r="J661" s="1"/>
      <c r="K661" s="5"/>
      <c r="L661" s="6"/>
      <c r="Q661" s="5"/>
      <c r="R661" s="6"/>
      <c r="X661" s="2"/>
      <c r="Y661" s="1"/>
      <c r="AF661" s="2"/>
      <c r="AG661" s="1"/>
      <c r="BG661" s="1"/>
      <c r="BS661" s="3"/>
      <c r="CC661" s="1"/>
      <c r="CE661" s="1"/>
      <c r="CF661" s="1"/>
      <c r="CJ661" s="1"/>
      <c r="DF661" s="2"/>
    </row>
    <row r="662" spans="1:110">
      <c r="A662" s="1"/>
      <c r="B662" s="4"/>
      <c r="C662" s="1"/>
      <c r="D662" s="1"/>
      <c r="E662" s="1"/>
      <c r="F662" s="1"/>
      <c r="G662" s="1"/>
      <c r="H662" s="2"/>
      <c r="I662" s="1"/>
      <c r="J662" s="1"/>
      <c r="K662" s="5"/>
      <c r="L662" s="6"/>
      <c r="Q662" s="5"/>
      <c r="R662" s="6"/>
      <c r="X662" s="2"/>
      <c r="Y662" s="1"/>
      <c r="AF662" s="2"/>
      <c r="AG662" s="1"/>
      <c r="BG662" s="1"/>
      <c r="BS662" s="3"/>
      <c r="CC662" s="1"/>
      <c r="CE662" s="1"/>
      <c r="CF662" s="1"/>
      <c r="CJ662" s="1"/>
      <c r="DF662" s="2"/>
    </row>
    <row r="663" spans="1:110">
      <c r="A663" s="1"/>
      <c r="B663" s="4"/>
      <c r="C663" s="1"/>
      <c r="D663" s="1"/>
      <c r="E663" s="1"/>
      <c r="F663" s="1"/>
      <c r="G663" s="1"/>
      <c r="H663" s="2"/>
      <c r="I663" s="1"/>
      <c r="J663" s="1"/>
      <c r="K663" s="5"/>
      <c r="L663" s="6"/>
      <c r="Q663" s="5"/>
      <c r="R663" s="6"/>
      <c r="X663" s="2"/>
      <c r="Y663" s="1"/>
      <c r="AF663" s="2"/>
      <c r="AG663" s="1"/>
      <c r="BG663" s="1"/>
      <c r="BS663" s="3"/>
      <c r="CC663" s="1"/>
      <c r="CE663" s="1"/>
      <c r="CF663" s="1"/>
      <c r="CJ663" s="1"/>
      <c r="DF663" s="2"/>
    </row>
    <row r="664" spans="1:110">
      <c r="A664" s="1"/>
      <c r="B664" s="4"/>
      <c r="C664" s="1"/>
      <c r="D664" s="1"/>
      <c r="E664" s="1"/>
      <c r="F664" s="1"/>
      <c r="G664" s="1"/>
      <c r="H664" s="2"/>
      <c r="I664" s="1"/>
      <c r="J664" s="1"/>
      <c r="K664" s="5"/>
      <c r="L664" s="6"/>
      <c r="Q664" s="5"/>
      <c r="R664" s="6"/>
      <c r="X664" s="2"/>
      <c r="Y664" s="1"/>
      <c r="AF664" s="2"/>
      <c r="AG664" s="1"/>
      <c r="BG664" s="1"/>
      <c r="BS664" s="3"/>
      <c r="CC664" s="1"/>
      <c r="CE664" s="1"/>
      <c r="CF664" s="1"/>
      <c r="CJ664" s="1"/>
      <c r="DF664" s="2"/>
    </row>
    <row r="665" spans="1:110">
      <c r="A665" s="1"/>
      <c r="B665" s="4"/>
      <c r="C665" s="1"/>
      <c r="D665" s="1"/>
      <c r="E665" s="1"/>
      <c r="F665" s="1"/>
      <c r="G665" s="1"/>
      <c r="H665" s="2"/>
      <c r="I665" s="1"/>
      <c r="J665" s="1"/>
      <c r="K665" s="5"/>
      <c r="L665" s="6"/>
      <c r="Q665" s="5"/>
      <c r="R665" s="6"/>
      <c r="X665" s="2"/>
      <c r="Y665" s="1"/>
      <c r="AF665" s="2"/>
      <c r="AG665" s="1"/>
      <c r="BG665" s="1"/>
      <c r="BS665" s="3"/>
      <c r="CC665" s="1"/>
      <c r="CE665" s="1"/>
      <c r="CF665" s="1"/>
      <c r="CJ665" s="1"/>
      <c r="DF665" s="2"/>
    </row>
    <row r="666" spans="1:110">
      <c r="A666" s="1"/>
      <c r="B666" s="4"/>
      <c r="C666" s="1"/>
      <c r="D666" s="1"/>
      <c r="E666" s="1"/>
      <c r="F666" s="1"/>
      <c r="G666" s="1"/>
      <c r="H666" s="2"/>
      <c r="I666" s="1"/>
      <c r="J666" s="1"/>
      <c r="K666" s="5"/>
      <c r="L666" s="6"/>
      <c r="Q666" s="5"/>
      <c r="R666" s="6"/>
      <c r="X666" s="2"/>
      <c r="Y666" s="1"/>
      <c r="AF666" s="2"/>
      <c r="AG666" s="1"/>
      <c r="BG666" s="1"/>
      <c r="BS666" s="3"/>
      <c r="CC666" s="1"/>
      <c r="CE666" s="1"/>
      <c r="CF666" s="1"/>
      <c r="CJ666" s="1"/>
      <c r="DF666" s="2"/>
    </row>
    <row r="667" spans="1:110">
      <c r="A667" s="1"/>
      <c r="B667" s="4"/>
      <c r="C667" s="1"/>
      <c r="D667" s="1"/>
      <c r="E667" s="1"/>
      <c r="F667" s="1"/>
      <c r="G667" s="1"/>
      <c r="H667" s="2"/>
      <c r="I667" s="1"/>
      <c r="J667" s="1"/>
      <c r="K667" s="5"/>
      <c r="L667" s="6"/>
      <c r="Q667" s="5"/>
      <c r="R667" s="6"/>
      <c r="X667" s="2"/>
      <c r="Y667" s="1"/>
      <c r="AF667" s="2"/>
      <c r="AG667" s="1"/>
      <c r="BG667" s="1"/>
      <c r="BS667" s="3"/>
      <c r="CC667" s="1"/>
      <c r="CE667" s="1"/>
      <c r="CF667" s="1"/>
      <c r="CJ667" s="1"/>
      <c r="DF667" s="2"/>
    </row>
    <row r="668" spans="1:110">
      <c r="A668" s="1"/>
      <c r="B668" s="4"/>
      <c r="C668" s="1"/>
      <c r="D668" s="1"/>
      <c r="E668" s="1"/>
      <c r="F668" s="1"/>
      <c r="G668" s="1"/>
      <c r="H668" s="2"/>
      <c r="I668" s="1"/>
      <c r="J668" s="1"/>
      <c r="K668" s="5"/>
      <c r="L668" s="6"/>
      <c r="Q668" s="5"/>
      <c r="R668" s="6"/>
      <c r="X668" s="2"/>
      <c r="Y668" s="1"/>
      <c r="AF668" s="2"/>
      <c r="AG668" s="1"/>
      <c r="BG668" s="1"/>
      <c r="BS668" s="3"/>
      <c r="CC668" s="1"/>
      <c r="CE668" s="1"/>
      <c r="CF668" s="1"/>
      <c r="CJ668" s="1"/>
      <c r="DF668" s="2"/>
    </row>
    <row r="669" spans="1:110">
      <c r="A669" s="1"/>
      <c r="B669" s="4"/>
      <c r="C669" s="1"/>
      <c r="D669" s="1"/>
      <c r="E669" s="1"/>
      <c r="F669" s="1"/>
      <c r="G669" s="1"/>
      <c r="H669" s="2"/>
      <c r="I669" s="1"/>
      <c r="J669" s="1"/>
      <c r="K669" s="5"/>
      <c r="L669" s="6"/>
      <c r="Q669" s="5"/>
      <c r="R669" s="6"/>
      <c r="X669" s="2"/>
      <c r="Y669" s="1"/>
      <c r="AF669" s="2"/>
      <c r="AG669" s="1"/>
      <c r="BG669" s="1"/>
      <c r="BS669" s="3"/>
      <c r="CC669" s="1"/>
      <c r="CE669" s="1"/>
      <c r="CF669" s="1"/>
      <c r="CJ669" s="1"/>
      <c r="DF669" s="2"/>
    </row>
    <row r="670" spans="1:110">
      <c r="A670" s="1"/>
      <c r="B670" s="4"/>
      <c r="C670" s="1"/>
      <c r="D670" s="1"/>
      <c r="E670" s="1"/>
      <c r="F670" s="1"/>
      <c r="G670" s="1"/>
      <c r="H670" s="2"/>
      <c r="I670" s="1"/>
      <c r="J670" s="1"/>
      <c r="K670" s="5"/>
      <c r="L670" s="6"/>
      <c r="Q670" s="5"/>
      <c r="R670" s="6"/>
      <c r="X670" s="2"/>
      <c r="Y670" s="1"/>
      <c r="AF670" s="2"/>
      <c r="AG670" s="1"/>
      <c r="BG670" s="1"/>
      <c r="BS670" s="3"/>
      <c r="CC670" s="1"/>
      <c r="CE670" s="1"/>
      <c r="CF670" s="1"/>
      <c r="CJ670" s="1"/>
      <c r="DF670" s="2"/>
    </row>
    <row r="671" spans="1:110">
      <c r="A671" s="1"/>
      <c r="B671" s="4"/>
      <c r="C671" s="1"/>
      <c r="D671" s="1"/>
      <c r="E671" s="1"/>
      <c r="F671" s="1"/>
      <c r="G671" s="1"/>
      <c r="H671" s="2"/>
      <c r="I671" s="1"/>
      <c r="J671" s="1"/>
      <c r="K671" s="5"/>
      <c r="L671" s="6"/>
      <c r="Q671" s="5"/>
      <c r="R671" s="6"/>
      <c r="X671" s="2"/>
      <c r="Y671" s="1"/>
      <c r="AF671" s="2"/>
      <c r="AG671" s="1"/>
      <c r="BG671" s="1"/>
      <c r="BS671" s="3"/>
      <c r="CC671" s="1"/>
      <c r="CE671" s="1"/>
      <c r="CF671" s="1"/>
      <c r="CJ671" s="1"/>
      <c r="DF671" s="2"/>
    </row>
    <row r="672" spans="1:110">
      <c r="A672" s="1"/>
      <c r="B672" s="4"/>
      <c r="C672" s="1"/>
      <c r="D672" s="1"/>
      <c r="E672" s="1"/>
      <c r="F672" s="1"/>
      <c r="G672" s="1"/>
      <c r="H672" s="2"/>
      <c r="I672" s="1"/>
      <c r="J672" s="1"/>
      <c r="K672" s="5"/>
      <c r="L672" s="6"/>
      <c r="Q672" s="5"/>
      <c r="R672" s="6"/>
      <c r="X672" s="2"/>
      <c r="Y672" s="1"/>
      <c r="AF672" s="2"/>
      <c r="AG672" s="1"/>
      <c r="BG672" s="1"/>
      <c r="BS672" s="3"/>
      <c r="CC672" s="1"/>
      <c r="CE672" s="1"/>
      <c r="CF672" s="1"/>
      <c r="CJ672" s="1"/>
      <c r="DF672" s="2"/>
    </row>
    <row r="673" spans="1:110">
      <c r="A673" s="1"/>
      <c r="B673" s="4"/>
      <c r="C673" s="1"/>
      <c r="D673" s="1"/>
      <c r="E673" s="1"/>
      <c r="F673" s="1"/>
      <c r="G673" s="1"/>
      <c r="H673" s="2"/>
      <c r="I673" s="1"/>
      <c r="J673" s="1"/>
      <c r="K673" s="5"/>
      <c r="L673" s="6"/>
      <c r="Q673" s="5"/>
      <c r="R673" s="6"/>
      <c r="X673" s="2"/>
      <c r="Y673" s="1"/>
      <c r="AF673" s="2"/>
      <c r="AG673" s="1"/>
      <c r="BG673" s="1"/>
      <c r="BS673" s="3"/>
      <c r="CC673" s="1"/>
      <c r="CE673" s="1"/>
      <c r="CF673" s="1"/>
      <c r="CJ673" s="1"/>
      <c r="DF673" s="2"/>
    </row>
    <row r="674" spans="1:110">
      <c r="A674" s="1"/>
      <c r="B674" s="4"/>
      <c r="C674" s="1"/>
      <c r="D674" s="1"/>
      <c r="E674" s="1"/>
      <c r="F674" s="1"/>
      <c r="G674" s="1"/>
      <c r="H674" s="2"/>
      <c r="I674" s="1"/>
      <c r="J674" s="1"/>
      <c r="K674" s="5"/>
      <c r="L674" s="6"/>
      <c r="Q674" s="5"/>
      <c r="R674" s="6"/>
      <c r="X674" s="2"/>
      <c r="Y674" s="1"/>
      <c r="AF674" s="2"/>
      <c r="AG674" s="1"/>
      <c r="BG674" s="1"/>
      <c r="BS674" s="3"/>
      <c r="CC674" s="1"/>
      <c r="CE674" s="1"/>
      <c r="CF674" s="1"/>
      <c r="CJ674" s="1"/>
      <c r="DF674" s="2"/>
    </row>
    <row r="675" spans="1:110">
      <c r="A675" s="1"/>
      <c r="B675" s="4"/>
      <c r="C675" s="1"/>
      <c r="D675" s="1"/>
      <c r="E675" s="1"/>
      <c r="F675" s="1"/>
      <c r="G675" s="1"/>
      <c r="H675" s="2"/>
      <c r="I675" s="1"/>
      <c r="J675" s="1"/>
      <c r="K675" s="5"/>
      <c r="L675" s="6"/>
      <c r="Q675" s="5"/>
      <c r="R675" s="6"/>
      <c r="X675" s="2"/>
      <c r="Y675" s="1"/>
      <c r="AF675" s="2"/>
      <c r="AG675" s="1"/>
      <c r="BG675" s="1"/>
      <c r="BS675" s="3"/>
      <c r="CC675" s="1"/>
      <c r="CE675" s="1"/>
      <c r="CF675" s="1"/>
      <c r="CJ675" s="1"/>
      <c r="DF675" s="2"/>
    </row>
    <row r="676" spans="1:110">
      <c r="A676" s="1"/>
      <c r="B676" s="4"/>
      <c r="C676" s="1"/>
      <c r="D676" s="1"/>
      <c r="E676" s="1"/>
      <c r="F676" s="1"/>
      <c r="G676" s="1"/>
      <c r="H676" s="2"/>
      <c r="I676" s="1"/>
      <c r="J676" s="1"/>
      <c r="K676" s="5"/>
      <c r="L676" s="6"/>
      <c r="Q676" s="5"/>
      <c r="R676" s="6"/>
      <c r="X676" s="2"/>
      <c r="Y676" s="1"/>
      <c r="AF676" s="2"/>
      <c r="AG676" s="1"/>
      <c r="BG676" s="1"/>
      <c r="BS676" s="3"/>
      <c r="CC676" s="1"/>
      <c r="CE676" s="1"/>
      <c r="CF676" s="1"/>
      <c r="CJ676" s="1"/>
      <c r="DF676" s="2"/>
    </row>
    <row r="677" spans="1:110">
      <c r="A677" s="1"/>
      <c r="B677" s="4"/>
      <c r="C677" s="1"/>
      <c r="D677" s="1"/>
      <c r="E677" s="1"/>
      <c r="F677" s="1"/>
      <c r="G677" s="1"/>
      <c r="H677" s="2"/>
      <c r="I677" s="1"/>
      <c r="J677" s="1"/>
      <c r="K677" s="5"/>
      <c r="L677" s="6"/>
      <c r="Q677" s="5"/>
      <c r="R677" s="6"/>
      <c r="X677" s="2"/>
      <c r="Y677" s="1"/>
      <c r="AF677" s="2"/>
      <c r="AG677" s="1"/>
      <c r="BG677" s="1"/>
      <c r="BS677" s="3"/>
      <c r="CC677" s="1"/>
      <c r="CE677" s="1"/>
      <c r="CF677" s="1"/>
      <c r="CJ677" s="1"/>
      <c r="DF677" s="2"/>
    </row>
    <row r="678" spans="1:110">
      <c r="A678" s="1"/>
      <c r="B678" s="4"/>
      <c r="C678" s="1"/>
      <c r="D678" s="1"/>
      <c r="E678" s="1"/>
      <c r="F678" s="1"/>
      <c r="G678" s="1"/>
      <c r="H678" s="2"/>
      <c r="I678" s="1"/>
      <c r="J678" s="1"/>
      <c r="K678" s="5"/>
      <c r="L678" s="6"/>
      <c r="Q678" s="5"/>
      <c r="R678" s="6"/>
      <c r="X678" s="2"/>
      <c r="Y678" s="1"/>
      <c r="AF678" s="2"/>
      <c r="AG678" s="1"/>
      <c r="BG678" s="1"/>
      <c r="BS678" s="3"/>
      <c r="CC678" s="1"/>
      <c r="CE678" s="1"/>
      <c r="CF678" s="1"/>
      <c r="CJ678" s="1"/>
      <c r="DF678" s="2"/>
    </row>
    <row r="679" spans="1:110">
      <c r="A679" s="1"/>
      <c r="B679" s="4"/>
      <c r="C679" s="1"/>
      <c r="D679" s="1"/>
      <c r="E679" s="1"/>
      <c r="F679" s="1"/>
      <c r="G679" s="1"/>
      <c r="H679" s="2"/>
      <c r="I679" s="1"/>
      <c r="J679" s="1"/>
      <c r="K679" s="5"/>
      <c r="L679" s="6"/>
      <c r="Q679" s="5"/>
      <c r="R679" s="6"/>
      <c r="X679" s="2"/>
      <c r="Y679" s="1"/>
      <c r="AF679" s="2"/>
      <c r="AG679" s="1"/>
      <c r="BG679" s="1"/>
      <c r="BS679" s="3"/>
      <c r="CC679" s="1"/>
      <c r="CE679" s="1"/>
      <c r="CF679" s="1"/>
      <c r="CJ679" s="1"/>
      <c r="DF679" s="2"/>
    </row>
    <row r="680" spans="1:110">
      <c r="A680" s="1"/>
      <c r="B680" s="4"/>
      <c r="C680" s="1"/>
      <c r="D680" s="1"/>
      <c r="E680" s="1"/>
      <c r="F680" s="1"/>
      <c r="G680" s="1"/>
      <c r="H680" s="2"/>
      <c r="I680" s="1"/>
      <c r="J680" s="1"/>
      <c r="K680" s="5"/>
      <c r="L680" s="6"/>
      <c r="Q680" s="5"/>
      <c r="R680" s="6"/>
      <c r="X680" s="2"/>
      <c r="Y680" s="1"/>
      <c r="AF680" s="2"/>
      <c r="AG680" s="1"/>
      <c r="BG680" s="1"/>
      <c r="BS680" s="3"/>
      <c r="CC680" s="1"/>
      <c r="CE680" s="1"/>
      <c r="CF680" s="1"/>
      <c r="CJ680" s="1"/>
      <c r="DF680" s="2"/>
    </row>
    <row r="681" spans="1:110">
      <c r="A681" s="1"/>
      <c r="B681" s="4"/>
      <c r="C681" s="1"/>
      <c r="D681" s="1"/>
      <c r="E681" s="1"/>
      <c r="F681" s="1"/>
      <c r="G681" s="1"/>
      <c r="H681" s="2"/>
      <c r="I681" s="1"/>
      <c r="J681" s="1"/>
      <c r="K681" s="5"/>
      <c r="L681" s="6"/>
      <c r="Q681" s="5"/>
      <c r="R681" s="6"/>
      <c r="X681" s="2"/>
      <c r="Y681" s="1"/>
      <c r="AF681" s="2"/>
      <c r="AG681" s="1"/>
      <c r="BG681" s="1"/>
      <c r="BS681" s="3"/>
      <c r="CC681" s="1"/>
      <c r="CE681" s="1"/>
      <c r="CF681" s="1"/>
      <c r="CJ681" s="1"/>
      <c r="DF681" s="2"/>
    </row>
    <row r="682" spans="1:110">
      <c r="A682" s="1"/>
      <c r="B682" s="4"/>
      <c r="C682" s="1"/>
      <c r="D682" s="1"/>
      <c r="E682" s="1"/>
      <c r="F682" s="1"/>
      <c r="G682" s="1"/>
      <c r="H682" s="2"/>
      <c r="I682" s="1"/>
      <c r="J682" s="1"/>
      <c r="K682" s="5"/>
      <c r="L682" s="6"/>
      <c r="Q682" s="5"/>
      <c r="R682" s="6"/>
      <c r="X682" s="2"/>
      <c r="Y682" s="1"/>
      <c r="AF682" s="2"/>
      <c r="AG682" s="1"/>
      <c r="BG682" s="1"/>
      <c r="BS682" s="3"/>
      <c r="CC682" s="1"/>
      <c r="CE682" s="1"/>
      <c r="CF682" s="1"/>
      <c r="CJ682" s="1"/>
      <c r="DF682" s="2"/>
    </row>
    <row r="683" spans="1:110">
      <c r="A683" s="1"/>
      <c r="B683" s="4"/>
      <c r="C683" s="1"/>
      <c r="D683" s="1"/>
      <c r="E683" s="1"/>
      <c r="F683" s="1"/>
      <c r="G683" s="1"/>
      <c r="H683" s="2"/>
      <c r="I683" s="1"/>
      <c r="J683" s="1"/>
      <c r="K683" s="5"/>
      <c r="L683" s="6"/>
      <c r="Q683" s="5"/>
      <c r="R683" s="6"/>
      <c r="X683" s="2"/>
      <c r="Y683" s="1"/>
      <c r="AF683" s="2"/>
      <c r="AG683" s="1"/>
      <c r="BG683" s="1"/>
      <c r="BS683" s="3"/>
      <c r="CC683" s="1"/>
      <c r="CE683" s="1"/>
      <c r="CF683" s="1"/>
      <c r="CJ683" s="1"/>
      <c r="DF683" s="2"/>
    </row>
    <row r="684" spans="1:110">
      <c r="A684" s="1"/>
      <c r="B684" s="4"/>
      <c r="C684" s="1"/>
      <c r="D684" s="1"/>
      <c r="E684" s="1"/>
      <c r="F684" s="1"/>
      <c r="G684" s="1"/>
      <c r="H684" s="2"/>
      <c r="I684" s="1"/>
      <c r="J684" s="1"/>
      <c r="K684" s="5"/>
      <c r="L684" s="6"/>
      <c r="Q684" s="5"/>
      <c r="R684" s="6"/>
      <c r="X684" s="2"/>
      <c r="Y684" s="1"/>
      <c r="AF684" s="2"/>
      <c r="AG684" s="1"/>
      <c r="BG684" s="1"/>
      <c r="BS684" s="3"/>
      <c r="CC684" s="1"/>
      <c r="CE684" s="1"/>
      <c r="CF684" s="1"/>
      <c r="CJ684" s="1"/>
      <c r="DF684" s="2"/>
    </row>
    <row r="685" spans="1:110">
      <c r="A685" s="1"/>
      <c r="B685" s="4"/>
      <c r="C685" s="1"/>
      <c r="D685" s="1"/>
      <c r="E685" s="1"/>
      <c r="F685" s="1"/>
      <c r="G685" s="1"/>
      <c r="H685" s="2"/>
      <c r="I685" s="1"/>
      <c r="J685" s="1"/>
      <c r="K685" s="5"/>
      <c r="L685" s="6"/>
      <c r="Q685" s="5"/>
      <c r="R685" s="6"/>
      <c r="X685" s="2"/>
      <c r="Y685" s="1"/>
      <c r="AF685" s="2"/>
      <c r="AG685" s="1"/>
      <c r="BG685" s="1"/>
      <c r="BS685" s="3"/>
      <c r="CC685" s="1"/>
      <c r="CE685" s="1"/>
      <c r="CF685" s="1"/>
      <c r="CJ685" s="1"/>
      <c r="DF685" s="2"/>
    </row>
    <row r="686" spans="1:110">
      <c r="A686" s="1"/>
      <c r="B686" s="4"/>
      <c r="C686" s="1"/>
      <c r="D686" s="1"/>
      <c r="E686" s="1"/>
      <c r="F686" s="1"/>
      <c r="G686" s="1"/>
      <c r="H686" s="2"/>
      <c r="I686" s="1"/>
      <c r="J686" s="1"/>
      <c r="K686" s="5"/>
      <c r="L686" s="6"/>
      <c r="Q686" s="5"/>
      <c r="R686" s="6"/>
      <c r="X686" s="2"/>
      <c r="Y686" s="1"/>
      <c r="AF686" s="2"/>
      <c r="AG686" s="1"/>
      <c r="BG686" s="1"/>
      <c r="BS686" s="3"/>
      <c r="CC686" s="1"/>
      <c r="CE686" s="1"/>
      <c r="CF686" s="1"/>
      <c r="CJ686" s="1"/>
      <c r="DF686" s="2"/>
    </row>
    <row r="687" spans="1:110">
      <c r="A687" s="1"/>
      <c r="B687" s="4"/>
      <c r="C687" s="1"/>
      <c r="D687" s="1"/>
      <c r="E687" s="1"/>
      <c r="F687" s="1"/>
      <c r="G687" s="1"/>
      <c r="H687" s="2"/>
      <c r="I687" s="1"/>
      <c r="J687" s="1"/>
      <c r="K687" s="5"/>
      <c r="L687" s="6"/>
      <c r="Q687" s="5"/>
      <c r="R687" s="6"/>
      <c r="X687" s="2"/>
      <c r="Y687" s="1"/>
      <c r="AF687" s="2"/>
      <c r="AG687" s="1"/>
      <c r="BG687" s="1"/>
      <c r="BS687" s="3"/>
      <c r="CC687" s="1"/>
      <c r="CE687" s="1"/>
      <c r="CF687" s="1"/>
      <c r="CJ687" s="1"/>
      <c r="DF687" s="2"/>
    </row>
    <row r="688" spans="1:110">
      <c r="A688" s="1"/>
      <c r="B688" s="4"/>
      <c r="C688" s="1"/>
      <c r="D688" s="1"/>
      <c r="E688" s="1"/>
      <c r="F688" s="1"/>
      <c r="G688" s="1"/>
      <c r="H688" s="2"/>
      <c r="I688" s="1"/>
      <c r="J688" s="1"/>
      <c r="K688" s="5"/>
      <c r="L688" s="6"/>
      <c r="Q688" s="5"/>
      <c r="R688" s="6"/>
      <c r="X688" s="2"/>
      <c r="Y688" s="1"/>
      <c r="AF688" s="2"/>
      <c r="AG688" s="1"/>
      <c r="BG688" s="1"/>
      <c r="BS688" s="3"/>
      <c r="CC688" s="1"/>
      <c r="CE688" s="1"/>
      <c r="CF688" s="1"/>
      <c r="CJ688" s="1"/>
      <c r="DF688" s="2"/>
    </row>
    <row r="689" spans="1:110">
      <c r="A689" s="1"/>
      <c r="B689" s="4"/>
      <c r="C689" s="1"/>
      <c r="D689" s="1"/>
      <c r="E689" s="1"/>
      <c r="F689" s="1"/>
      <c r="G689" s="1"/>
      <c r="H689" s="2"/>
      <c r="I689" s="1"/>
      <c r="J689" s="1"/>
      <c r="K689" s="5"/>
      <c r="L689" s="6"/>
      <c r="Q689" s="5"/>
      <c r="R689" s="6"/>
      <c r="X689" s="2"/>
      <c r="Y689" s="1"/>
      <c r="AF689" s="2"/>
      <c r="AG689" s="1"/>
      <c r="BG689" s="1"/>
      <c r="BS689" s="3"/>
      <c r="CC689" s="1"/>
      <c r="CE689" s="1"/>
      <c r="CF689" s="1"/>
      <c r="CJ689" s="1"/>
      <c r="DF689" s="2"/>
    </row>
    <row r="690" spans="1:110">
      <c r="A690" s="1"/>
      <c r="B690" s="4"/>
      <c r="C690" s="1"/>
      <c r="D690" s="1"/>
      <c r="E690" s="1"/>
      <c r="F690" s="1"/>
      <c r="G690" s="1"/>
      <c r="H690" s="2"/>
      <c r="I690" s="1"/>
      <c r="J690" s="1"/>
      <c r="K690" s="5"/>
      <c r="L690" s="6"/>
      <c r="Q690" s="5"/>
      <c r="R690" s="6"/>
      <c r="X690" s="2"/>
      <c r="Y690" s="1"/>
      <c r="AF690" s="2"/>
      <c r="AG690" s="1"/>
      <c r="BG690" s="1"/>
      <c r="BS690" s="3"/>
      <c r="CC690" s="1"/>
      <c r="CE690" s="1"/>
      <c r="CF690" s="1"/>
      <c r="CJ690" s="1"/>
      <c r="DF690" s="2"/>
    </row>
    <row r="691" spans="1:110">
      <c r="A691" s="1"/>
      <c r="B691" s="4"/>
      <c r="C691" s="1"/>
      <c r="D691" s="1"/>
      <c r="E691" s="1"/>
      <c r="F691" s="1"/>
      <c r="G691" s="1"/>
      <c r="H691" s="2"/>
      <c r="I691" s="1"/>
      <c r="J691" s="1"/>
      <c r="K691" s="5"/>
      <c r="L691" s="6"/>
      <c r="Q691" s="5"/>
      <c r="R691" s="6"/>
      <c r="X691" s="2"/>
      <c r="Y691" s="1"/>
      <c r="AF691" s="2"/>
      <c r="AG691" s="1"/>
      <c r="BG691" s="1"/>
      <c r="BS691" s="3"/>
      <c r="CC691" s="1"/>
      <c r="CE691" s="1"/>
      <c r="CF691" s="1"/>
      <c r="CJ691" s="1"/>
      <c r="DF691" s="2"/>
    </row>
    <row r="692" spans="1:110">
      <c r="A692" s="1"/>
      <c r="B692" s="4"/>
      <c r="C692" s="1"/>
      <c r="D692" s="1"/>
      <c r="E692" s="1"/>
      <c r="F692" s="1"/>
      <c r="G692" s="1"/>
      <c r="H692" s="2"/>
      <c r="I692" s="1"/>
      <c r="J692" s="1"/>
      <c r="K692" s="5"/>
      <c r="L692" s="6"/>
      <c r="Q692" s="5"/>
      <c r="R692" s="6"/>
      <c r="X692" s="2"/>
      <c r="Y692" s="1"/>
      <c r="AF692" s="2"/>
      <c r="AG692" s="1"/>
      <c r="BG692" s="1"/>
      <c r="BS692" s="3"/>
      <c r="CC692" s="1"/>
      <c r="CE692" s="1"/>
      <c r="CF692" s="1"/>
      <c r="CJ692" s="1"/>
      <c r="DF692" s="2"/>
    </row>
    <row r="693" spans="1:110">
      <c r="A693" s="1"/>
      <c r="B693" s="4"/>
      <c r="C693" s="1"/>
      <c r="D693" s="1"/>
      <c r="E693" s="1"/>
      <c r="F693" s="1"/>
      <c r="G693" s="1"/>
      <c r="H693" s="2"/>
      <c r="I693" s="1"/>
      <c r="J693" s="1"/>
      <c r="K693" s="5"/>
      <c r="L693" s="6"/>
      <c r="Q693" s="5"/>
      <c r="R693" s="6"/>
      <c r="X693" s="2"/>
      <c r="Y693" s="1"/>
      <c r="AF693" s="2"/>
      <c r="AG693" s="1"/>
      <c r="BG693" s="1"/>
      <c r="BS693" s="3"/>
      <c r="CC693" s="1"/>
      <c r="CE693" s="1"/>
      <c r="CF693" s="1"/>
      <c r="CJ693" s="1"/>
      <c r="DF693" s="2"/>
    </row>
    <row r="694" spans="1:110">
      <c r="A694" s="1"/>
      <c r="B694" s="4"/>
      <c r="C694" s="1"/>
      <c r="D694" s="1"/>
      <c r="E694" s="1"/>
      <c r="F694" s="1"/>
      <c r="G694" s="1"/>
      <c r="H694" s="2"/>
      <c r="I694" s="1"/>
      <c r="J694" s="1"/>
      <c r="K694" s="5"/>
      <c r="L694" s="6"/>
      <c r="Q694" s="5"/>
      <c r="R694" s="6"/>
      <c r="X694" s="2"/>
      <c r="Y694" s="1"/>
      <c r="AF694" s="2"/>
      <c r="AG694" s="1"/>
      <c r="BG694" s="1"/>
      <c r="BS694" s="3"/>
      <c r="CC694" s="1"/>
      <c r="CE694" s="1"/>
      <c r="CF694" s="1"/>
      <c r="CJ694" s="1"/>
      <c r="DF694" s="2"/>
    </row>
    <row r="695" spans="1:110">
      <c r="A695" s="1"/>
      <c r="B695" s="4"/>
      <c r="C695" s="1"/>
      <c r="D695" s="1"/>
      <c r="E695" s="1"/>
      <c r="F695" s="1"/>
      <c r="G695" s="1"/>
      <c r="H695" s="2"/>
      <c r="I695" s="1"/>
      <c r="J695" s="1"/>
      <c r="K695" s="5"/>
      <c r="L695" s="6"/>
      <c r="Q695" s="5"/>
      <c r="R695" s="6"/>
      <c r="X695" s="2"/>
      <c r="Y695" s="1"/>
      <c r="AF695" s="2"/>
      <c r="AG695" s="1"/>
      <c r="BG695" s="1"/>
      <c r="BS695" s="3"/>
      <c r="CC695" s="1"/>
      <c r="CE695" s="1"/>
      <c r="CF695" s="1"/>
      <c r="CJ695" s="1"/>
      <c r="DF695" s="2"/>
    </row>
    <row r="696" spans="1:110">
      <c r="A696" s="1"/>
      <c r="B696" s="4"/>
      <c r="C696" s="1"/>
      <c r="D696" s="1"/>
      <c r="E696" s="1"/>
      <c r="F696" s="1"/>
      <c r="G696" s="1"/>
      <c r="H696" s="2"/>
      <c r="I696" s="1"/>
      <c r="J696" s="1"/>
      <c r="K696" s="5"/>
      <c r="L696" s="6"/>
      <c r="Q696" s="5"/>
      <c r="R696" s="6"/>
      <c r="X696" s="2"/>
      <c r="Y696" s="1"/>
      <c r="AF696" s="2"/>
      <c r="AG696" s="1"/>
      <c r="BG696" s="1"/>
      <c r="BS696" s="3"/>
      <c r="CC696" s="1"/>
      <c r="CE696" s="1"/>
      <c r="CF696" s="1"/>
      <c r="CJ696" s="1"/>
      <c r="DF696" s="2"/>
    </row>
    <row r="697" spans="1:110">
      <c r="A697" s="1"/>
      <c r="B697" s="4"/>
      <c r="C697" s="1"/>
      <c r="D697" s="1"/>
      <c r="E697" s="1"/>
      <c r="F697" s="1"/>
      <c r="G697" s="1"/>
      <c r="H697" s="2"/>
      <c r="I697" s="1"/>
      <c r="J697" s="1"/>
      <c r="K697" s="5"/>
      <c r="L697" s="6"/>
      <c r="Q697" s="5"/>
      <c r="R697" s="6"/>
      <c r="X697" s="2"/>
      <c r="Y697" s="1"/>
      <c r="AF697" s="2"/>
      <c r="AG697" s="1"/>
      <c r="BG697" s="1"/>
      <c r="BS697" s="3"/>
      <c r="CC697" s="1"/>
      <c r="CE697" s="1"/>
      <c r="CF697" s="1"/>
      <c r="CJ697" s="1"/>
      <c r="DF697" s="2"/>
    </row>
    <row r="698" spans="1:110">
      <c r="A698" s="1"/>
      <c r="B698" s="4"/>
      <c r="C698" s="1"/>
      <c r="D698" s="1"/>
      <c r="E698" s="1"/>
      <c r="F698" s="1"/>
      <c r="G698" s="1"/>
      <c r="H698" s="2"/>
      <c r="I698" s="1"/>
      <c r="J698" s="1"/>
      <c r="K698" s="5"/>
      <c r="L698" s="6"/>
      <c r="Q698" s="5"/>
      <c r="R698" s="6"/>
      <c r="X698" s="2"/>
      <c r="Y698" s="1"/>
      <c r="AF698" s="2"/>
      <c r="AG698" s="1"/>
      <c r="BG698" s="1"/>
      <c r="BS698" s="3"/>
      <c r="CC698" s="1"/>
      <c r="CE698" s="1"/>
      <c r="CF698" s="1"/>
      <c r="CJ698" s="1"/>
      <c r="DF698" s="2"/>
    </row>
    <row r="699" spans="1:110">
      <c r="A699" s="1"/>
      <c r="B699" s="4"/>
      <c r="C699" s="1"/>
      <c r="D699" s="1"/>
      <c r="E699" s="1"/>
      <c r="F699" s="1"/>
      <c r="G699" s="1"/>
      <c r="H699" s="2"/>
      <c r="I699" s="1"/>
      <c r="J699" s="1"/>
      <c r="K699" s="5"/>
      <c r="L699" s="6"/>
      <c r="Q699" s="5"/>
      <c r="R699" s="6"/>
      <c r="X699" s="2"/>
      <c r="Y699" s="1"/>
      <c r="AF699" s="2"/>
      <c r="AG699" s="1"/>
      <c r="BG699" s="1"/>
      <c r="BS699" s="3"/>
      <c r="CC699" s="1"/>
      <c r="CE699" s="1"/>
      <c r="CF699" s="1"/>
      <c r="CJ699" s="1"/>
      <c r="DF699" s="2"/>
    </row>
    <row r="700" spans="1:110">
      <c r="A700" s="1"/>
      <c r="B700" s="4"/>
      <c r="C700" s="1"/>
      <c r="D700" s="1"/>
      <c r="E700" s="1"/>
      <c r="F700" s="1"/>
      <c r="G700" s="1"/>
      <c r="H700" s="2"/>
      <c r="I700" s="1"/>
      <c r="J700" s="1"/>
      <c r="K700" s="5"/>
      <c r="L700" s="6"/>
      <c r="Q700" s="5"/>
      <c r="R700" s="6"/>
      <c r="X700" s="2"/>
      <c r="Y700" s="1"/>
      <c r="AF700" s="2"/>
      <c r="AG700" s="1"/>
      <c r="BG700" s="1"/>
      <c r="BS700" s="3"/>
      <c r="CC700" s="1"/>
      <c r="CE700" s="1"/>
      <c r="CF700" s="1"/>
      <c r="CJ700" s="1"/>
      <c r="DF700" s="2"/>
    </row>
    <row r="701" spans="1:110">
      <c r="A701" s="1"/>
      <c r="B701" s="4"/>
      <c r="C701" s="1"/>
      <c r="D701" s="1"/>
      <c r="E701" s="1"/>
      <c r="F701" s="1"/>
      <c r="G701" s="1"/>
      <c r="H701" s="2"/>
      <c r="I701" s="1"/>
      <c r="J701" s="1"/>
      <c r="K701" s="5"/>
      <c r="L701" s="6"/>
      <c r="Q701" s="5"/>
      <c r="R701" s="6"/>
      <c r="X701" s="2"/>
      <c r="Y701" s="1"/>
      <c r="AF701" s="2"/>
      <c r="AG701" s="1"/>
      <c r="BG701" s="1"/>
      <c r="BS701" s="3"/>
      <c r="CC701" s="1"/>
      <c r="CE701" s="1"/>
      <c r="CF701" s="1"/>
      <c r="CJ701" s="1"/>
      <c r="DF701" s="2"/>
    </row>
    <row r="702" spans="1:110">
      <c r="A702" s="1"/>
      <c r="B702" s="4"/>
      <c r="C702" s="1"/>
      <c r="D702" s="1"/>
      <c r="E702" s="1"/>
      <c r="F702" s="1"/>
      <c r="G702" s="1"/>
      <c r="H702" s="2"/>
      <c r="I702" s="1"/>
      <c r="J702" s="1"/>
      <c r="K702" s="5"/>
      <c r="L702" s="6"/>
      <c r="Q702" s="5"/>
      <c r="R702" s="6"/>
      <c r="X702" s="2"/>
      <c r="Y702" s="1"/>
      <c r="AF702" s="2"/>
      <c r="AG702" s="1"/>
      <c r="BG702" s="1"/>
      <c r="BS702" s="3"/>
      <c r="CC702" s="1"/>
      <c r="CE702" s="1"/>
      <c r="CF702" s="1"/>
      <c r="CJ702" s="1"/>
      <c r="DF702" s="2"/>
    </row>
    <row r="703" spans="1:110">
      <c r="A703" s="1"/>
      <c r="B703" s="4"/>
      <c r="C703" s="1"/>
      <c r="D703" s="1"/>
      <c r="E703" s="1"/>
      <c r="F703" s="1"/>
      <c r="G703" s="1"/>
      <c r="H703" s="2"/>
      <c r="I703" s="1"/>
      <c r="J703" s="1"/>
      <c r="K703" s="5"/>
      <c r="L703" s="6"/>
      <c r="Q703" s="5"/>
      <c r="R703" s="6"/>
      <c r="X703" s="2"/>
      <c r="Y703" s="1"/>
      <c r="AF703" s="2"/>
      <c r="AG703" s="1"/>
      <c r="BG703" s="1"/>
      <c r="BS703" s="3"/>
      <c r="CC703" s="1"/>
      <c r="CE703" s="1"/>
      <c r="CF703" s="1"/>
      <c r="CJ703" s="1"/>
      <c r="DF703" s="2"/>
    </row>
    <row r="704" spans="1:110">
      <c r="A704" s="1"/>
      <c r="B704" s="4"/>
      <c r="C704" s="1"/>
      <c r="D704" s="1"/>
      <c r="E704" s="1"/>
      <c r="F704" s="1"/>
      <c r="G704" s="1"/>
      <c r="H704" s="2"/>
      <c r="I704" s="1"/>
      <c r="J704" s="1"/>
      <c r="K704" s="5"/>
      <c r="L704" s="6"/>
      <c r="Q704" s="5"/>
      <c r="R704" s="6"/>
      <c r="X704" s="2"/>
      <c r="Y704" s="1"/>
      <c r="AF704" s="2"/>
      <c r="AG704" s="1"/>
      <c r="BG704" s="1"/>
      <c r="BS704" s="3"/>
      <c r="CC704" s="1"/>
      <c r="CE704" s="1"/>
      <c r="CF704" s="1"/>
      <c r="CJ704" s="1"/>
      <c r="DF704" s="2"/>
    </row>
    <row r="705" spans="1:110">
      <c r="A705" s="1"/>
      <c r="B705" s="4"/>
      <c r="C705" s="1"/>
      <c r="D705" s="1"/>
      <c r="E705" s="1"/>
      <c r="F705" s="1"/>
      <c r="G705" s="1"/>
      <c r="H705" s="2"/>
      <c r="I705" s="1"/>
      <c r="J705" s="1"/>
      <c r="K705" s="5"/>
      <c r="L705" s="6"/>
      <c r="Q705" s="5"/>
      <c r="R705" s="6"/>
      <c r="X705" s="2"/>
      <c r="Y705" s="1"/>
      <c r="AF705" s="2"/>
      <c r="AG705" s="1"/>
      <c r="BG705" s="1"/>
      <c r="BS705" s="3"/>
      <c r="CC705" s="1"/>
      <c r="CE705" s="1"/>
      <c r="CF705" s="1"/>
      <c r="CJ705" s="1"/>
      <c r="DF705" s="2"/>
    </row>
    <row r="706" spans="1:110">
      <c r="A706" s="1"/>
      <c r="B706" s="4"/>
      <c r="C706" s="1"/>
      <c r="D706" s="1"/>
      <c r="E706" s="1"/>
      <c r="F706" s="1"/>
      <c r="G706" s="1"/>
      <c r="H706" s="2"/>
      <c r="I706" s="1"/>
      <c r="J706" s="1"/>
      <c r="K706" s="5"/>
      <c r="L706" s="6"/>
      <c r="Q706" s="5"/>
      <c r="R706" s="6"/>
      <c r="X706" s="2"/>
      <c r="Y706" s="1"/>
      <c r="AF706" s="2"/>
      <c r="AG706" s="1"/>
      <c r="BG706" s="1"/>
      <c r="BS706" s="3"/>
      <c r="CC706" s="1"/>
      <c r="CE706" s="1"/>
      <c r="CF706" s="1"/>
      <c r="CJ706" s="1"/>
      <c r="DF706" s="2"/>
    </row>
    <row r="707" spans="1:110">
      <c r="A707" s="1"/>
      <c r="B707" s="4"/>
      <c r="C707" s="1"/>
      <c r="D707" s="1"/>
      <c r="E707" s="1"/>
      <c r="F707" s="1"/>
      <c r="G707" s="1"/>
      <c r="H707" s="2"/>
      <c r="I707" s="1"/>
      <c r="J707" s="1"/>
      <c r="K707" s="5"/>
      <c r="L707" s="6"/>
      <c r="Q707" s="5"/>
      <c r="R707" s="6"/>
      <c r="X707" s="2"/>
      <c r="Y707" s="1"/>
      <c r="AF707" s="2"/>
      <c r="AG707" s="1"/>
      <c r="BG707" s="1"/>
      <c r="BS707" s="3"/>
      <c r="CC707" s="1"/>
      <c r="CE707" s="1"/>
      <c r="CF707" s="1"/>
      <c r="CJ707" s="1"/>
      <c r="DF707" s="2"/>
    </row>
    <row r="708" spans="1:110">
      <c r="A708" s="1"/>
      <c r="B708" s="4"/>
      <c r="C708" s="1"/>
      <c r="D708" s="1"/>
      <c r="E708" s="1"/>
      <c r="F708" s="1"/>
      <c r="G708" s="1"/>
      <c r="H708" s="2"/>
      <c r="I708" s="1"/>
      <c r="J708" s="1"/>
      <c r="K708" s="5"/>
      <c r="L708" s="6"/>
      <c r="Q708" s="5"/>
      <c r="R708" s="6"/>
      <c r="X708" s="2"/>
      <c r="Y708" s="1"/>
      <c r="AF708" s="2"/>
      <c r="AG708" s="1"/>
      <c r="BG708" s="1"/>
      <c r="BS708" s="3"/>
      <c r="CC708" s="1"/>
      <c r="CE708" s="1"/>
      <c r="CF708" s="1"/>
      <c r="CJ708" s="1"/>
      <c r="DF708" s="2"/>
    </row>
    <row r="709" spans="1:110">
      <c r="A709" s="1"/>
      <c r="B709" s="4"/>
      <c r="C709" s="1"/>
      <c r="D709" s="1"/>
      <c r="E709" s="1"/>
      <c r="F709" s="1"/>
      <c r="G709" s="1"/>
      <c r="H709" s="2"/>
      <c r="I709" s="1"/>
      <c r="J709" s="1"/>
      <c r="K709" s="5"/>
      <c r="L709" s="6"/>
      <c r="Q709" s="5"/>
      <c r="R709" s="6"/>
      <c r="X709" s="2"/>
      <c r="Y709" s="1"/>
      <c r="AF709" s="2"/>
      <c r="AG709" s="1"/>
      <c r="BG709" s="1"/>
      <c r="BS709" s="3"/>
      <c r="CC709" s="1"/>
      <c r="CE709" s="1"/>
      <c r="CF709" s="1"/>
      <c r="CJ709" s="1"/>
      <c r="DF709" s="2"/>
    </row>
    <row r="710" spans="1:110">
      <c r="A710" s="1"/>
      <c r="B710" s="4"/>
      <c r="C710" s="1"/>
      <c r="D710" s="1"/>
      <c r="E710" s="1"/>
      <c r="F710" s="1"/>
      <c r="G710" s="1"/>
      <c r="H710" s="2"/>
      <c r="I710" s="1"/>
      <c r="J710" s="1"/>
      <c r="K710" s="5"/>
      <c r="L710" s="6"/>
      <c r="Q710" s="5"/>
      <c r="R710" s="6"/>
      <c r="X710" s="2"/>
      <c r="Y710" s="1"/>
      <c r="AF710" s="2"/>
      <c r="AG710" s="1"/>
      <c r="BG710" s="1"/>
      <c r="BS710" s="3"/>
      <c r="CC710" s="1"/>
      <c r="CE710" s="1"/>
      <c r="CF710" s="1"/>
      <c r="CJ710" s="1"/>
      <c r="DF710" s="2"/>
    </row>
    <row r="711" spans="1:110">
      <c r="A711" s="1"/>
      <c r="B711" s="4"/>
      <c r="C711" s="1"/>
      <c r="D711" s="1"/>
      <c r="E711" s="1"/>
      <c r="F711" s="1"/>
      <c r="G711" s="1"/>
      <c r="H711" s="2"/>
      <c r="I711" s="1"/>
      <c r="J711" s="1"/>
      <c r="K711" s="5"/>
      <c r="L711" s="6"/>
      <c r="Q711" s="5"/>
      <c r="R711" s="6"/>
      <c r="X711" s="2"/>
      <c r="Y711" s="1"/>
      <c r="AF711" s="2"/>
      <c r="AG711" s="1"/>
      <c r="BG711" s="1"/>
      <c r="BS711" s="3"/>
      <c r="CC711" s="1"/>
      <c r="CE711" s="1"/>
      <c r="CF711" s="1"/>
      <c r="CJ711" s="1"/>
      <c r="DF711" s="2"/>
    </row>
    <row r="712" spans="1:110">
      <c r="A712" s="1"/>
      <c r="B712" s="4"/>
      <c r="C712" s="1"/>
      <c r="D712" s="1"/>
      <c r="E712" s="1"/>
      <c r="F712" s="1"/>
      <c r="G712" s="1"/>
      <c r="H712" s="2"/>
      <c r="I712" s="1"/>
      <c r="J712" s="1"/>
      <c r="K712" s="5"/>
      <c r="L712" s="6"/>
      <c r="Q712" s="5"/>
      <c r="R712" s="6"/>
      <c r="X712" s="2"/>
      <c r="Y712" s="1"/>
      <c r="AF712" s="2"/>
      <c r="AG712" s="1"/>
      <c r="BG712" s="1"/>
      <c r="BS712" s="3"/>
      <c r="CC712" s="1"/>
      <c r="CE712" s="1"/>
      <c r="CF712" s="1"/>
      <c r="CJ712" s="1"/>
      <c r="DF712" s="2"/>
    </row>
    <row r="713" spans="1:110">
      <c r="A713" s="1"/>
      <c r="B713" s="4"/>
      <c r="C713" s="1"/>
      <c r="D713" s="1"/>
      <c r="E713" s="1"/>
      <c r="F713" s="1"/>
      <c r="G713" s="1"/>
      <c r="H713" s="2"/>
      <c r="I713" s="1"/>
      <c r="J713" s="1"/>
      <c r="K713" s="5"/>
      <c r="L713" s="6"/>
      <c r="Q713" s="5"/>
      <c r="R713" s="6"/>
      <c r="X713" s="2"/>
      <c r="Y713" s="1"/>
      <c r="AF713" s="2"/>
      <c r="AG713" s="1"/>
      <c r="BG713" s="1"/>
      <c r="BS713" s="3"/>
      <c r="CC713" s="1"/>
      <c r="CE713" s="1"/>
      <c r="CF713" s="1"/>
      <c r="CJ713" s="1"/>
      <c r="DF713" s="2"/>
    </row>
    <row r="714" spans="1:110">
      <c r="A714" s="1"/>
      <c r="B714" s="4"/>
      <c r="C714" s="1"/>
      <c r="D714" s="1"/>
      <c r="E714" s="1"/>
      <c r="F714" s="1"/>
      <c r="G714" s="1"/>
      <c r="H714" s="2"/>
      <c r="I714" s="1"/>
      <c r="J714" s="1"/>
      <c r="K714" s="5"/>
      <c r="L714" s="6"/>
      <c r="Q714" s="5"/>
      <c r="R714" s="6"/>
      <c r="X714" s="2"/>
      <c r="Y714" s="1"/>
      <c r="AF714" s="2"/>
      <c r="AG714" s="1"/>
      <c r="BG714" s="1"/>
      <c r="BS714" s="3"/>
      <c r="CC714" s="1"/>
      <c r="CE714" s="1"/>
      <c r="CF714" s="1"/>
      <c r="CJ714" s="1"/>
      <c r="DF714" s="2"/>
    </row>
    <row r="715" spans="1:110">
      <c r="A715" s="1"/>
      <c r="B715" s="4"/>
      <c r="C715" s="1"/>
      <c r="D715" s="1"/>
      <c r="E715" s="1"/>
      <c r="F715" s="1"/>
      <c r="G715" s="1"/>
      <c r="H715" s="2"/>
      <c r="I715" s="1"/>
      <c r="J715" s="1"/>
      <c r="K715" s="5"/>
      <c r="L715" s="6"/>
      <c r="Q715" s="5"/>
      <c r="R715" s="6"/>
      <c r="X715" s="2"/>
      <c r="Y715" s="1"/>
      <c r="AF715" s="2"/>
      <c r="AG715" s="1"/>
      <c r="BG715" s="1"/>
      <c r="BS715" s="3"/>
      <c r="CC715" s="1"/>
      <c r="CE715" s="1"/>
      <c r="CF715" s="1"/>
      <c r="CJ715" s="1"/>
      <c r="DF715" s="2"/>
    </row>
    <row r="716" spans="1:110">
      <c r="A716" s="1"/>
      <c r="B716" s="4"/>
      <c r="C716" s="1"/>
      <c r="D716" s="1"/>
      <c r="E716" s="1"/>
      <c r="F716" s="1"/>
      <c r="G716" s="1"/>
      <c r="H716" s="2"/>
      <c r="I716" s="1"/>
      <c r="J716" s="1"/>
      <c r="K716" s="5"/>
      <c r="L716" s="6"/>
      <c r="Q716" s="5"/>
      <c r="R716" s="6"/>
      <c r="X716" s="2"/>
      <c r="Y716" s="1"/>
      <c r="AF716" s="2"/>
      <c r="AG716" s="1"/>
      <c r="BG716" s="1"/>
      <c r="BS716" s="3"/>
      <c r="CC716" s="1"/>
      <c r="CE716" s="1"/>
      <c r="CF716" s="1"/>
      <c r="CJ716" s="1"/>
      <c r="DF716" s="2"/>
    </row>
    <row r="717" spans="1:110">
      <c r="A717" s="1"/>
      <c r="B717" s="4"/>
      <c r="C717" s="1"/>
      <c r="D717" s="1"/>
      <c r="E717" s="1"/>
      <c r="F717" s="1"/>
      <c r="G717" s="1"/>
      <c r="H717" s="2"/>
      <c r="I717" s="1"/>
      <c r="J717" s="1"/>
      <c r="K717" s="5"/>
      <c r="L717" s="6"/>
      <c r="Q717" s="5"/>
      <c r="R717" s="6"/>
      <c r="X717" s="2"/>
      <c r="Y717" s="1"/>
      <c r="AF717" s="2"/>
      <c r="AG717" s="1"/>
      <c r="BG717" s="1"/>
      <c r="BS717" s="3"/>
      <c r="CC717" s="1"/>
      <c r="CE717" s="1"/>
      <c r="CF717" s="1"/>
      <c r="CJ717" s="1"/>
      <c r="DF717" s="2"/>
    </row>
    <row r="718" spans="1:110">
      <c r="A718" s="1"/>
      <c r="B718" s="4"/>
      <c r="C718" s="1"/>
      <c r="D718" s="1"/>
      <c r="E718" s="1"/>
      <c r="F718" s="1"/>
      <c r="G718" s="1"/>
      <c r="H718" s="2"/>
      <c r="I718" s="1"/>
      <c r="J718" s="1"/>
      <c r="K718" s="5"/>
      <c r="L718" s="6"/>
      <c r="Q718" s="5"/>
      <c r="R718" s="6"/>
      <c r="X718" s="2"/>
      <c r="Y718" s="1"/>
      <c r="AF718" s="2"/>
      <c r="AG718" s="1"/>
      <c r="BG718" s="1"/>
      <c r="BS718" s="3"/>
      <c r="CC718" s="1"/>
      <c r="CE718" s="1"/>
      <c r="CF718" s="1"/>
      <c r="CJ718" s="1"/>
      <c r="DF718" s="2"/>
    </row>
    <row r="719" spans="1:110">
      <c r="A719" s="1"/>
      <c r="B719" s="4"/>
      <c r="C719" s="1"/>
      <c r="D719" s="1"/>
      <c r="E719" s="1"/>
      <c r="F719" s="1"/>
      <c r="G719" s="1"/>
      <c r="H719" s="2"/>
      <c r="I719" s="1"/>
      <c r="J719" s="1"/>
      <c r="K719" s="5"/>
      <c r="L719" s="6"/>
      <c r="Q719" s="5"/>
      <c r="R719" s="6"/>
      <c r="X719" s="2"/>
      <c r="Y719" s="1"/>
      <c r="AF719" s="2"/>
      <c r="AG719" s="1"/>
      <c r="BG719" s="1"/>
      <c r="BS719" s="3"/>
      <c r="CC719" s="1"/>
      <c r="CE719" s="1"/>
      <c r="CF719" s="1"/>
      <c r="CJ719" s="1"/>
      <c r="DF719" s="2"/>
    </row>
    <row r="720" spans="1:110">
      <c r="A720" s="1"/>
      <c r="B720" s="4"/>
      <c r="C720" s="1"/>
      <c r="D720" s="1"/>
      <c r="E720" s="1"/>
      <c r="F720" s="1"/>
      <c r="G720" s="1"/>
      <c r="H720" s="2"/>
      <c r="I720" s="1"/>
      <c r="J720" s="1"/>
      <c r="K720" s="5"/>
      <c r="L720" s="6"/>
      <c r="Q720" s="5"/>
      <c r="R720" s="6"/>
      <c r="X720" s="2"/>
      <c r="Y720" s="1"/>
      <c r="AF720" s="2"/>
      <c r="AG720" s="1"/>
      <c r="BG720" s="1"/>
      <c r="BS720" s="3"/>
      <c r="CC720" s="1"/>
      <c r="CE720" s="1"/>
      <c r="CF720" s="1"/>
      <c r="CJ720" s="1"/>
      <c r="DF720" s="2"/>
    </row>
    <row r="721" spans="1:110">
      <c r="A721" s="1"/>
      <c r="B721" s="4"/>
      <c r="C721" s="1"/>
      <c r="D721" s="1"/>
      <c r="E721" s="1"/>
      <c r="F721" s="1"/>
      <c r="G721" s="1"/>
      <c r="H721" s="2"/>
      <c r="I721" s="1"/>
      <c r="J721" s="1"/>
      <c r="K721" s="5"/>
      <c r="L721" s="6"/>
      <c r="Q721" s="5"/>
      <c r="R721" s="6"/>
      <c r="X721" s="2"/>
      <c r="Y721" s="1"/>
      <c r="AF721" s="2"/>
      <c r="AG721" s="1"/>
      <c r="BG721" s="1"/>
      <c r="BS721" s="3"/>
      <c r="CC721" s="1"/>
      <c r="CE721" s="1"/>
      <c r="CF721" s="1"/>
      <c r="CJ721" s="1"/>
      <c r="DF721" s="2"/>
    </row>
    <row r="722" spans="1:110">
      <c r="A722" s="1"/>
      <c r="B722" s="4"/>
      <c r="C722" s="1"/>
      <c r="D722" s="1"/>
      <c r="E722" s="1"/>
      <c r="F722" s="1"/>
      <c r="G722" s="1"/>
      <c r="H722" s="2"/>
      <c r="I722" s="1"/>
      <c r="J722" s="1"/>
      <c r="K722" s="5"/>
      <c r="L722" s="6"/>
      <c r="Q722" s="5"/>
      <c r="R722" s="6"/>
      <c r="X722" s="2"/>
      <c r="Y722" s="1"/>
      <c r="AF722" s="2"/>
      <c r="AG722" s="1"/>
      <c r="BG722" s="1"/>
      <c r="BS722" s="3"/>
      <c r="CC722" s="1"/>
      <c r="CE722" s="1"/>
      <c r="CF722" s="1"/>
      <c r="CJ722" s="1"/>
      <c r="DF722" s="2"/>
    </row>
    <row r="723" spans="1:110">
      <c r="A723" s="1"/>
      <c r="B723" s="4"/>
      <c r="C723" s="1"/>
      <c r="D723" s="1"/>
      <c r="E723" s="1"/>
      <c r="F723" s="1"/>
      <c r="G723" s="1"/>
      <c r="H723" s="2"/>
      <c r="I723" s="1"/>
      <c r="J723" s="1"/>
      <c r="K723" s="5"/>
      <c r="L723" s="6"/>
      <c r="Q723" s="5"/>
      <c r="R723" s="6"/>
      <c r="X723" s="2"/>
      <c r="Y723" s="1"/>
      <c r="AF723" s="2"/>
      <c r="AG723" s="1"/>
      <c r="BG723" s="1"/>
      <c r="BS723" s="3"/>
      <c r="CC723" s="1"/>
      <c r="CE723" s="1"/>
      <c r="CF723" s="1"/>
      <c r="CJ723" s="1"/>
      <c r="DF723" s="2"/>
    </row>
    <row r="724" spans="1:110">
      <c r="A724" s="1"/>
      <c r="B724" s="4"/>
      <c r="C724" s="1"/>
      <c r="D724" s="1"/>
      <c r="E724" s="1"/>
      <c r="F724" s="1"/>
      <c r="G724" s="1"/>
      <c r="H724" s="2"/>
      <c r="I724" s="1"/>
      <c r="J724" s="1"/>
      <c r="K724" s="5"/>
      <c r="L724" s="6"/>
      <c r="Q724" s="5"/>
      <c r="R724" s="6"/>
      <c r="X724" s="2"/>
      <c r="Y724" s="1"/>
      <c r="AF724" s="2"/>
      <c r="AG724" s="1"/>
      <c r="BG724" s="1"/>
      <c r="BS724" s="3"/>
      <c r="CC724" s="1"/>
      <c r="CE724" s="1"/>
      <c r="CF724" s="1"/>
      <c r="CJ724" s="1"/>
      <c r="DF724" s="2"/>
    </row>
    <row r="725" spans="1:110">
      <c r="A725" s="1"/>
      <c r="B725" s="4"/>
      <c r="C725" s="1"/>
      <c r="D725" s="1"/>
      <c r="E725" s="1"/>
      <c r="F725" s="1"/>
      <c r="G725" s="1"/>
      <c r="H725" s="2"/>
      <c r="I725" s="1"/>
      <c r="J725" s="1"/>
      <c r="K725" s="5"/>
      <c r="L725" s="6"/>
      <c r="Q725" s="5"/>
      <c r="R725" s="6"/>
      <c r="X725" s="2"/>
      <c r="Y725" s="1"/>
      <c r="AF725" s="2"/>
      <c r="AG725" s="1"/>
      <c r="BG725" s="1"/>
      <c r="BS725" s="3"/>
      <c r="CC725" s="1"/>
      <c r="CE725" s="1"/>
      <c r="CF725" s="1"/>
      <c r="CJ725" s="1"/>
      <c r="DF725" s="2"/>
    </row>
    <row r="726" spans="1:110">
      <c r="A726" s="1"/>
      <c r="B726" s="4"/>
      <c r="C726" s="1"/>
      <c r="D726" s="1"/>
      <c r="E726" s="1"/>
      <c r="F726" s="1"/>
      <c r="G726" s="1"/>
      <c r="H726" s="2"/>
      <c r="I726" s="1"/>
      <c r="J726" s="1"/>
      <c r="K726" s="5"/>
      <c r="L726" s="6"/>
      <c r="Q726" s="5"/>
      <c r="R726" s="6"/>
      <c r="X726" s="2"/>
      <c r="Y726" s="1"/>
      <c r="AF726" s="2"/>
      <c r="AG726" s="1"/>
      <c r="BG726" s="1"/>
      <c r="BS726" s="3"/>
      <c r="CC726" s="1"/>
      <c r="CE726" s="1"/>
      <c r="CF726" s="1"/>
      <c r="CJ726" s="1"/>
      <c r="DF726" s="2"/>
    </row>
    <row r="727" spans="1:110">
      <c r="A727" s="1"/>
      <c r="B727" s="4"/>
      <c r="C727" s="1"/>
      <c r="D727" s="1"/>
      <c r="E727" s="1"/>
      <c r="F727" s="1"/>
      <c r="G727" s="1"/>
      <c r="H727" s="2"/>
      <c r="I727" s="1"/>
      <c r="J727" s="1"/>
      <c r="K727" s="5"/>
      <c r="L727" s="6"/>
      <c r="Q727" s="5"/>
      <c r="R727" s="6"/>
      <c r="X727" s="2"/>
      <c r="Y727" s="1"/>
      <c r="AF727" s="2"/>
      <c r="AG727" s="1"/>
      <c r="BG727" s="1"/>
      <c r="BS727" s="3"/>
      <c r="CC727" s="1"/>
      <c r="CE727" s="1"/>
      <c r="CF727" s="1"/>
      <c r="CJ727" s="1"/>
      <c r="DF727" s="2"/>
    </row>
    <row r="728" spans="1:110">
      <c r="A728" s="1"/>
      <c r="B728" s="4"/>
      <c r="C728" s="1"/>
      <c r="D728" s="1"/>
      <c r="E728" s="1"/>
      <c r="F728" s="1"/>
      <c r="G728" s="1"/>
      <c r="H728" s="2"/>
      <c r="I728" s="1"/>
      <c r="J728" s="1"/>
      <c r="K728" s="5"/>
      <c r="L728" s="6"/>
      <c r="Q728" s="5"/>
      <c r="R728" s="6"/>
      <c r="X728" s="2"/>
      <c r="Y728" s="1"/>
      <c r="AF728" s="2"/>
      <c r="AG728" s="1"/>
      <c r="BG728" s="1"/>
      <c r="BS728" s="3"/>
      <c r="CC728" s="1"/>
      <c r="CE728" s="1"/>
      <c r="CF728" s="1"/>
      <c r="CJ728" s="1"/>
      <c r="DF728" s="2"/>
    </row>
    <row r="729" spans="1:110">
      <c r="A729" s="1"/>
      <c r="B729" s="4"/>
      <c r="C729" s="1"/>
      <c r="D729" s="1"/>
      <c r="E729" s="1"/>
      <c r="F729" s="1"/>
      <c r="G729" s="1"/>
      <c r="H729" s="2"/>
      <c r="I729" s="1"/>
      <c r="J729" s="1"/>
      <c r="K729" s="5"/>
      <c r="L729" s="6"/>
      <c r="Q729" s="5"/>
      <c r="R729" s="6"/>
      <c r="X729" s="2"/>
      <c r="Y729" s="1"/>
      <c r="AF729" s="2"/>
      <c r="AG729" s="1"/>
      <c r="BG729" s="1"/>
      <c r="BS729" s="3"/>
      <c r="CC729" s="1"/>
      <c r="CE729" s="1"/>
      <c r="CF729" s="1"/>
      <c r="CJ729" s="1"/>
      <c r="DF729" s="2"/>
    </row>
    <row r="730" spans="1:110">
      <c r="A730" s="1"/>
      <c r="B730" s="4"/>
      <c r="C730" s="1"/>
      <c r="D730" s="1"/>
      <c r="E730" s="1"/>
      <c r="F730" s="1"/>
      <c r="G730" s="1"/>
      <c r="H730" s="2"/>
      <c r="I730" s="1"/>
      <c r="J730" s="1"/>
      <c r="K730" s="5"/>
      <c r="L730" s="6"/>
      <c r="Q730" s="5"/>
      <c r="R730" s="6"/>
      <c r="X730" s="2"/>
      <c r="Y730" s="1"/>
      <c r="AF730" s="2"/>
      <c r="AG730" s="1"/>
      <c r="BG730" s="1"/>
      <c r="BS730" s="3"/>
      <c r="CC730" s="1"/>
      <c r="CE730" s="1"/>
      <c r="CF730" s="1"/>
      <c r="CJ730" s="1"/>
      <c r="DF730" s="2"/>
    </row>
    <row r="731" spans="1:110">
      <c r="A731" s="1"/>
      <c r="B731" s="4"/>
      <c r="C731" s="1"/>
      <c r="D731" s="1"/>
      <c r="E731" s="1"/>
      <c r="F731" s="1"/>
      <c r="G731" s="1"/>
      <c r="H731" s="2"/>
      <c r="I731" s="1"/>
      <c r="J731" s="1"/>
      <c r="K731" s="5"/>
      <c r="L731" s="6"/>
      <c r="Q731" s="5"/>
      <c r="R731" s="6"/>
      <c r="X731" s="2"/>
      <c r="Y731" s="1"/>
      <c r="AF731" s="2"/>
      <c r="AG731" s="1"/>
      <c r="BG731" s="1"/>
      <c r="BS731" s="3"/>
      <c r="CC731" s="1"/>
      <c r="CE731" s="1"/>
      <c r="CF731" s="1"/>
      <c r="CJ731" s="1"/>
      <c r="DF731" s="2"/>
    </row>
    <row r="732" spans="1:110">
      <c r="A732" s="1"/>
      <c r="B732" s="4"/>
      <c r="C732" s="1"/>
      <c r="D732" s="1"/>
      <c r="E732" s="1"/>
      <c r="F732" s="1"/>
      <c r="G732" s="1"/>
      <c r="H732" s="2"/>
      <c r="I732" s="1"/>
      <c r="J732" s="1"/>
      <c r="K732" s="5"/>
      <c r="L732" s="6"/>
      <c r="Q732" s="5"/>
      <c r="R732" s="6"/>
      <c r="X732" s="2"/>
      <c r="Y732" s="1"/>
      <c r="AF732" s="2"/>
      <c r="AG732" s="1"/>
      <c r="BG732" s="1"/>
      <c r="BS732" s="3"/>
      <c r="CC732" s="1"/>
      <c r="CE732" s="1"/>
      <c r="CF732" s="1"/>
      <c r="CJ732" s="1"/>
      <c r="DF732" s="2"/>
    </row>
    <row r="733" spans="1:110">
      <c r="A733" s="1"/>
      <c r="B733" s="4"/>
      <c r="C733" s="1"/>
      <c r="D733" s="1"/>
      <c r="E733" s="1"/>
      <c r="F733" s="1"/>
      <c r="G733" s="1"/>
      <c r="H733" s="2"/>
      <c r="I733" s="1"/>
      <c r="J733" s="1"/>
      <c r="K733" s="5"/>
      <c r="L733" s="6"/>
      <c r="Q733" s="5"/>
      <c r="R733" s="6"/>
      <c r="X733" s="2"/>
      <c r="Y733" s="1"/>
      <c r="AF733" s="2"/>
      <c r="AG733" s="1"/>
      <c r="BG733" s="1"/>
      <c r="BS733" s="3"/>
      <c r="CC733" s="1"/>
      <c r="CE733" s="1"/>
      <c r="CF733" s="1"/>
      <c r="CJ733" s="1"/>
      <c r="DF733" s="2"/>
    </row>
    <row r="734" spans="1:110">
      <c r="A734" s="1"/>
      <c r="B734" s="4"/>
      <c r="C734" s="1"/>
      <c r="D734" s="1"/>
      <c r="E734" s="1"/>
      <c r="F734" s="1"/>
      <c r="G734" s="1"/>
      <c r="H734" s="2"/>
      <c r="I734" s="1"/>
      <c r="J734" s="1"/>
      <c r="K734" s="5"/>
      <c r="L734" s="6"/>
      <c r="Q734" s="5"/>
      <c r="R734" s="6"/>
      <c r="X734" s="2"/>
      <c r="Y734" s="1"/>
      <c r="AF734" s="2"/>
      <c r="AG734" s="1"/>
      <c r="BG734" s="1"/>
      <c r="BS734" s="3"/>
      <c r="CC734" s="1"/>
      <c r="CE734" s="1"/>
      <c r="CF734" s="1"/>
      <c r="CJ734" s="1"/>
      <c r="DF734" s="2"/>
    </row>
    <row r="735" spans="1:110">
      <c r="A735" s="1"/>
      <c r="B735" s="4"/>
      <c r="C735" s="1"/>
      <c r="D735" s="1"/>
      <c r="E735" s="1"/>
      <c r="F735" s="1"/>
      <c r="G735" s="1"/>
      <c r="H735" s="2"/>
      <c r="I735" s="1"/>
      <c r="J735" s="1"/>
      <c r="K735" s="5"/>
      <c r="L735" s="6"/>
      <c r="Q735" s="5"/>
      <c r="R735" s="6"/>
      <c r="X735" s="2"/>
      <c r="Y735" s="1"/>
      <c r="AF735" s="2"/>
      <c r="AG735" s="1"/>
      <c r="BG735" s="1"/>
      <c r="BS735" s="3"/>
      <c r="CC735" s="1"/>
      <c r="CE735" s="1"/>
      <c r="CF735" s="1"/>
      <c r="CJ735" s="1"/>
      <c r="DF735" s="2"/>
    </row>
    <row r="736" spans="1:110">
      <c r="A736" s="1"/>
      <c r="B736" s="4"/>
      <c r="C736" s="1"/>
      <c r="D736" s="1"/>
      <c r="E736" s="1"/>
      <c r="F736" s="1"/>
      <c r="G736" s="1"/>
      <c r="H736" s="2"/>
      <c r="I736" s="1"/>
      <c r="J736" s="1"/>
      <c r="K736" s="5"/>
      <c r="L736" s="6"/>
      <c r="Q736" s="5"/>
      <c r="R736" s="6"/>
      <c r="X736" s="2"/>
      <c r="Y736" s="1"/>
      <c r="AF736" s="2"/>
      <c r="AG736" s="1"/>
      <c r="BG736" s="1"/>
      <c r="BS736" s="3"/>
      <c r="CC736" s="1"/>
      <c r="CE736" s="1"/>
      <c r="CF736" s="1"/>
      <c r="CJ736" s="1"/>
      <c r="DF736" s="2"/>
    </row>
    <row r="737" spans="1:110">
      <c r="A737" s="1"/>
      <c r="B737" s="4"/>
      <c r="C737" s="1"/>
      <c r="D737" s="1"/>
      <c r="E737" s="1"/>
      <c r="F737" s="1"/>
      <c r="G737" s="1"/>
      <c r="H737" s="2"/>
      <c r="I737" s="1"/>
      <c r="J737" s="1"/>
      <c r="K737" s="5"/>
      <c r="L737" s="6"/>
      <c r="Q737" s="5"/>
      <c r="R737" s="6"/>
      <c r="X737" s="2"/>
      <c r="Y737" s="1"/>
      <c r="AF737" s="2"/>
      <c r="AG737" s="1"/>
      <c r="BG737" s="1"/>
      <c r="BS737" s="3"/>
      <c r="CC737" s="1"/>
      <c r="CE737" s="1"/>
      <c r="CF737" s="1"/>
      <c r="CJ737" s="1"/>
      <c r="DF737" s="2"/>
    </row>
    <row r="738" spans="1:110">
      <c r="A738" s="1"/>
      <c r="B738" s="4"/>
      <c r="C738" s="1"/>
      <c r="D738" s="1"/>
      <c r="E738" s="1"/>
      <c r="F738" s="1"/>
      <c r="G738" s="1"/>
      <c r="H738" s="2"/>
      <c r="I738" s="1"/>
      <c r="J738" s="1"/>
      <c r="K738" s="5"/>
      <c r="L738" s="6"/>
      <c r="Q738" s="5"/>
      <c r="R738" s="6"/>
      <c r="X738" s="2"/>
      <c r="Y738" s="1"/>
      <c r="AF738" s="2"/>
      <c r="AG738" s="1"/>
      <c r="BG738" s="1"/>
      <c r="BS738" s="3"/>
      <c r="CC738" s="1"/>
      <c r="CE738" s="1"/>
      <c r="CF738" s="1"/>
      <c r="CJ738" s="1"/>
      <c r="DF738" s="2"/>
    </row>
    <row r="739" spans="1:110">
      <c r="A739" s="1"/>
      <c r="B739" s="4"/>
      <c r="C739" s="1"/>
      <c r="D739" s="1"/>
      <c r="E739" s="1"/>
      <c r="F739" s="1"/>
      <c r="G739" s="1"/>
      <c r="H739" s="2"/>
      <c r="I739" s="1"/>
      <c r="J739" s="1"/>
      <c r="K739" s="5"/>
      <c r="L739" s="6"/>
      <c r="Q739" s="5"/>
      <c r="R739" s="6"/>
      <c r="X739" s="2"/>
      <c r="Y739" s="1"/>
      <c r="AF739" s="2"/>
      <c r="AG739" s="1"/>
      <c r="BG739" s="1"/>
      <c r="BS739" s="3"/>
      <c r="CC739" s="1"/>
      <c r="CE739" s="1"/>
      <c r="CF739" s="1"/>
      <c r="CJ739" s="1"/>
      <c r="DF739" s="2"/>
    </row>
    <row r="740" spans="1:110">
      <c r="A740" s="1"/>
      <c r="B740" s="4"/>
      <c r="C740" s="1"/>
      <c r="D740" s="1"/>
      <c r="E740" s="1"/>
      <c r="F740" s="1"/>
      <c r="G740" s="1"/>
      <c r="H740" s="2"/>
      <c r="I740" s="1"/>
      <c r="J740" s="1"/>
      <c r="K740" s="5"/>
      <c r="L740" s="6"/>
      <c r="Q740" s="5"/>
      <c r="R740" s="6"/>
      <c r="X740" s="2"/>
      <c r="Y740" s="1"/>
      <c r="AF740" s="2"/>
      <c r="AG740" s="1"/>
      <c r="BG740" s="1"/>
      <c r="BS740" s="3"/>
      <c r="CC740" s="1"/>
      <c r="CE740" s="1"/>
      <c r="CF740" s="1"/>
      <c r="CJ740" s="1"/>
      <c r="DF740" s="2"/>
    </row>
    <row r="741" spans="1:110">
      <c r="A741" s="1"/>
      <c r="B741" s="4"/>
      <c r="C741" s="1"/>
      <c r="D741" s="1"/>
      <c r="E741" s="1"/>
      <c r="F741" s="1"/>
      <c r="G741" s="1"/>
      <c r="H741" s="2"/>
      <c r="I741" s="1"/>
      <c r="J741" s="1"/>
      <c r="K741" s="5"/>
      <c r="L741" s="6"/>
      <c r="Q741" s="5"/>
      <c r="R741" s="6"/>
      <c r="X741" s="2"/>
      <c r="Y741" s="1"/>
      <c r="AF741" s="2"/>
      <c r="AG741" s="1"/>
      <c r="BG741" s="1"/>
      <c r="BS741" s="3"/>
      <c r="CC741" s="1"/>
      <c r="CE741" s="1"/>
      <c r="CF741" s="1"/>
      <c r="CJ741" s="1"/>
      <c r="DF741" s="2"/>
    </row>
    <row r="742" spans="1:110">
      <c r="A742" s="1"/>
      <c r="B742" s="4"/>
      <c r="C742" s="1"/>
      <c r="D742" s="1"/>
      <c r="E742" s="1"/>
      <c r="F742" s="1"/>
      <c r="G742" s="1"/>
      <c r="H742" s="2"/>
      <c r="I742" s="1"/>
      <c r="J742" s="1"/>
      <c r="K742" s="5"/>
      <c r="L742" s="6"/>
      <c r="Q742" s="5"/>
      <c r="R742" s="6"/>
      <c r="X742" s="2"/>
      <c r="Y742" s="1"/>
      <c r="AF742" s="2"/>
      <c r="AG742" s="1"/>
      <c r="BG742" s="1"/>
      <c r="BS742" s="3"/>
      <c r="CC742" s="1"/>
      <c r="CE742" s="1"/>
      <c r="CF742" s="1"/>
      <c r="CJ742" s="1"/>
      <c r="DF742" s="2"/>
    </row>
    <row r="743" spans="1:110">
      <c r="A743" s="1"/>
      <c r="B743" s="4"/>
      <c r="C743" s="1"/>
      <c r="D743" s="1"/>
      <c r="E743" s="1"/>
      <c r="F743" s="1"/>
      <c r="G743" s="1"/>
      <c r="H743" s="2"/>
      <c r="I743" s="1"/>
      <c r="J743" s="1"/>
      <c r="K743" s="5"/>
      <c r="L743" s="6"/>
      <c r="Q743" s="5"/>
      <c r="R743" s="6"/>
      <c r="X743" s="2"/>
      <c r="Y743" s="1"/>
      <c r="AF743" s="2"/>
      <c r="AG743" s="1"/>
      <c r="BG743" s="1"/>
      <c r="BS743" s="3"/>
      <c r="CC743" s="1"/>
      <c r="CE743" s="1"/>
      <c r="CF743" s="1"/>
      <c r="CJ743" s="1"/>
      <c r="DF743" s="2"/>
    </row>
    <row r="744" spans="1:110">
      <c r="A744" s="1"/>
      <c r="B744" s="4"/>
      <c r="C744" s="1"/>
      <c r="D744" s="1"/>
      <c r="E744" s="1"/>
      <c r="F744" s="1"/>
      <c r="G744" s="1"/>
      <c r="H744" s="2"/>
      <c r="I744" s="1"/>
      <c r="J744" s="1"/>
      <c r="K744" s="5"/>
      <c r="L744" s="6"/>
      <c r="Q744" s="5"/>
      <c r="R744" s="6"/>
      <c r="X744" s="2"/>
      <c r="Y744" s="1"/>
      <c r="AF744" s="2"/>
      <c r="AG744" s="1"/>
      <c r="BG744" s="1"/>
      <c r="BS744" s="3"/>
      <c r="CC744" s="1"/>
      <c r="CE744" s="1"/>
      <c r="CF744" s="1"/>
      <c r="CJ744" s="1"/>
      <c r="DF744" s="2"/>
    </row>
    <row r="745" spans="1:110">
      <c r="A745" s="1"/>
      <c r="B745" s="4"/>
      <c r="C745" s="1"/>
      <c r="D745" s="1"/>
      <c r="E745" s="1"/>
      <c r="F745" s="1"/>
      <c r="G745" s="1"/>
      <c r="H745" s="2"/>
      <c r="I745" s="1"/>
      <c r="J745" s="1"/>
      <c r="K745" s="5"/>
      <c r="L745" s="6"/>
      <c r="Q745" s="5"/>
      <c r="R745" s="6"/>
      <c r="X745" s="2"/>
      <c r="Y745" s="1"/>
      <c r="AF745" s="2"/>
      <c r="AG745" s="1"/>
      <c r="BG745" s="1"/>
      <c r="BS745" s="3"/>
      <c r="CC745" s="1"/>
      <c r="CE745" s="1"/>
      <c r="CF745" s="1"/>
      <c r="CJ745" s="1"/>
      <c r="DF745" s="2"/>
    </row>
    <row r="746" spans="1:110">
      <c r="A746" s="1"/>
      <c r="B746" s="4"/>
      <c r="C746" s="1"/>
      <c r="D746" s="1"/>
      <c r="E746" s="1"/>
      <c r="F746" s="1"/>
      <c r="G746" s="1"/>
      <c r="H746" s="2"/>
      <c r="I746" s="1"/>
      <c r="J746" s="1"/>
      <c r="K746" s="5"/>
      <c r="L746" s="6"/>
      <c r="Q746" s="5"/>
      <c r="R746" s="6"/>
      <c r="X746" s="2"/>
      <c r="Y746" s="1"/>
      <c r="AF746" s="2"/>
      <c r="AG746" s="1"/>
      <c r="BG746" s="1"/>
      <c r="BS746" s="3"/>
      <c r="CC746" s="1"/>
      <c r="CE746" s="1"/>
      <c r="CF746" s="1"/>
      <c r="CJ746" s="1"/>
      <c r="DF746" s="2"/>
    </row>
    <row r="747" spans="1:110">
      <c r="A747" s="1"/>
      <c r="B747" s="4"/>
      <c r="C747" s="1"/>
      <c r="D747" s="1"/>
      <c r="E747" s="1"/>
      <c r="F747" s="1"/>
      <c r="G747" s="1"/>
      <c r="H747" s="2"/>
      <c r="I747" s="1"/>
      <c r="J747" s="1"/>
      <c r="K747" s="5"/>
      <c r="L747" s="6"/>
      <c r="Q747" s="5"/>
      <c r="R747" s="6"/>
      <c r="X747" s="2"/>
      <c r="Y747" s="1"/>
      <c r="AF747" s="2"/>
      <c r="AG747" s="1"/>
      <c r="BG747" s="1"/>
      <c r="BS747" s="3"/>
      <c r="CC747" s="1"/>
      <c r="CE747" s="1"/>
      <c r="CF747" s="1"/>
      <c r="CJ747" s="1"/>
      <c r="DF747" s="2"/>
    </row>
    <row r="748" spans="1:110">
      <c r="A748" s="1"/>
      <c r="B748" s="4"/>
      <c r="C748" s="1"/>
      <c r="D748" s="1"/>
      <c r="E748" s="1"/>
      <c r="F748" s="1"/>
      <c r="G748" s="1"/>
      <c r="H748" s="2"/>
      <c r="I748" s="1"/>
      <c r="J748" s="1"/>
      <c r="K748" s="5"/>
      <c r="L748" s="6"/>
      <c r="Q748" s="5"/>
      <c r="R748" s="6"/>
      <c r="X748" s="2"/>
      <c r="Y748" s="1"/>
      <c r="AF748" s="2"/>
      <c r="AG748" s="1"/>
      <c r="BG748" s="1"/>
      <c r="BS748" s="3"/>
      <c r="CC748" s="1"/>
      <c r="CE748" s="1"/>
      <c r="CF748" s="1"/>
      <c r="CJ748" s="1"/>
      <c r="DF748" s="2"/>
    </row>
    <row r="749" spans="1:110">
      <c r="A749" s="1"/>
      <c r="B749" s="4"/>
      <c r="C749" s="1"/>
      <c r="D749" s="1"/>
      <c r="E749" s="1"/>
      <c r="F749" s="1"/>
      <c r="G749" s="1"/>
      <c r="H749" s="2"/>
      <c r="I749" s="1"/>
      <c r="J749" s="1"/>
      <c r="K749" s="5"/>
      <c r="L749" s="6"/>
      <c r="Q749" s="5"/>
      <c r="R749" s="6"/>
      <c r="X749" s="2"/>
      <c r="Y749" s="1"/>
      <c r="AF749" s="2"/>
      <c r="AG749" s="1"/>
      <c r="BG749" s="1"/>
      <c r="BS749" s="3"/>
      <c r="CC749" s="1"/>
      <c r="CE749" s="1"/>
      <c r="CF749" s="1"/>
      <c r="CJ749" s="1"/>
      <c r="DF749" s="2"/>
    </row>
    <row r="750" spans="1:110">
      <c r="A750" s="1"/>
      <c r="B750" s="4"/>
      <c r="C750" s="1"/>
      <c r="D750" s="1"/>
      <c r="E750" s="1"/>
      <c r="F750" s="1"/>
      <c r="G750" s="1"/>
      <c r="H750" s="2"/>
      <c r="I750" s="1"/>
      <c r="J750" s="1"/>
      <c r="K750" s="5"/>
      <c r="L750" s="6"/>
      <c r="Q750" s="5"/>
      <c r="R750" s="6"/>
      <c r="X750" s="2"/>
      <c r="Y750" s="1"/>
      <c r="AF750" s="2"/>
      <c r="AG750" s="1"/>
      <c r="BG750" s="1"/>
      <c r="BS750" s="3"/>
      <c r="CC750" s="1"/>
      <c r="CE750" s="1"/>
      <c r="CF750" s="1"/>
      <c r="CJ750" s="1"/>
      <c r="DF750" s="2"/>
    </row>
    <row r="751" spans="1:110">
      <c r="A751" s="1"/>
      <c r="B751" s="4"/>
      <c r="C751" s="1"/>
      <c r="D751" s="1"/>
      <c r="E751" s="1"/>
      <c r="F751" s="1"/>
      <c r="G751" s="1"/>
      <c r="H751" s="2"/>
      <c r="I751" s="1"/>
      <c r="J751" s="1"/>
      <c r="K751" s="5"/>
      <c r="L751" s="6"/>
      <c r="Q751" s="5"/>
      <c r="R751" s="6"/>
      <c r="X751" s="2"/>
      <c r="Y751" s="1"/>
      <c r="AF751" s="2"/>
      <c r="AG751" s="1"/>
      <c r="BG751" s="1"/>
      <c r="BS751" s="3"/>
      <c r="CC751" s="1"/>
      <c r="CE751" s="1"/>
      <c r="CF751" s="1"/>
      <c r="CJ751" s="1"/>
      <c r="DF751" s="2"/>
    </row>
    <row r="752" spans="1:110">
      <c r="A752" s="1"/>
      <c r="B752" s="4"/>
      <c r="C752" s="1"/>
      <c r="D752" s="1"/>
      <c r="E752" s="1"/>
      <c r="F752" s="1"/>
      <c r="G752" s="1"/>
      <c r="H752" s="2"/>
      <c r="I752" s="1"/>
      <c r="J752" s="1"/>
      <c r="K752" s="5"/>
      <c r="L752" s="6"/>
      <c r="Q752" s="5"/>
      <c r="R752" s="6"/>
      <c r="X752" s="2"/>
      <c r="Y752" s="1"/>
      <c r="AF752" s="2"/>
      <c r="AG752" s="1"/>
      <c r="BG752" s="1"/>
      <c r="BS752" s="3"/>
      <c r="CC752" s="1"/>
      <c r="CE752" s="1"/>
      <c r="CF752" s="1"/>
      <c r="CJ752" s="1"/>
      <c r="DF752" s="2"/>
    </row>
    <row r="753" spans="1:110">
      <c r="A753" s="1"/>
      <c r="B753" s="4"/>
      <c r="C753" s="1"/>
      <c r="D753" s="1"/>
      <c r="E753" s="1"/>
      <c r="F753" s="1"/>
      <c r="G753" s="1"/>
      <c r="H753" s="2"/>
      <c r="I753" s="1"/>
      <c r="J753" s="1"/>
      <c r="K753" s="5"/>
      <c r="L753" s="6"/>
      <c r="Q753" s="5"/>
      <c r="R753" s="6"/>
      <c r="X753" s="2"/>
      <c r="Y753" s="1"/>
      <c r="AF753" s="2"/>
      <c r="AG753" s="1"/>
      <c r="BG753" s="1"/>
      <c r="BS753" s="3"/>
      <c r="CC753" s="1"/>
      <c r="CE753" s="1"/>
      <c r="CF753" s="1"/>
      <c r="CJ753" s="1"/>
      <c r="DF753" s="2"/>
    </row>
    <row r="754" spans="1:110">
      <c r="A754" s="1"/>
      <c r="B754" s="4"/>
      <c r="C754" s="1"/>
      <c r="D754" s="1"/>
      <c r="E754" s="1"/>
      <c r="F754" s="1"/>
      <c r="G754" s="1"/>
      <c r="H754" s="2"/>
      <c r="I754" s="1"/>
      <c r="J754" s="1"/>
      <c r="K754" s="5"/>
      <c r="L754" s="6"/>
      <c r="Q754" s="5"/>
      <c r="R754" s="6"/>
      <c r="X754" s="2"/>
      <c r="Y754" s="1"/>
      <c r="AF754" s="2"/>
      <c r="AG754" s="1"/>
      <c r="BG754" s="1"/>
      <c r="BS754" s="3"/>
      <c r="CC754" s="1"/>
      <c r="CE754" s="1"/>
      <c r="CF754" s="1"/>
      <c r="CJ754" s="1"/>
      <c r="DF754" s="2"/>
    </row>
    <row r="755" spans="1:110">
      <c r="A755" s="1"/>
      <c r="B755" s="4"/>
      <c r="C755" s="1"/>
      <c r="D755" s="1"/>
      <c r="E755" s="1"/>
      <c r="F755" s="1"/>
      <c r="G755" s="1"/>
      <c r="H755" s="2"/>
      <c r="I755" s="1"/>
      <c r="J755" s="1"/>
      <c r="K755" s="5"/>
      <c r="L755" s="6"/>
      <c r="Q755" s="5"/>
      <c r="R755" s="6"/>
      <c r="X755" s="2"/>
      <c r="Y755" s="1"/>
      <c r="AF755" s="2"/>
      <c r="AG755" s="1"/>
      <c r="BG755" s="1"/>
      <c r="BS755" s="3"/>
      <c r="CC755" s="1"/>
      <c r="CE755" s="1"/>
      <c r="CF755" s="1"/>
      <c r="CJ755" s="1"/>
      <c r="DF755" s="2"/>
    </row>
    <row r="756" spans="1:110">
      <c r="A756" s="1"/>
      <c r="B756" s="4"/>
      <c r="C756" s="1"/>
      <c r="D756" s="1"/>
      <c r="E756" s="1"/>
      <c r="F756" s="1"/>
      <c r="G756" s="1"/>
      <c r="H756" s="2"/>
      <c r="I756" s="1"/>
      <c r="J756" s="1"/>
      <c r="K756" s="5"/>
      <c r="L756" s="6"/>
      <c r="Q756" s="5"/>
      <c r="R756" s="6"/>
      <c r="X756" s="2"/>
      <c r="Y756" s="1"/>
      <c r="AF756" s="2"/>
      <c r="AG756" s="1"/>
      <c r="BG756" s="1"/>
      <c r="BS756" s="3"/>
      <c r="CC756" s="1"/>
      <c r="CE756" s="1"/>
      <c r="CF756" s="1"/>
      <c r="CJ756" s="1"/>
      <c r="DF756" s="2"/>
    </row>
    <row r="757" spans="1:110">
      <c r="A757" s="1"/>
      <c r="B757" s="4"/>
      <c r="C757" s="1"/>
      <c r="D757" s="1"/>
      <c r="E757" s="1"/>
      <c r="F757" s="1"/>
      <c r="G757" s="1"/>
      <c r="H757" s="2"/>
      <c r="I757" s="1"/>
      <c r="J757" s="1"/>
      <c r="K757" s="5"/>
      <c r="L757" s="6"/>
      <c r="Q757" s="5"/>
      <c r="R757" s="6"/>
      <c r="X757" s="2"/>
      <c r="Y757" s="1"/>
      <c r="AF757" s="2"/>
      <c r="AG757" s="1"/>
      <c r="BG757" s="1"/>
      <c r="BS757" s="3"/>
      <c r="CC757" s="1"/>
      <c r="CE757" s="1"/>
      <c r="CF757" s="1"/>
      <c r="CJ757" s="1"/>
      <c r="DF757" s="2"/>
    </row>
    <row r="758" spans="1:110">
      <c r="A758" s="1"/>
      <c r="B758" s="4"/>
      <c r="C758" s="1"/>
      <c r="D758" s="1"/>
      <c r="E758" s="1"/>
      <c r="F758" s="1"/>
      <c r="G758" s="1"/>
      <c r="H758" s="2"/>
      <c r="I758" s="1"/>
      <c r="J758" s="1"/>
      <c r="K758" s="5"/>
      <c r="L758" s="6"/>
      <c r="Q758" s="5"/>
      <c r="R758" s="6"/>
      <c r="X758" s="2"/>
      <c r="Y758" s="1"/>
      <c r="AF758" s="2"/>
      <c r="AG758" s="1"/>
      <c r="BG758" s="1"/>
      <c r="BS758" s="3"/>
      <c r="CC758" s="1"/>
      <c r="CE758" s="1"/>
      <c r="CF758" s="1"/>
      <c r="CJ758" s="1"/>
      <c r="DF758" s="2"/>
    </row>
    <row r="759" spans="1:110">
      <c r="A759" s="1"/>
      <c r="B759" s="4"/>
      <c r="C759" s="1"/>
      <c r="D759" s="1"/>
      <c r="E759" s="1"/>
      <c r="F759" s="1"/>
      <c r="G759" s="1"/>
      <c r="H759" s="2"/>
      <c r="I759" s="1"/>
      <c r="J759" s="1"/>
      <c r="K759" s="5"/>
      <c r="L759" s="6"/>
      <c r="Q759" s="5"/>
      <c r="R759" s="6"/>
      <c r="X759" s="2"/>
      <c r="Y759" s="1"/>
      <c r="AF759" s="2"/>
      <c r="AG759" s="1"/>
      <c r="BG759" s="1"/>
      <c r="BS759" s="3"/>
      <c r="CC759" s="1"/>
      <c r="CE759" s="1"/>
      <c r="CF759" s="1"/>
      <c r="CJ759" s="1"/>
      <c r="DF759" s="2"/>
    </row>
    <row r="760" spans="1:110">
      <c r="A760" s="1"/>
      <c r="B760" s="4"/>
      <c r="C760" s="1"/>
      <c r="D760" s="1"/>
      <c r="E760" s="1"/>
      <c r="F760" s="1"/>
      <c r="G760" s="1"/>
      <c r="H760" s="2"/>
      <c r="I760" s="1"/>
      <c r="J760" s="1"/>
      <c r="K760" s="5"/>
      <c r="L760" s="6"/>
      <c r="Q760" s="5"/>
      <c r="R760" s="6"/>
      <c r="X760" s="2"/>
      <c r="Y760" s="1"/>
      <c r="AF760" s="2"/>
      <c r="AG760" s="1"/>
      <c r="BG760" s="1"/>
      <c r="BS760" s="3"/>
      <c r="CC760" s="1"/>
      <c r="CE760" s="1"/>
      <c r="CF760" s="1"/>
      <c r="CJ760" s="1"/>
      <c r="DF760" s="2"/>
    </row>
    <row r="761" spans="1:110">
      <c r="A761" s="1"/>
      <c r="B761" s="4"/>
      <c r="C761" s="1"/>
      <c r="D761" s="1"/>
      <c r="E761" s="1"/>
      <c r="F761" s="1"/>
      <c r="G761" s="1"/>
      <c r="H761" s="2"/>
      <c r="I761" s="1"/>
      <c r="J761" s="1"/>
      <c r="K761" s="5"/>
      <c r="L761" s="6"/>
      <c r="Q761" s="5"/>
      <c r="R761" s="6"/>
      <c r="X761" s="2"/>
      <c r="Y761" s="1"/>
      <c r="AF761" s="2"/>
      <c r="AG761" s="1"/>
      <c r="BG761" s="1"/>
      <c r="BS761" s="3"/>
      <c r="CC761" s="1"/>
      <c r="CE761" s="1"/>
      <c r="CF761" s="1"/>
      <c r="CJ761" s="1"/>
      <c r="DF761" s="2"/>
    </row>
    <row r="762" spans="1:110">
      <c r="A762" s="1"/>
      <c r="B762" s="4"/>
      <c r="C762" s="1"/>
      <c r="D762" s="1"/>
      <c r="E762" s="1"/>
      <c r="F762" s="1"/>
      <c r="G762" s="1"/>
      <c r="H762" s="2"/>
      <c r="I762" s="1"/>
      <c r="J762" s="1"/>
      <c r="K762" s="5"/>
      <c r="L762" s="6"/>
      <c r="Q762" s="5"/>
      <c r="R762" s="6"/>
      <c r="X762" s="2"/>
      <c r="Y762" s="1"/>
      <c r="AF762" s="2"/>
      <c r="AG762" s="1"/>
      <c r="BG762" s="1"/>
      <c r="BS762" s="3"/>
      <c r="CC762" s="1"/>
      <c r="CE762" s="1"/>
      <c r="CF762" s="1"/>
      <c r="CJ762" s="1"/>
      <c r="DF762" s="2"/>
    </row>
    <row r="763" spans="1:110">
      <c r="A763" s="1"/>
      <c r="B763" s="4"/>
      <c r="C763" s="1"/>
      <c r="D763" s="1"/>
      <c r="E763" s="1"/>
      <c r="F763" s="1"/>
      <c r="G763" s="1"/>
      <c r="H763" s="2"/>
      <c r="I763" s="1"/>
      <c r="J763" s="1"/>
      <c r="K763" s="5"/>
      <c r="L763" s="6"/>
      <c r="Q763" s="5"/>
      <c r="R763" s="6"/>
      <c r="X763" s="2"/>
      <c r="Y763" s="1"/>
      <c r="AF763" s="2"/>
      <c r="AG763" s="1"/>
      <c r="BG763" s="1"/>
      <c r="BS763" s="3"/>
      <c r="CC763" s="1"/>
      <c r="CE763" s="1"/>
      <c r="CF763" s="1"/>
      <c r="CJ763" s="1"/>
      <c r="DF763" s="2"/>
    </row>
    <row r="764" spans="1:110">
      <c r="A764" s="1"/>
      <c r="B764" s="4"/>
      <c r="C764" s="1"/>
      <c r="D764" s="1"/>
      <c r="E764" s="1"/>
      <c r="F764" s="1"/>
      <c r="G764" s="1"/>
      <c r="H764" s="2"/>
      <c r="I764" s="1"/>
      <c r="J764" s="1"/>
      <c r="K764" s="5"/>
      <c r="L764" s="6"/>
      <c r="Q764" s="5"/>
      <c r="R764" s="6"/>
      <c r="X764" s="2"/>
      <c r="Y764" s="1"/>
      <c r="AF764" s="2"/>
      <c r="AG764" s="1"/>
      <c r="BG764" s="1"/>
      <c r="BS764" s="3"/>
      <c r="CC764" s="1"/>
      <c r="CE764" s="1"/>
      <c r="CF764" s="1"/>
      <c r="CJ764" s="1"/>
      <c r="DF764" s="2"/>
    </row>
    <row r="765" spans="1:110">
      <c r="A765" s="1"/>
      <c r="B765" s="4"/>
      <c r="C765" s="1"/>
      <c r="D765" s="1"/>
      <c r="E765" s="1"/>
      <c r="F765" s="1"/>
      <c r="G765" s="1"/>
      <c r="H765" s="2"/>
      <c r="I765" s="1"/>
      <c r="J765" s="1"/>
      <c r="K765" s="5"/>
      <c r="L765" s="6"/>
      <c r="Q765" s="5"/>
      <c r="R765" s="6"/>
      <c r="X765" s="2"/>
      <c r="Y765" s="1"/>
      <c r="AF765" s="2"/>
      <c r="AG765" s="1"/>
      <c r="BG765" s="1"/>
      <c r="BS765" s="3"/>
      <c r="CC765" s="1"/>
      <c r="CE765" s="1"/>
      <c r="CF765" s="1"/>
      <c r="CJ765" s="1"/>
      <c r="DF765" s="2"/>
    </row>
    <row r="766" spans="1:110">
      <c r="A766" s="1"/>
      <c r="B766" s="4"/>
      <c r="C766" s="1"/>
      <c r="D766" s="1"/>
      <c r="E766" s="1"/>
      <c r="F766" s="1"/>
      <c r="G766" s="1"/>
      <c r="H766" s="2"/>
      <c r="I766" s="1"/>
      <c r="J766" s="1"/>
      <c r="K766" s="5"/>
      <c r="L766" s="6"/>
      <c r="Q766" s="5"/>
      <c r="R766" s="6"/>
      <c r="X766" s="2"/>
      <c r="Y766" s="1"/>
      <c r="AF766" s="2"/>
      <c r="AG766" s="1"/>
      <c r="BG766" s="1"/>
      <c r="BS766" s="3"/>
      <c r="CC766" s="1"/>
      <c r="CE766" s="1"/>
      <c r="CF766" s="1"/>
      <c r="CJ766" s="1"/>
      <c r="DF766" s="2"/>
    </row>
    <row r="767" spans="1:110">
      <c r="A767" s="1"/>
      <c r="B767" s="4"/>
      <c r="C767" s="1"/>
      <c r="D767" s="1"/>
      <c r="E767" s="1"/>
      <c r="F767" s="1"/>
      <c r="G767" s="1"/>
      <c r="H767" s="2"/>
      <c r="I767" s="1"/>
      <c r="J767" s="1"/>
      <c r="K767" s="5"/>
      <c r="L767" s="6"/>
      <c r="Q767" s="5"/>
      <c r="R767" s="6"/>
      <c r="X767" s="2"/>
      <c r="Y767" s="1"/>
      <c r="AF767" s="2"/>
      <c r="AG767" s="1"/>
      <c r="BG767" s="1"/>
      <c r="BS767" s="3"/>
      <c r="CC767" s="1"/>
      <c r="CE767" s="1"/>
      <c r="CF767" s="1"/>
      <c r="CJ767" s="1"/>
      <c r="DF767" s="2"/>
    </row>
    <row r="768" spans="1:110">
      <c r="A768" s="1"/>
      <c r="B768" s="4"/>
      <c r="C768" s="1"/>
      <c r="D768" s="1"/>
      <c r="E768" s="1"/>
      <c r="F768" s="1"/>
      <c r="G768" s="1"/>
      <c r="H768" s="2"/>
      <c r="I768" s="1"/>
      <c r="J768" s="1"/>
      <c r="K768" s="5"/>
      <c r="L768" s="6"/>
      <c r="Q768" s="5"/>
      <c r="R768" s="6"/>
      <c r="X768" s="2"/>
      <c r="Y768" s="1"/>
      <c r="AF768" s="2"/>
      <c r="AG768" s="1"/>
      <c r="BG768" s="1"/>
      <c r="BS768" s="3"/>
      <c r="CC768" s="1"/>
      <c r="CE768" s="1"/>
      <c r="CF768" s="1"/>
      <c r="CJ768" s="1"/>
      <c r="DF768" s="2"/>
    </row>
    <row r="769" spans="1:110">
      <c r="A769" s="1"/>
      <c r="B769" s="4"/>
      <c r="C769" s="1"/>
      <c r="D769" s="1"/>
      <c r="E769" s="1"/>
      <c r="F769" s="1"/>
      <c r="G769" s="1"/>
      <c r="H769" s="2"/>
      <c r="I769" s="1"/>
      <c r="J769" s="1"/>
      <c r="K769" s="5"/>
      <c r="L769" s="6"/>
      <c r="Q769" s="5"/>
      <c r="R769" s="6"/>
      <c r="X769" s="2"/>
      <c r="Y769" s="1"/>
      <c r="AF769" s="2"/>
      <c r="AG769" s="1"/>
      <c r="BG769" s="1"/>
      <c r="BS769" s="3"/>
      <c r="CC769" s="1"/>
      <c r="CE769" s="1"/>
      <c r="CF769" s="1"/>
      <c r="CJ769" s="1"/>
      <c r="DF769" s="2"/>
    </row>
    <row r="770" spans="1:110">
      <c r="A770" s="1"/>
      <c r="B770" s="4"/>
      <c r="C770" s="1"/>
      <c r="D770" s="1"/>
      <c r="E770" s="1"/>
      <c r="F770" s="1"/>
      <c r="G770" s="1"/>
      <c r="H770" s="2"/>
      <c r="I770" s="1"/>
      <c r="J770" s="1"/>
      <c r="K770" s="5"/>
      <c r="L770" s="6"/>
      <c r="Q770" s="5"/>
      <c r="R770" s="6"/>
      <c r="X770" s="2"/>
      <c r="Y770" s="1"/>
      <c r="AF770" s="2"/>
      <c r="AG770" s="1"/>
      <c r="BG770" s="1"/>
      <c r="BS770" s="3"/>
      <c r="CC770" s="1"/>
      <c r="CE770" s="1"/>
      <c r="CF770" s="1"/>
      <c r="CJ770" s="1"/>
      <c r="DF770" s="2"/>
    </row>
    <row r="771" spans="1:110">
      <c r="A771" s="1"/>
      <c r="B771" s="4"/>
      <c r="C771" s="1"/>
      <c r="D771" s="1"/>
      <c r="E771" s="1"/>
      <c r="F771" s="1"/>
      <c r="G771" s="1"/>
      <c r="H771" s="2"/>
      <c r="I771" s="1"/>
      <c r="J771" s="1"/>
      <c r="K771" s="5"/>
      <c r="L771" s="6"/>
      <c r="Q771" s="5"/>
      <c r="R771" s="6"/>
      <c r="X771" s="2"/>
      <c r="Y771" s="1"/>
      <c r="AF771" s="2"/>
      <c r="AG771" s="1"/>
      <c r="BG771" s="1"/>
      <c r="BS771" s="3"/>
      <c r="CC771" s="1"/>
      <c r="CE771" s="1"/>
      <c r="CF771" s="1"/>
      <c r="CJ771" s="1"/>
      <c r="DF771" s="2"/>
    </row>
    <row r="772" spans="1:110">
      <c r="A772" s="1"/>
      <c r="B772" s="4"/>
      <c r="C772" s="1"/>
      <c r="D772" s="1"/>
      <c r="E772" s="1"/>
      <c r="F772" s="1"/>
      <c r="G772" s="1"/>
      <c r="H772" s="2"/>
      <c r="I772" s="1"/>
      <c r="J772" s="1"/>
      <c r="K772" s="5"/>
      <c r="L772" s="6"/>
      <c r="Q772" s="5"/>
      <c r="R772" s="6"/>
      <c r="X772" s="2"/>
      <c r="Y772" s="1"/>
      <c r="AF772" s="2"/>
      <c r="AG772" s="1"/>
      <c r="BG772" s="1"/>
      <c r="BS772" s="3"/>
      <c r="CC772" s="1"/>
      <c r="CE772" s="1"/>
      <c r="CF772" s="1"/>
      <c r="CJ772" s="1"/>
      <c r="DF772" s="2"/>
    </row>
    <row r="773" spans="1:110">
      <c r="A773" s="1"/>
      <c r="B773" s="4"/>
      <c r="C773" s="1"/>
      <c r="D773" s="1"/>
      <c r="E773" s="1"/>
      <c r="F773" s="1"/>
      <c r="G773" s="1"/>
      <c r="H773" s="2"/>
      <c r="I773" s="1"/>
      <c r="J773" s="1"/>
      <c r="K773" s="5"/>
      <c r="L773" s="6"/>
      <c r="Q773" s="5"/>
      <c r="R773" s="6"/>
      <c r="X773" s="2"/>
      <c r="Y773" s="1"/>
      <c r="AF773" s="2"/>
      <c r="AG773" s="1"/>
      <c r="BG773" s="1"/>
      <c r="BS773" s="3"/>
      <c r="CC773" s="1"/>
      <c r="CE773" s="1"/>
      <c r="CF773" s="1"/>
      <c r="CJ773" s="1"/>
      <c r="DF773" s="2"/>
    </row>
    <row r="774" spans="1:110">
      <c r="A774" s="1"/>
      <c r="B774" s="4"/>
      <c r="C774" s="1"/>
      <c r="D774" s="1"/>
      <c r="E774" s="1"/>
      <c r="F774" s="1"/>
      <c r="G774" s="1"/>
      <c r="H774" s="2"/>
      <c r="I774" s="1"/>
      <c r="J774" s="1"/>
      <c r="K774" s="5"/>
      <c r="L774" s="6"/>
      <c r="Q774" s="5"/>
      <c r="R774" s="6"/>
      <c r="X774" s="2"/>
      <c r="Y774" s="1"/>
      <c r="AF774" s="2"/>
      <c r="AG774" s="1"/>
      <c r="BG774" s="1"/>
      <c r="BS774" s="3"/>
      <c r="CC774" s="1"/>
      <c r="CE774" s="1"/>
      <c r="CF774" s="1"/>
      <c r="CJ774" s="1"/>
      <c r="DF774" s="2"/>
    </row>
    <row r="775" spans="1:110">
      <c r="A775" s="1"/>
      <c r="B775" s="4"/>
      <c r="C775" s="1"/>
      <c r="D775" s="1"/>
      <c r="E775" s="1"/>
      <c r="F775" s="1"/>
      <c r="G775" s="1"/>
      <c r="H775" s="2"/>
      <c r="I775" s="1"/>
      <c r="J775" s="1"/>
      <c r="K775" s="5"/>
      <c r="L775" s="6"/>
      <c r="Q775" s="5"/>
      <c r="R775" s="6"/>
      <c r="X775" s="2"/>
      <c r="Y775" s="1"/>
      <c r="AF775" s="2"/>
      <c r="AG775" s="1"/>
      <c r="BG775" s="1"/>
      <c r="BS775" s="3"/>
      <c r="CC775" s="1"/>
      <c r="CE775" s="1"/>
      <c r="CF775" s="1"/>
      <c r="CJ775" s="1"/>
      <c r="DF775" s="2"/>
    </row>
    <row r="776" spans="1:110">
      <c r="A776" s="1"/>
      <c r="B776" s="4"/>
      <c r="C776" s="1"/>
      <c r="D776" s="1"/>
      <c r="E776" s="1"/>
      <c r="F776" s="1"/>
      <c r="G776" s="1"/>
      <c r="H776" s="2"/>
      <c r="I776" s="1"/>
      <c r="J776" s="1"/>
      <c r="K776" s="5"/>
      <c r="L776" s="6"/>
      <c r="Q776" s="5"/>
      <c r="R776" s="6"/>
      <c r="X776" s="2"/>
      <c r="Y776" s="1"/>
      <c r="AF776" s="2"/>
      <c r="AG776" s="1"/>
      <c r="BG776" s="1"/>
      <c r="BS776" s="3"/>
      <c r="CC776" s="1"/>
      <c r="CE776" s="1"/>
      <c r="CF776" s="1"/>
      <c r="CJ776" s="1"/>
      <c r="DF776" s="2"/>
    </row>
    <row r="777" spans="1:110">
      <c r="A777" s="1"/>
      <c r="B777" s="4"/>
      <c r="C777" s="1"/>
      <c r="D777" s="1"/>
      <c r="E777" s="1"/>
      <c r="F777" s="1"/>
      <c r="G777" s="1"/>
      <c r="H777" s="2"/>
      <c r="I777" s="1"/>
      <c r="J777" s="1"/>
      <c r="K777" s="5"/>
      <c r="L777" s="6"/>
      <c r="Q777" s="5"/>
      <c r="R777" s="6"/>
      <c r="X777" s="2"/>
      <c r="Y777" s="1"/>
      <c r="AF777" s="2"/>
      <c r="AG777" s="1"/>
      <c r="BG777" s="1"/>
      <c r="BS777" s="3"/>
      <c r="CC777" s="1"/>
      <c r="CE777" s="1"/>
      <c r="CF777" s="1"/>
      <c r="CJ777" s="1"/>
      <c r="DF777" s="2"/>
    </row>
    <row r="778" spans="1:110">
      <c r="A778" s="1"/>
      <c r="B778" s="4"/>
      <c r="C778" s="1"/>
      <c r="D778" s="1"/>
      <c r="E778" s="1"/>
      <c r="F778" s="1"/>
      <c r="G778" s="1"/>
      <c r="H778" s="2"/>
      <c r="I778" s="1"/>
      <c r="J778" s="1"/>
      <c r="K778" s="5"/>
      <c r="L778" s="6"/>
      <c r="Q778" s="5"/>
      <c r="R778" s="6"/>
      <c r="X778" s="2"/>
      <c r="Y778" s="1"/>
      <c r="AF778" s="2"/>
      <c r="AG778" s="1"/>
      <c r="BG778" s="1"/>
      <c r="BS778" s="3"/>
      <c r="CC778" s="1"/>
      <c r="CE778" s="1"/>
      <c r="CF778" s="1"/>
      <c r="CJ778" s="1"/>
      <c r="DF778" s="2"/>
    </row>
    <row r="779" spans="1:110">
      <c r="A779" s="1"/>
      <c r="B779" s="4"/>
      <c r="C779" s="1"/>
      <c r="D779" s="1"/>
      <c r="E779" s="1"/>
      <c r="F779" s="1"/>
      <c r="G779" s="1"/>
      <c r="H779" s="2"/>
      <c r="I779" s="1"/>
      <c r="J779" s="1"/>
      <c r="K779" s="5"/>
      <c r="L779" s="6"/>
      <c r="Q779" s="5"/>
      <c r="R779" s="6"/>
      <c r="X779" s="2"/>
      <c r="Y779" s="1"/>
      <c r="AF779" s="2"/>
      <c r="AG779" s="1"/>
      <c r="BG779" s="1"/>
      <c r="BS779" s="3"/>
      <c r="CC779" s="1"/>
      <c r="CE779" s="1"/>
      <c r="CF779" s="1"/>
      <c r="CJ779" s="1"/>
      <c r="DF779" s="2"/>
    </row>
    <row r="780" spans="1:110">
      <c r="A780" s="1"/>
      <c r="B780" s="4"/>
      <c r="C780" s="1"/>
      <c r="D780" s="1"/>
      <c r="E780" s="1"/>
      <c r="F780" s="1"/>
      <c r="G780" s="1"/>
      <c r="H780" s="2"/>
      <c r="I780" s="1"/>
      <c r="J780" s="1"/>
      <c r="K780" s="5"/>
      <c r="L780" s="6"/>
      <c r="Q780" s="5"/>
      <c r="R780" s="6"/>
      <c r="X780" s="2"/>
      <c r="Y780" s="1"/>
      <c r="AF780" s="2"/>
      <c r="AG780" s="1"/>
      <c r="BG780" s="1"/>
      <c r="BS780" s="3"/>
      <c r="CC780" s="1"/>
      <c r="CE780" s="1"/>
      <c r="CF780" s="1"/>
      <c r="CJ780" s="1"/>
      <c r="DF780" s="2"/>
    </row>
    <row r="781" spans="1:110">
      <c r="A781" s="1"/>
      <c r="B781" s="4"/>
      <c r="C781" s="1"/>
      <c r="D781" s="1"/>
      <c r="E781" s="1"/>
      <c r="F781" s="1"/>
      <c r="G781" s="1"/>
      <c r="H781" s="2"/>
      <c r="I781" s="1"/>
      <c r="J781" s="1"/>
      <c r="K781" s="5"/>
      <c r="L781" s="6"/>
      <c r="Q781" s="5"/>
      <c r="R781" s="6"/>
      <c r="X781" s="2"/>
      <c r="Y781" s="1"/>
      <c r="AF781" s="2"/>
      <c r="AG781" s="1"/>
      <c r="BG781" s="1"/>
      <c r="BS781" s="3"/>
      <c r="CC781" s="1"/>
      <c r="CE781" s="1"/>
      <c r="CF781" s="1"/>
      <c r="CJ781" s="1"/>
      <c r="DF781" s="2"/>
    </row>
    <row r="782" spans="1:110">
      <c r="A782" s="1"/>
      <c r="B782" s="4"/>
      <c r="C782" s="1"/>
      <c r="D782" s="1"/>
      <c r="E782" s="1"/>
      <c r="F782" s="1"/>
      <c r="G782" s="1"/>
      <c r="H782" s="2"/>
      <c r="I782" s="1"/>
      <c r="J782" s="1"/>
      <c r="K782" s="5"/>
      <c r="L782" s="6"/>
      <c r="Q782" s="5"/>
      <c r="R782" s="6"/>
      <c r="X782" s="2"/>
      <c r="Y782" s="1"/>
      <c r="AF782" s="2"/>
      <c r="AG782" s="1"/>
      <c r="BG782" s="1"/>
      <c r="BS782" s="3"/>
      <c r="CC782" s="1"/>
      <c r="CE782" s="1"/>
      <c r="CF782" s="1"/>
      <c r="CJ782" s="1"/>
      <c r="DF782" s="2"/>
    </row>
    <row r="783" spans="1:110">
      <c r="A783" s="1"/>
      <c r="B783" s="4"/>
      <c r="C783" s="1"/>
      <c r="D783" s="1"/>
      <c r="E783" s="1"/>
      <c r="F783" s="1"/>
      <c r="G783" s="1"/>
      <c r="H783" s="2"/>
      <c r="I783" s="1"/>
      <c r="J783" s="1"/>
      <c r="K783" s="5"/>
      <c r="L783" s="6"/>
      <c r="Q783" s="5"/>
      <c r="R783" s="6"/>
      <c r="X783" s="2"/>
      <c r="Y783" s="1"/>
      <c r="AF783" s="2"/>
      <c r="AG783" s="1"/>
      <c r="BG783" s="1"/>
      <c r="BS783" s="3"/>
      <c r="CC783" s="1"/>
      <c r="CE783" s="1"/>
      <c r="CF783" s="1"/>
      <c r="CJ783" s="1"/>
      <c r="DF783" s="2"/>
    </row>
    <row r="784" spans="1:110">
      <c r="A784" s="1"/>
      <c r="B784" s="4"/>
      <c r="C784" s="1"/>
      <c r="D784" s="1"/>
      <c r="E784" s="1"/>
      <c r="F784" s="1"/>
      <c r="G784" s="1"/>
      <c r="H784" s="2"/>
      <c r="I784" s="1"/>
      <c r="J784" s="1"/>
      <c r="K784" s="5"/>
      <c r="L784" s="6"/>
      <c r="Q784" s="5"/>
      <c r="R784" s="6"/>
      <c r="X784" s="2"/>
      <c r="Y784" s="1"/>
      <c r="AF784" s="2"/>
      <c r="AG784" s="1"/>
      <c r="BG784" s="1"/>
      <c r="BS784" s="3"/>
      <c r="CC784" s="1"/>
      <c r="CE784" s="1"/>
      <c r="CF784" s="1"/>
      <c r="CJ784" s="1"/>
      <c r="DF784" s="2"/>
    </row>
    <row r="785" spans="1:110">
      <c r="A785" s="1"/>
      <c r="B785" s="4"/>
      <c r="C785" s="1"/>
      <c r="D785" s="1"/>
      <c r="E785" s="1"/>
      <c r="F785" s="1"/>
      <c r="G785" s="1"/>
      <c r="H785" s="2"/>
      <c r="I785" s="1"/>
      <c r="J785" s="1"/>
      <c r="K785" s="5"/>
      <c r="L785" s="6"/>
      <c r="Q785" s="5"/>
      <c r="R785" s="6"/>
      <c r="X785" s="2"/>
      <c r="Y785" s="1"/>
      <c r="AF785" s="2"/>
      <c r="AG785" s="1"/>
      <c r="BG785" s="1"/>
      <c r="BS785" s="3"/>
      <c r="CC785" s="1"/>
      <c r="CE785" s="1"/>
      <c r="CF785" s="1"/>
      <c r="CJ785" s="1"/>
      <c r="DF785" s="2"/>
    </row>
    <row r="786" spans="1:110">
      <c r="A786" s="1"/>
      <c r="B786" s="4"/>
      <c r="C786" s="1"/>
      <c r="D786" s="1"/>
      <c r="E786" s="1"/>
      <c r="F786" s="1"/>
      <c r="G786" s="1"/>
      <c r="H786" s="2"/>
      <c r="I786" s="1"/>
      <c r="J786" s="1"/>
      <c r="K786" s="5"/>
      <c r="L786" s="6"/>
      <c r="Q786" s="5"/>
      <c r="R786" s="6"/>
      <c r="X786" s="2"/>
      <c r="Y786" s="1"/>
      <c r="AF786" s="2"/>
      <c r="AG786" s="1"/>
      <c r="BG786" s="1"/>
      <c r="BS786" s="3"/>
      <c r="CC786" s="1"/>
      <c r="CE786" s="1"/>
      <c r="CF786" s="1"/>
      <c r="CJ786" s="1"/>
      <c r="DF786" s="2"/>
    </row>
    <row r="787" spans="1:110">
      <c r="A787" s="1"/>
      <c r="B787" s="4"/>
      <c r="C787" s="1"/>
      <c r="D787" s="1"/>
      <c r="E787" s="1"/>
      <c r="F787" s="1"/>
      <c r="G787" s="1"/>
      <c r="H787" s="2"/>
      <c r="I787" s="1"/>
      <c r="J787" s="1"/>
      <c r="K787" s="5"/>
      <c r="L787" s="6"/>
      <c r="Q787" s="5"/>
      <c r="R787" s="6"/>
      <c r="X787" s="2"/>
      <c r="Y787" s="1"/>
      <c r="AF787" s="2"/>
      <c r="AG787" s="1"/>
      <c r="BG787" s="1"/>
      <c r="BS787" s="3"/>
      <c r="CC787" s="1"/>
      <c r="CE787" s="1"/>
      <c r="CF787" s="1"/>
      <c r="CJ787" s="1"/>
      <c r="DF787" s="2"/>
    </row>
    <row r="788" spans="1:110">
      <c r="A788" s="1"/>
      <c r="B788" s="4"/>
      <c r="C788" s="1"/>
      <c r="D788" s="1"/>
      <c r="E788" s="1"/>
      <c r="F788" s="1"/>
      <c r="G788" s="1"/>
      <c r="H788" s="2"/>
      <c r="I788" s="1"/>
      <c r="J788" s="1"/>
      <c r="K788" s="5"/>
      <c r="L788" s="6"/>
      <c r="Q788" s="5"/>
      <c r="R788" s="6"/>
      <c r="X788" s="2"/>
      <c r="Y788" s="1"/>
      <c r="AF788" s="2"/>
      <c r="AG788" s="1"/>
      <c r="BG788" s="1"/>
      <c r="BS788" s="3"/>
      <c r="CC788" s="1"/>
      <c r="CE788" s="1"/>
      <c r="CF788" s="1"/>
      <c r="CJ788" s="1"/>
      <c r="DF788" s="2"/>
    </row>
    <row r="789" spans="1:110">
      <c r="A789" s="1"/>
      <c r="B789" s="4"/>
      <c r="C789" s="1"/>
      <c r="D789" s="1"/>
      <c r="E789" s="1"/>
      <c r="F789" s="1"/>
      <c r="G789" s="1"/>
      <c r="H789" s="2"/>
      <c r="I789" s="1"/>
      <c r="J789" s="1"/>
      <c r="K789" s="5"/>
      <c r="L789" s="6"/>
      <c r="Q789" s="5"/>
      <c r="R789" s="6"/>
      <c r="X789" s="2"/>
      <c r="Y789" s="1"/>
      <c r="AF789" s="2"/>
      <c r="AG789" s="1"/>
      <c r="BG789" s="1"/>
      <c r="BS789" s="3"/>
      <c r="CC789" s="1"/>
      <c r="CE789" s="1"/>
      <c r="CF789" s="1"/>
      <c r="CJ789" s="1"/>
      <c r="DF789" s="2"/>
    </row>
    <row r="790" spans="1:110">
      <c r="A790" s="1"/>
      <c r="B790" s="4"/>
      <c r="C790" s="1"/>
      <c r="D790" s="1"/>
      <c r="E790" s="1"/>
      <c r="F790" s="1"/>
      <c r="G790" s="1"/>
      <c r="H790" s="2"/>
      <c r="I790" s="1"/>
      <c r="J790" s="1"/>
      <c r="K790" s="5"/>
      <c r="L790" s="6"/>
      <c r="Q790" s="5"/>
      <c r="R790" s="6"/>
      <c r="X790" s="2"/>
      <c r="Y790" s="1"/>
      <c r="AF790" s="2"/>
      <c r="AG790" s="1"/>
      <c r="BG790" s="1"/>
      <c r="BS790" s="3"/>
      <c r="CC790" s="1"/>
      <c r="CE790" s="1"/>
      <c r="CF790" s="1"/>
      <c r="CJ790" s="1"/>
      <c r="DF790" s="2"/>
    </row>
    <row r="791" spans="1:110">
      <c r="A791" s="1"/>
      <c r="B791" s="4"/>
      <c r="C791" s="1"/>
      <c r="D791" s="1"/>
      <c r="E791" s="1"/>
      <c r="F791" s="1"/>
      <c r="G791" s="1"/>
      <c r="H791" s="2"/>
      <c r="I791" s="1"/>
      <c r="J791" s="1"/>
      <c r="K791" s="5"/>
      <c r="L791" s="6"/>
      <c r="Q791" s="5"/>
      <c r="R791" s="6"/>
      <c r="X791" s="2"/>
      <c r="Y791" s="1"/>
      <c r="AF791" s="2"/>
      <c r="AG791" s="1"/>
      <c r="BG791" s="1"/>
      <c r="BS791" s="3"/>
      <c r="CC791" s="1"/>
      <c r="CE791" s="1"/>
      <c r="CF791" s="1"/>
      <c r="CJ791" s="1"/>
      <c r="DF791" s="2"/>
    </row>
    <row r="792" spans="1:110">
      <c r="A792" s="1"/>
      <c r="B792" s="4"/>
      <c r="C792" s="1"/>
      <c r="D792" s="1"/>
      <c r="E792" s="1"/>
      <c r="F792" s="1"/>
      <c r="G792" s="1"/>
      <c r="H792" s="2"/>
      <c r="I792" s="1"/>
      <c r="J792" s="1"/>
      <c r="K792" s="5"/>
      <c r="L792" s="6"/>
      <c r="Q792" s="5"/>
      <c r="R792" s="6"/>
      <c r="X792" s="2"/>
      <c r="Y792" s="1"/>
      <c r="AF792" s="2"/>
      <c r="AG792" s="1"/>
      <c r="BG792" s="1"/>
      <c r="BS792" s="3"/>
      <c r="CC792" s="1"/>
      <c r="CE792" s="1"/>
      <c r="CF792" s="1"/>
      <c r="CJ792" s="1"/>
      <c r="DF792" s="2"/>
    </row>
    <row r="793" spans="1:110">
      <c r="A793" s="1"/>
      <c r="B793" s="4"/>
      <c r="C793" s="1"/>
      <c r="D793" s="1"/>
      <c r="E793" s="1"/>
      <c r="F793" s="1"/>
      <c r="G793" s="1"/>
      <c r="H793" s="2"/>
      <c r="I793" s="1"/>
      <c r="J793" s="1"/>
      <c r="K793" s="5"/>
      <c r="L793" s="6"/>
      <c r="Q793" s="5"/>
      <c r="R793" s="6"/>
      <c r="X793" s="2"/>
      <c r="Y793" s="1"/>
      <c r="AF793" s="2"/>
      <c r="AG793" s="1"/>
      <c r="BG793" s="1"/>
      <c r="BS793" s="3"/>
      <c r="CC793" s="1"/>
      <c r="CE793" s="1"/>
      <c r="CF793" s="1"/>
      <c r="CJ793" s="1"/>
      <c r="DF793" s="2"/>
    </row>
    <row r="794" spans="1:110">
      <c r="A794" s="1"/>
      <c r="B794" s="4"/>
      <c r="C794" s="1"/>
      <c r="D794" s="1"/>
      <c r="E794" s="1"/>
      <c r="F794" s="1"/>
      <c r="G794" s="1"/>
      <c r="H794" s="2"/>
      <c r="I794" s="1"/>
      <c r="J794" s="1"/>
      <c r="K794" s="5"/>
      <c r="L794" s="6"/>
      <c r="Q794" s="5"/>
      <c r="R794" s="6"/>
      <c r="X794" s="2"/>
      <c r="Y794" s="1"/>
      <c r="AF794" s="2"/>
      <c r="AG794" s="1"/>
      <c r="BG794" s="1"/>
      <c r="BS794" s="3"/>
      <c r="CC794" s="1"/>
      <c r="CE794" s="1"/>
      <c r="CF794" s="1"/>
      <c r="CJ794" s="1"/>
      <c r="DF794" s="2"/>
    </row>
    <row r="795" spans="1:110">
      <c r="A795" s="1"/>
      <c r="B795" s="4"/>
      <c r="C795" s="1"/>
      <c r="D795" s="1"/>
      <c r="E795" s="1"/>
      <c r="F795" s="1"/>
      <c r="G795" s="1"/>
      <c r="H795" s="2"/>
      <c r="I795" s="1"/>
      <c r="J795" s="1"/>
      <c r="K795" s="5"/>
      <c r="L795" s="6"/>
      <c r="Q795" s="5"/>
      <c r="R795" s="6"/>
      <c r="X795" s="2"/>
      <c r="Y795" s="1"/>
      <c r="AF795" s="2"/>
      <c r="AG795" s="1"/>
      <c r="BG795" s="1"/>
      <c r="BS795" s="3"/>
      <c r="CC795" s="1"/>
      <c r="CE795" s="1"/>
      <c r="CF795" s="1"/>
      <c r="CJ795" s="1"/>
      <c r="DF795" s="2"/>
    </row>
    <row r="796" spans="1:110">
      <c r="A796" s="1"/>
      <c r="B796" s="4"/>
      <c r="C796" s="1"/>
      <c r="D796" s="1"/>
      <c r="E796" s="1"/>
      <c r="F796" s="1"/>
      <c r="G796" s="1"/>
      <c r="H796" s="2"/>
      <c r="I796" s="1"/>
      <c r="J796" s="1"/>
      <c r="K796" s="5"/>
      <c r="L796" s="6"/>
      <c r="Q796" s="5"/>
      <c r="R796" s="6"/>
      <c r="X796" s="2"/>
      <c r="Y796" s="1"/>
      <c r="AF796" s="2"/>
      <c r="AG796" s="1"/>
      <c r="BG796" s="1"/>
      <c r="BS796" s="3"/>
      <c r="CC796" s="1"/>
      <c r="CE796" s="1"/>
      <c r="CF796" s="1"/>
      <c r="CJ796" s="1"/>
      <c r="DF796" s="2"/>
    </row>
    <row r="797" spans="1:110">
      <c r="A797" s="1"/>
      <c r="B797" s="4"/>
      <c r="C797" s="1"/>
      <c r="D797" s="1"/>
      <c r="E797" s="1"/>
      <c r="F797" s="1"/>
      <c r="G797" s="1"/>
      <c r="H797" s="2"/>
      <c r="I797" s="1"/>
      <c r="J797" s="1"/>
      <c r="K797" s="5"/>
      <c r="L797" s="6"/>
      <c r="Q797" s="5"/>
      <c r="R797" s="6"/>
      <c r="X797" s="2"/>
      <c r="Y797" s="1"/>
      <c r="AF797" s="2"/>
      <c r="AG797" s="1"/>
      <c r="BG797" s="1"/>
      <c r="BS797" s="3"/>
      <c r="CC797" s="1"/>
      <c r="CE797" s="1"/>
      <c r="CF797" s="1"/>
      <c r="CJ797" s="1"/>
      <c r="DF797" s="2"/>
    </row>
    <row r="798" spans="1:110">
      <c r="A798" s="1"/>
      <c r="B798" s="4"/>
      <c r="C798" s="1"/>
      <c r="D798" s="1"/>
      <c r="E798" s="1"/>
      <c r="F798" s="1"/>
      <c r="G798" s="1"/>
      <c r="H798" s="2"/>
      <c r="I798" s="1"/>
      <c r="J798" s="1"/>
      <c r="K798" s="5"/>
      <c r="L798" s="6"/>
      <c r="Q798" s="5"/>
      <c r="R798" s="6"/>
      <c r="X798" s="2"/>
      <c r="Y798" s="1"/>
      <c r="AF798" s="2"/>
      <c r="AG798" s="1"/>
      <c r="BG798" s="1"/>
      <c r="BS798" s="3"/>
      <c r="CC798" s="1"/>
      <c r="CE798" s="1"/>
      <c r="CF798" s="1"/>
      <c r="CJ798" s="1"/>
      <c r="DF798" s="2"/>
    </row>
    <row r="799" spans="1:110">
      <c r="A799" s="1"/>
      <c r="B799" s="4"/>
      <c r="C799" s="1"/>
      <c r="D799" s="1"/>
      <c r="E799" s="1"/>
      <c r="F799" s="1"/>
      <c r="G799" s="1"/>
      <c r="H799" s="2"/>
      <c r="I799" s="1"/>
      <c r="J799" s="1"/>
      <c r="K799" s="5"/>
      <c r="L799" s="6"/>
      <c r="Q799" s="5"/>
      <c r="R799" s="6"/>
      <c r="X799" s="2"/>
      <c r="Y799" s="1"/>
      <c r="AF799" s="2"/>
      <c r="AG799" s="1"/>
      <c r="BG799" s="1"/>
      <c r="BS799" s="3"/>
      <c r="CC799" s="1"/>
      <c r="CE799" s="1"/>
      <c r="CF799" s="1"/>
      <c r="CJ799" s="1"/>
      <c r="DF799" s="2"/>
    </row>
    <row r="800" spans="1:110">
      <c r="A800" s="1"/>
      <c r="B800" s="4"/>
      <c r="C800" s="1"/>
      <c r="D800" s="1"/>
      <c r="E800" s="1"/>
      <c r="F800" s="1"/>
      <c r="G800" s="1"/>
      <c r="H800" s="2"/>
      <c r="I800" s="1"/>
      <c r="J800" s="1"/>
      <c r="K800" s="5"/>
      <c r="L800" s="6"/>
      <c r="Q800" s="5"/>
      <c r="R800" s="6"/>
      <c r="X800" s="2"/>
      <c r="Y800" s="1"/>
      <c r="AF800" s="2"/>
      <c r="AG800" s="1"/>
      <c r="BG800" s="1"/>
      <c r="BS800" s="3"/>
      <c r="CC800" s="1"/>
      <c r="CE800" s="1"/>
      <c r="CF800" s="1"/>
      <c r="CJ800" s="1"/>
      <c r="DF800" s="2"/>
    </row>
    <row r="801" spans="1:110">
      <c r="A801" s="1"/>
      <c r="B801" s="4"/>
      <c r="C801" s="1"/>
      <c r="D801" s="1"/>
      <c r="E801" s="1"/>
      <c r="F801" s="1"/>
      <c r="G801" s="1"/>
      <c r="H801" s="2"/>
      <c r="I801" s="1"/>
      <c r="J801" s="1"/>
      <c r="K801" s="5"/>
      <c r="L801" s="6"/>
      <c r="Q801" s="5"/>
      <c r="R801" s="6"/>
      <c r="X801" s="2"/>
      <c r="Y801" s="1"/>
      <c r="AF801" s="2"/>
      <c r="AG801" s="1"/>
      <c r="BG801" s="1"/>
      <c r="BS801" s="3"/>
      <c r="CC801" s="1"/>
      <c r="CE801" s="1"/>
      <c r="CF801" s="1"/>
      <c r="CJ801" s="1"/>
      <c r="DF801" s="2"/>
    </row>
    <row r="802" spans="1:110">
      <c r="A802" s="1"/>
      <c r="B802" s="4"/>
      <c r="C802" s="1"/>
      <c r="D802" s="1"/>
      <c r="E802" s="1"/>
      <c r="F802" s="1"/>
      <c r="G802" s="1"/>
      <c r="H802" s="2"/>
      <c r="I802" s="1"/>
      <c r="J802" s="1"/>
      <c r="K802" s="5"/>
      <c r="L802" s="6"/>
      <c r="Q802" s="5"/>
      <c r="R802" s="6"/>
      <c r="X802" s="2"/>
      <c r="Y802" s="1"/>
      <c r="AF802" s="2"/>
      <c r="AG802" s="1"/>
      <c r="BG802" s="1"/>
      <c r="BS802" s="3"/>
      <c r="CC802" s="1"/>
      <c r="CE802" s="1"/>
      <c r="CF802" s="1"/>
      <c r="CJ802" s="1"/>
      <c r="DF802" s="2"/>
    </row>
    <row r="803" spans="1:110">
      <c r="A803" s="1"/>
      <c r="B803" s="4"/>
      <c r="C803" s="1"/>
      <c r="D803" s="1"/>
      <c r="E803" s="1"/>
      <c r="F803" s="1"/>
      <c r="G803" s="1"/>
      <c r="H803" s="2"/>
      <c r="I803" s="1"/>
      <c r="J803" s="1"/>
      <c r="K803" s="5"/>
      <c r="L803" s="6"/>
      <c r="Q803" s="5"/>
      <c r="R803" s="6"/>
      <c r="X803" s="2"/>
      <c r="Y803" s="1"/>
      <c r="AF803" s="2"/>
      <c r="AG803" s="1"/>
      <c r="BG803" s="1"/>
      <c r="BS803" s="3"/>
      <c r="CC803" s="1"/>
      <c r="CE803" s="1"/>
      <c r="CF803" s="1"/>
      <c r="CJ803" s="1"/>
      <c r="DF803" s="2"/>
    </row>
    <row r="804" spans="1:110">
      <c r="A804" s="1"/>
      <c r="B804" s="4"/>
      <c r="C804" s="1"/>
      <c r="D804" s="1"/>
      <c r="E804" s="1"/>
      <c r="F804" s="1"/>
      <c r="G804" s="1"/>
      <c r="H804" s="2"/>
      <c r="I804" s="1"/>
      <c r="J804" s="1"/>
      <c r="K804" s="5"/>
      <c r="L804" s="6"/>
      <c r="Q804" s="5"/>
      <c r="R804" s="6"/>
      <c r="X804" s="2"/>
      <c r="Y804" s="1"/>
      <c r="AF804" s="2"/>
      <c r="AG804" s="1"/>
      <c r="BG804" s="1"/>
      <c r="BS804" s="3"/>
      <c r="CC804" s="1"/>
      <c r="CE804" s="1"/>
      <c r="CF804" s="1"/>
      <c r="CJ804" s="1"/>
      <c r="DF804" s="2"/>
    </row>
    <row r="805" spans="1:110">
      <c r="A805" s="1"/>
      <c r="B805" s="4"/>
      <c r="C805" s="1"/>
      <c r="D805" s="1"/>
      <c r="E805" s="1"/>
      <c r="F805" s="1"/>
      <c r="G805" s="1"/>
      <c r="H805" s="2"/>
      <c r="I805" s="1"/>
      <c r="J805" s="1"/>
      <c r="K805" s="5"/>
      <c r="L805" s="6"/>
      <c r="Q805" s="5"/>
      <c r="R805" s="6"/>
      <c r="X805" s="2"/>
      <c r="Y805" s="1"/>
      <c r="AF805" s="2"/>
      <c r="AG805" s="1"/>
      <c r="BG805" s="1"/>
      <c r="BS805" s="3"/>
      <c r="CC805" s="1"/>
      <c r="CE805" s="1"/>
      <c r="CF805" s="1"/>
      <c r="CJ805" s="1"/>
      <c r="DF805" s="2"/>
    </row>
    <row r="806" spans="1:110">
      <c r="A806" s="1"/>
      <c r="B806" s="4"/>
      <c r="C806" s="1"/>
      <c r="D806" s="1"/>
      <c r="E806" s="1"/>
      <c r="F806" s="1"/>
      <c r="G806" s="1"/>
      <c r="H806" s="2"/>
      <c r="I806" s="1"/>
      <c r="J806" s="1"/>
      <c r="K806" s="5"/>
      <c r="L806" s="6"/>
      <c r="Q806" s="5"/>
      <c r="R806" s="6"/>
      <c r="X806" s="2"/>
      <c r="Y806" s="1"/>
      <c r="AF806" s="2"/>
      <c r="AG806" s="1"/>
      <c r="BG806" s="1"/>
      <c r="BS806" s="3"/>
      <c r="CC806" s="1"/>
      <c r="CE806" s="1"/>
      <c r="CF806" s="1"/>
      <c r="CJ806" s="1"/>
      <c r="DF806" s="2"/>
    </row>
    <row r="807" spans="1:110">
      <c r="A807" s="1"/>
      <c r="B807" s="4"/>
      <c r="C807" s="1"/>
      <c r="D807" s="1"/>
      <c r="E807" s="1"/>
      <c r="F807" s="1"/>
      <c r="G807" s="1"/>
      <c r="H807" s="2"/>
      <c r="I807" s="1"/>
      <c r="J807" s="1"/>
      <c r="K807" s="5"/>
      <c r="L807" s="6"/>
      <c r="Q807" s="5"/>
      <c r="R807" s="6"/>
      <c r="X807" s="2"/>
      <c r="Y807" s="1"/>
      <c r="AF807" s="2"/>
      <c r="AG807" s="1"/>
      <c r="BG807" s="1"/>
      <c r="BS807" s="3"/>
      <c r="CC807" s="1"/>
      <c r="CE807" s="1"/>
      <c r="CF807" s="1"/>
      <c r="CJ807" s="1"/>
      <c r="DF807" s="2"/>
    </row>
    <row r="808" spans="1:110">
      <c r="A808" s="1"/>
      <c r="B808" s="4"/>
      <c r="C808" s="1"/>
      <c r="D808" s="1"/>
      <c r="E808" s="1"/>
      <c r="F808" s="1"/>
      <c r="G808" s="1"/>
      <c r="H808" s="2"/>
      <c r="I808" s="1"/>
      <c r="J808" s="1"/>
      <c r="K808" s="5"/>
      <c r="L808" s="6"/>
      <c r="Q808" s="5"/>
      <c r="R808" s="6"/>
      <c r="X808" s="2"/>
      <c r="Y808" s="1"/>
      <c r="AF808" s="2"/>
      <c r="AG808" s="1"/>
      <c r="BG808" s="1"/>
      <c r="BS808" s="3"/>
      <c r="CC808" s="1"/>
      <c r="CE808" s="1"/>
      <c r="CF808" s="1"/>
      <c r="CJ808" s="1"/>
      <c r="DF808" s="2"/>
    </row>
    <row r="809" spans="1:110">
      <c r="A809" s="1"/>
      <c r="B809" s="4"/>
      <c r="C809" s="1"/>
      <c r="D809" s="1"/>
      <c r="E809" s="1"/>
      <c r="F809" s="1"/>
      <c r="G809" s="1"/>
      <c r="H809" s="2"/>
      <c r="I809" s="1"/>
      <c r="J809" s="1"/>
      <c r="K809" s="5"/>
      <c r="L809" s="6"/>
      <c r="Q809" s="5"/>
      <c r="R809" s="6"/>
      <c r="X809" s="2"/>
      <c r="Y809" s="1"/>
      <c r="AF809" s="2"/>
      <c r="AG809" s="1"/>
      <c r="BG809" s="1"/>
      <c r="BS809" s="3"/>
      <c r="CC809" s="1"/>
      <c r="CE809" s="1"/>
      <c r="CF809" s="1"/>
      <c r="CJ809" s="1"/>
      <c r="DF809" s="2"/>
    </row>
    <row r="810" spans="1:110">
      <c r="A810" s="1"/>
      <c r="B810" s="4"/>
      <c r="C810" s="1"/>
      <c r="D810" s="1"/>
      <c r="E810" s="1"/>
      <c r="F810" s="1"/>
      <c r="G810" s="1"/>
      <c r="H810" s="2"/>
      <c r="I810" s="1"/>
      <c r="J810" s="1"/>
      <c r="K810" s="5"/>
      <c r="L810" s="6"/>
      <c r="Q810" s="5"/>
      <c r="R810" s="6"/>
      <c r="X810" s="2"/>
      <c r="Y810" s="1"/>
      <c r="AF810" s="2"/>
      <c r="AG810" s="1"/>
      <c r="BG810" s="1"/>
      <c r="BS810" s="3"/>
      <c r="CC810" s="1"/>
      <c r="CE810" s="1"/>
      <c r="CF810" s="1"/>
      <c r="CJ810" s="1"/>
      <c r="DF810" s="2"/>
    </row>
    <row r="811" spans="1:110">
      <c r="A811" s="1"/>
      <c r="B811" s="4"/>
      <c r="C811" s="1"/>
      <c r="D811" s="1"/>
      <c r="E811" s="1"/>
      <c r="F811" s="1"/>
      <c r="G811" s="1"/>
      <c r="H811" s="2"/>
      <c r="I811" s="1"/>
      <c r="J811" s="1"/>
      <c r="K811" s="5"/>
      <c r="L811" s="6"/>
      <c r="Q811" s="5"/>
      <c r="R811" s="6"/>
      <c r="X811" s="2"/>
      <c r="Y811" s="1"/>
      <c r="AF811" s="2"/>
      <c r="AG811" s="1"/>
      <c r="BG811" s="1"/>
      <c r="BS811" s="3"/>
      <c r="CC811" s="1"/>
      <c r="CE811" s="1"/>
      <c r="CF811" s="1"/>
      <c r="CJ811" s="1"/>
      <c r="DF811" s="2"/>
    </row>
    <row r="812" spans="1:110">
      <c r="A812" s="1"/>
      <c r="B812" s="4"/>
      <c r="C812" s="1"/>
      <c r="D812" s="1"/>
      <c r="E812" s="1"/>
      <c r="F812" s="1"/>
      <c r="G812" s="1"/>
      <c r="H812" s="2"/>
      <c r="I812" s="1"/>
      <c r="J812" s="1"/>
      <c r="K812" s="5"/>
      <c r="L812" s="6"/>
      <c r="Q812" s="5"/>
      <c r="R812" s="6"/>
      <c r="X812" s="2"/>
      <c r="Y812" s="1"/>
      <c r="AF812" s="2"/>
      <c r="AG812" s="1"/>
      <c r="BG812" s="1"/>
      <c r="BS812" s="3"/>
      <c r="CC812" s="1"/>
      <c r="CE812" s="1"/>
      <c r="CF812" s="1"/>
      <c r="CJ812" s="1"/>
      <c r="DF812" s="2"/>
    </row>
    <row r="813" spans="1:110">
      <c r="A813" s="1"/>
      <c r="B813" s="4"/>
      <c r="C813" s="1"/>
      <c r="D813" s="1"/>
      <c r="E813" s="1"/>
      <c r="F813" s="1"/>
      <c r="G813" s="1"/>
      <c r="H813" s="2"/>
      <c r="I813" s="1"/>
      <c r="J813" s="1"/>
      <c r="K813" s="5"/>
      <c r="L813" s="6"/>
      <c r="Q813" s="5"/>
      <c r="R813" s="6"/>
      <c r="X813" s="2"/>
      <c r="Y813" s="1"/>
      <c r="AF813" s="2"/>
      <c r="AG813" s="1"/>
      <c r="BG813" s="1"/>
      <c r="BS813" s="3"/>
      <c r="CC813" s="1"/>
      <c r="CE813" s="1"/>
      <c r="CF813" s="1"/>
      <c r="CJ813" s="1"/>
      <c r="DF813" s="2"/>
    </row>
    <row r="814" spans="1:110">
      <c r="A814" s="1"/>
      <c r="B814" s="4"/>
      <c r="C814" s="1"/>
      <c r="D814" s="1"/>
      <c r="E814" s="1"/>
      <c r="F814" s="1"/>
      <c r="G814" s="1"/>
      <c r="H814" s="2"/>
      <c r="I814" s="1"/>
      <c r="J814" s="1"/>
      <c r="K814" s="5"/>
      <c r="L814" s="6"/>
      <c r="Q814" s="5"/>
      <c r="R814" s="6"/>
      <c r="X814" s="2"/>
      <c r="Y814" s="1"/>
      <c r="AF814" s="2"/>
      <c r="AG814" s="1"/>
      <c r="BG814" s="1"/>
      <c r="BS814" s="3"/>
      <c r="CC814" s="1"/>
      <c r="CE814" s="1"/>
      <c r="CF814" s="1"/>
      <c r="CJ814" s="1"/>
      <c r="DF814" s="2"/>
    </row>
    <row r="815" spans="1:110">
      <c r="A815" s="1"/>
      <c r="B815" s="4"/>
      <c r="C815" s="1"/>
      <c r="D815" s="1"/>
      <c r="E815" s="1"/>
      <c r="F815" s="1"/>
      <c r="G815" s="1"/>
      <c r="H815" s="2"/>
      <c r="I815" s="1"/>
      <c r="J815" s="1"/>
      <c r="K815" s="5"/>
      <c r="L815" s="6"/>
      <c r="Q815" s="5"/>
      <c r="R815" s="6"/>
      <c r="X815" s="2"/>
      <c r="Y815" s="1"/>
      <c r="AF815" s="2"/>
      <c r="AG815" s="1"/>
      <c r="BG815" s="1"/>
      <c r="BS815" s="3"/>
      <c r="CC815" s="1"/>
      <c r="CE815" s="1"/>
      <c r="CF815" s="1"/>
      <c r="CJ815" s="1"/>
      <c r="DF815" s="2"/>
    </row>
    <row r="816" spans="1:110">
      <c r="A816" s="1"/>
      <c r="B816" s="4"/>
      <c r="C816" s="1"/>
      <c r="D816" s="1"/>
      <c r="E816" s="1"/>
      <c r="F816" s="1"/>
      <c r="G816" s="1"/>
      <c r="H816" s="2"/>
      <c r="I816" s="1"/>
      <c r="J816" s="1"/>
      <c r="K816" s="5"/>
      <c r="L816" s="6"/>
      <c r="Q816" s="5"/>
      <c r="R816" s="6"/>
      <c r="X816" s="2"/>
      <c r="Y816" s="1"/>
      <c r="AF816" s="2"/>
      <c r="AG816" s="1"/>
      <c r="BG816" s="1"/>
      <c r="BS816" s="3"/>
      <c r="CC816" s="1"/>
      <c r="CE816" s="1"/>
      <c r="CF816" s="1"/>
      <c r="CJ816" s="1"/>
      <c r="DF816" s="2"/>
    </row>
    <row r="817" spans="1:110">
      <c r="A817" s="1"/>
      <c r="B817" s="4"/>
      <c r="C817" s="1"/>
      <c r="D817" s="1"/>
      <c r="E817" s="1"/>
      <c r="F817" s="1"/>
      <c r="G817" s="1"/>
      <c r="H817" s="2"/>
      <c r="I817" s="1"/>
      <c r="J817" s="1"/>
      <c r="K817" s="5"/>
      <c r="L817" s="6"/>
      <c r="Q817" s="5"/>
      <c r="R817" s="6"/>
      <c r="X817" s="2"/>
      <c r="Y817" s="1"/>
      <c r="AF817" s="2"/>
      <c r="AG817" s="1"/>
      <c r="BG817" s="1"/>
      <c r="BS817" s="3"/>
      <c r="CC817" s="1"/>
      <c r="CE817" s="1"/>
      <c r="CF817" s="1"/>
      <c r="CJ817" s="1"/>
      <c r="DF817" s="2"/>
    </row>
    <row r="818" spans="1:110">
      <c r="A818" s="1"/>
      <c r="B818" s="4"/>
      <c r="C818" s="1"/>
      <c r="D818" s="1"/>
      <c r="E818" s="1"/>
      <c r="F818" s="1"/>
      <c r="G818" s="1"/>
      <c r="H818" s="2"/>
      <c r="I818" s="1"/>
      <c r="J818" s="1"/>
      <c r="K818" s="5"/>
      <c r="L818" s="6"/>
      <c r="Q818" s="5"/>
      <c r="R818" s="6"/>
      <c r="X818" s="2"/>
      <c r="Y818" s="1"/>
      <c r="AF818" s="2"/>
      <c r="AG818" s="1"/>
      <c r="BG818" s="1"/>
      <c r="BS818" s="3"/>
      <c r="CC818" s="1"/>
      <c r="CE818" s="1"/>
      <c r="CF818" s="1"/>
      <c r="CJ818" s="1"/>
      <c r="DF818" s="2"/>
    </row>
    <row r="819" spans="1:110">
      <c r="A819" s="1"/>
      <c r="B819" s="4"/>
      <c r="C819" s="1"/>
      <c r="D819" s="1"/>
      <c r="E819" s="1"/>
      <c r="F819" s="1"/>
      <c r="G819" s="1"/>
      <c r="H819" s="2"/>
      <c r="I819" s="1"/>
      <c r="J819" s="1"/>
      <c r="K819" s="5"/>
      <c r="L819" s="6"/>
      <c r="Q819" s="5"/>
      <c r="R819" s="6"/>
      <c r="X819" s="2"/>
      <c r="Y819" s="1"/>
      <c r="AF819" s="2"/>
      <c r="AG819" s="1"/>
      <c r="BG819" s="1"/>
      <c r="BS819" s="3"/>
      <c r="CC819" s="1"/>
      <c r="CE819" s="1"/>
      <c r="CF819" s="1"/>
      <c r="CJ819" s="1"/>
      <c r="DF819" s="2"/>
    </row>
    <row r="820" spans="1:110">
      <c r="A820" s="1"/>
      <c r="B820" s="4"/>
      <c r="C820" s="1"/>
      <c r="D820" s="1"/>
      <c r="E820" s="1"/>
      <c r="F820" s="1"/>
      <c r="G820" s="1"/>
      <c r="H820" s="2"/>
      <c r="I820" s="1"/>
      <c r="J820" s="1"/>
      <c r="K820" s="5"/>
      <c r="L820" s="6"/>
      <c r="Q820" s="5"/>
      <c r="R820" s="6"/>
      <c r="X820" s="2"/>
      <c r="Y820" s="1"/>
      <c r="AF820" s="2"/>
      <c r="AG820" s="1"/>
      <c r="BG820" s="1"/>
      <c r="BS820" s="3"/>
      <c r="CC820" s="1"/>
      <c r="CE820" s="1"/>
      <c r="CF820" s="1"/>
      <c r="CJ820" s="1"/>
      <c r="DF820" s="2"/>
    </row>
    <row r="821" spans="1:110">
      <c r="A821" s="1"/>
      <c r="B821" s="4"/>
      <c r="C821" s="1"/>
      <c r="D821" s="1"/>
      <c r="E821" s="1"/>
      <c r="F821" s="1"/>
      <c r="G821" s="1"/>
      <c r="H821" s="2"/>
      <c r="I821" s="1"/>
      <c r="J821" s="1"/>
      <c r="K821" s="5"/>
      <c r="L821" s="6"/>
      <c r="Q821" s="5"/>
      <c r="R821" s="6"/>
      <c r="X821" s="2"/>
      <c r="Y821" s="1"/>
      <c r="AF821" s="2"/>
      <c r="AG821" s="1"/>
      <c r="BG821" s="1"/>
      <c r="BS821" s="3"/>
      <c r="CC821" s="1"/>
      <c r="CE821" s="1"/>
      <c r="CF821" s="1"/>
      <c r="CJ821" s="1"/>
      <c r="DF821" s="2"/>
    </row>
    <row r="822" spans="1:110">
      <c r="A822" s="1"/>
      <c r="B822" s="4"/>
      <c r="C822" s="1"/>
      <c r="D822" s="1"/>
      <c r="E822" s="1"/>
      <c r="F822" s="1"/>
      <c r="G822" s="1"/>
      <c r="H822" s="2"/>
      <c r="I822" s="1"/>
      <c r="J822" s="1"/>
      <c r="K822" s="5"/>
      <c r="L822" s="6"/>
      <c r="Q822" s="5"/>
      <c r="R822" s="6"/>
      <c r="X822" s="2"/>
      <c r="Y822" s="1"/>
      <c r="AF822" s="2"/>
      <c r="AG822" s="1"/>
      <c r="BG822" s="1"/>
      <c r="BS822" s="3"/>
      <c r="CC822" s="1"/>
      <c r="CE822" s="1"/>
      <c r="CF822" s="1"/>
      <c r="CJ822" s="1"/>
      <c r="DF822" s="2"/>
    </row>
    <row r="823" spans="1:110">
      <c r="A823" s="1"/>
      <c r="B823" s="4"/>
      <c r="C823" s="1"/>
      <c r="D823" s="1"/>
      <c r="E823" s="1"/>
      <c r="F823" s="1"/>
      <c r="G823" s="1"/>
      <c r="H823" s="2"/>
      <c r="I823" s="1"/>
      <c r="J823" s="1"/>
      <c r="K823" s="5"/>
      <c r="L823" s="6"/>
      <c r="Q823" s="5"/>
      <c r="R823" s="6"/>
      <c r="X823" s="2"/>
      <c r="Y823" s="1"/>
      <c r="AF823" s="2"/>
      <c r="AG823" s="1"/>
      <c r="BG823" s="1"/>
      <c r="BS823" s="3"/>
      <c r="CC823" s="1"/>
      <c r="CE823" s="1"/>
      <c r="CF823" s="1"/>
      <c r="CJ823" s="1"/>
      <c r="DF823" s="2"/>
    </row>
    <row r="824" spans="1:110">
      <c r="A824" s="1"/>
      <c r="B824" s="4"/>
      <c r="C824" s="1"/>
      <c r="D824" s="1"/>
      <c r="E824" s="1"/>
      <c r="F824" s="1"/>
      <c r="G824" s="1"/>
      <c r="H824" s="2"/>
      <c r="I824" s="1"/>
      <c r="J824" s="1"/>
      <c r="K824" s="5"/>
      <c r="L824" s="6"/>
      <c r="Q824" s="5"/>
      <c r="R824" s="6"/>
      <c r="X824" s="2"/>
      <c r="Y824" s="1"/>
      <c r="AF824" s="2"/>
      <c r="AG824" s="1"/>
      <c r="BG824" s="1"/>
      <c r="BS824" s="3"/>
      <c r="CC824" s="1"/>
      <c r="CE824" s="1"/>
      <c r="CF824" s="1"/>
      <c r="CJ824" s="1"/>
      <c r="DF824" s="2"/>
    </row>
    <row r="825" spans="1:110">
      <c r="A825" s="1"/>
      <c r="B825" s="4"/>
      <c r="C825" s="1"/>
      <c r="D825" s="1"/>
      <c r="E825" s="1"/>
      <c r="F825" s="1"/>
      <c r="G825" s="1"/>
      <c r="H825" s="2"/>
      <c r="I825" s="1"/>
      <c r="J825" s="1"/>
      <c r="K825" s="5"/>
      <c r="L825" s="6"/>
      <c r="Q825" s="5"/>
      <c r="R825" s="6"/>
      <c r="X825" s="2"/>
      <c r="Y825" s="1"/>
      <c r="AF825" s="2"/>
      <c r="AG825" s="1"/>
      <c r="BG825" s="1"/>
      <c r="BS825" s="3"/>
      <c r="CC825" s="1"/>
      <c r="CE825" s="1"/>
      <c r="CF825" s="1"/>
      <c r="CJ825" s="1"/>
      <c r="DF825" s="2"/>
    </row>
    <row r="826" spans="1:110">
      <c r="A826" s="1"/>
      <c r="B826" s="4"/>
      <c r="C826" s="1"/>
      <c r="D826" s="1"/>
      <c r="E826" s="1"/>
      <c r="F826" s="1"/>
      <c r="G826" s="1"/>
      <c r="H826" s="2"/>
      <c r="I826" s="1"/>
      <c r="J826" s="1"/>
      <c r="K826" s="5"/>
      <c r="L826" s="6"/>
      <c r="Q826" s="5"/>
      <c r="R826" s="6"/>
      <c r="X826" s="2"/>
      <c r="Y826" s="1"/>
      <c r="AF826" s="2"/>
      <c r="AG826" s="1"/>
      <c r="BG826" s="1"/>
      <c r="BS826" s="3"/>
      <c r="CC826" s="1"/>
      <c r="CE826" s="1"/>
      <c r="CF826" s="1"/>
      <c r="CJ826" s="1"/>
      <c r="DF826" s="2"/>
    </row>
    <row r="827" spans="1:110">
      <c r="A827" s="1"/>
      <c r="B827" s="4"/>
      <c r="C827" s="1"/>
      <c r="D827" s="1"/>
      <c r="E827" s="1"/>
      <c r="F827" s="1"/>
      <c r="G827" s="1"/>
      <c r="H827" s="2"/>
      <c r="I827" s="1"/>
      <c r="J827" s="1"/>
      <c r="K827" s="5"/>
      <c r="L827" s="6"/>
      <c r="Q827" s="5"/>
      <c r="R827" s="6"/>
      <c r="X827" s="2"/>
      <c r="Y827" s="1"/>
      <c r="AF827" s="2"/>
      <c r="AG827" s="1"/>
      <c r="BG827" s="1"/>
      <c r="BS827" s="3"/>
      <c r="CC827" s="1"/>
      <c r="CE827" s="1"/>
      <c r="CF827" s="1"/>
      <c r="CJ827" s="1"/>
      <c r="DF827" s="2"/>
    </row>
    <row r="828" spans="1:110">
      <c r="A828" s="1"/>
      <c r="B828" s="4"/>
      <c r="C828" s="1"/>
      <c r="D828" s="1"/>
      <c r="E828" s="1"/>
      <c r="F828" s="1"/>
      <c r="G828" s="1"/>
      <c r="H828" s="2"/>
      <c r="I828" s="1"/>
      <c r="J828" s="1"/>
      <c r="K828" s="5"/>
      <c r="L828" s="6"/>
      <c r="Q828" s="5"/>
      <c r="R828" s="6"/>
      <c r="X828" s="2"/>
      <c r="Y828" s="1"/>
      <c r="AF828" s="2"/>
      <c r="AG828" s="1"/>
      <c r="BG828" s="1"/>
      <c r="BS828" s="3"/>
      <c r="CC828" s="1"/>
      <c r="CE828" s="1"/>
      <c r="CF828" s="1"/>
      <c r="CJ828" s="1"/>
      <c r="DF828" s="2"/>
    </row>
    <row r="829" spans="1:110">
      <c r="A829" s="1"/>
      <c r="B829" s="4"/>
      <c r="C829" s="1"/>
      <c r="D829" s="1"/>
      <c r="E829" s="1"/>
      <c r="F829" s="1"/>
      <c r="G829" s="1"/>
      <c r="H829" s="2"/>
      <c r="I829" s="1"/>
      <c r="J829" s="1"/>
      <c r="K829" s="5"/>
      <c r="L829" s="6"/>
      <c r="Q829" s="5"/>
      <c r="R829" s="6"/>
      <c r="X829" s="2"/>
      <c r="Y829" s="1"/>
      <c r="AF829" s="2"/>
      <c r="AG829" s="1"/>
      <c r="BG829" s="1"/>
      <c r="BS829" s="3"/>
      <c r="CC829" s="1"/>
      <c r="CE829" s="1"/>
      <c r="CF829" s="1"/>
      <c r="CJ829" s="1"/>
      <c r="DF829" s="2"/>
    </row>
    <row r="830" spans="1:110">
      <c r="A830" s="1"/>
      <c r="B830" s="4"/>
      <c r="C830" s="1"/>
      <c r="D830" s="1"/>
      <c r="E830" s="1"/>
      <c r="F830" s="1"/>
      <c r="G830" s="1"/>
      <c r="H830" s="2"/>
      <c r="I830" s="1"/>
      <c r="J830" s="1"/>
      <c r="K830" s="5"/>
      <c r="L830" s="6"/>
      <c r="Q830" s="5"/>
      <c r="R830" s="6"/>
      <c r="X830" s="2"/>
      <c r="Y830" s="1"/>
      <c r="AF830" s="2"/>
      <c r="AG830" s="1"/>
      <c r="BG830" s="1"/>
      <c r="BS830" s="3"/>
      <c r="CC830" s="1"/>
      <c r="CE830" s="1"/>
      <c r="CF830" s="1"/>
      <c r="CJ830" s="1"/>
      <c r="DF830" s="2"/>
    </row>
    <row r="831" spans="1:110">
      <c r="A831" s="1"/>
      <c r="B831" s="4"/>
      <c r="C831" s="1"/>
      <c r="D831" s="1"/>
      <c r="E831" s="1"/>
      <c r="F831" s="1"/>
      <c r="G831" s="1"/>
      <c r="H831" s="2"/>
      <c r="I831" s="1"/>
      <c r="J831" s="1"/>
      <c r="K831" s="5"/>
      <c r="L831" s="6"/>
      <c r="Q831" s="5"/>
      <c r="R831" s="6"/>
      <c r="X831" s="2"/>
      <c r="Y831" s="1"/>
      <c r="AF831" s="2"/>
      <c r="AG831" s="1"/>
      <c r="BG831" s="1"/>
      <c r="BS831" s="3"/>
      <c r="CC831" s="1"/>
      <c r="CE831" s="1"/>
      <c r="CF831" s="1"/>
      <c r="CJ831" s="1"/>
      <c r="DF831" s="2"/>
    </row>
    <row r="832" spans="1:110">
      <c r="A832" s="1"/>
      <c r="B832" s="4"/>
      <c r="C832" s="1"/>
      <c r="D832" s="1"/>
      <c r="E832" s="1"/>
      <c r="F832" s="1"/>
      <c r="G832" s="1"/>
      <c r="H832" s="2"/>
      <c r="I832" s="1"/>
      <c r="J832" s="1"/>
      <c r="K832" s="5"/>
      <c r="L832" s="6"/>
      <c r="Q832" s="5"/>
      <c r="R832" s="6"/>
      <c r="X832" s="2"/>
      <c r="Y832" s="1"/>
      <c r="AF832" s="2"/>
      <c r="AG832" s="1"/>
      <c r="BG832" s="1"/>
      <c r="BS832" s="3"/>
      <c r="CC832" s="1"/>
      <c r="CE832" s="1"/>
      <c r="CF832" s="1"/>
      <c r="CJ832" s="1"/>
      <c r="DF832" s="2"/>
    </row>
    <row r="833" spans="1:110">
      <c r="A833" s="1"/>
      <c r="B833" s="4"/>
      <c r="C833" s="1"/>
      <c r="D833" s="1"/>
      <c r="E833" s="1"/>
      <c r="F833" s="1"/>
      <c r="G833" s="1"/>
      <c r="H833" s="2"/>
      <c r="I833" s="1"/>
      <c r="J833" s="1"/>
      <c r="K833" s="5"/>
      <c r="L833" s="6"/>
      <c r="Q833" s="5"/>
      <c r="R833" s="6"/>
      <c r="X833" s="2"/>
      <c r="Y833" s="1"/>
      <c r="AF833" s="2"/>
      <c r="AG833" s="1"/>
      <c r="BG833" s="1"/>
      <c r="BS833" s="3"/>
      <c r="CC833" s="1"/>
      <c r="CE833" s="1"/>
      <c r="CF833" s="1"/>
      <c r="CJ833" s="1"/>
      <c r="DF833" s="2"/>
    </row>
    <row r="834" spans="1:110">
      <c r="A834" s="1"/>
      <c r="B834" s="4"/>
      <c r="C834" s="1"/>
      <c r="D834" s="1"/>
      <c r="E834" s="1"/>
      <c r="F834" s="1"/>
      <c r="G834" s="1"/>
      <c r="H834" s="2"/>
      <c r="I834" s="1"/>
      <c r="J834" s="1"/>
      <c r="K834" s="5"/>
      <c r="L834" s="6"/>
      <c r="Q834" s="5"/>
      <c r="R834" s="6"/>
      <c r="X834" s="2"/>
      <c r="Y834" s="1"/>
      <c r="AF834" s="2"/>
      <c r="AG834" s="1"/>
      <c r="BG834" s="1"/>
      <c r="BS834" s="3"/>
      <c r="CC834" s="1"/>
      <c r="CE834" s="1"/>
      <c r="CF834" s="1"/>
      <c r="CJ834" s="1"/>
      <c r="DF834" s="2"/>
    </row>
    <row r="835" spans="1:110">
      <c r="A835" s="1"/>
      <c r="B835" s="4"/>
      <c r="C835" s="1"/>
      <c r="D835" s="1"/>
      <c r="E835" s="1"/>
      <c r="F835" s="1"/>
      <c r="G835" s="1"/>
      <c r="H835" s="2"/>
      <c r="I835" s="1"/>
      <c r="J835" s="1"/>
      <c r="K835" s="5"/>
      <c r="L835" s="6"/>
      <c r="Q835" s="5"/>
      <c r="R835" s="6"/>
      <c r="X835" s="2"/>
      <c r="Y835" s="1"/>
      <c r="AF835" s="2"/>
      <c r="AG835" s="1"/>
      <c r="BG835" s="1"/>
      <c r="BS835" s="3"/>
      <c r="CC835" s="1"/>
      <c r="CE835" s="1"/>
      <c r="CF835" s="1"/>
      <c r="CJ835" s="1"/>
      <c r="DF835" s="2"/>
    </row>
    <row r="836" spans="1:110">
      <c r="A836" s="1"/>
      <c r="B836" s="4"/>
      <c r="C836" s="1"/>
      <c r="D836" s="1"/>
      <c r="E836" s="1"/>
      <c r="F836" s="1"/>
      <c r="G836" s="1"/>
      <c r="H836" s="2"/>
      <c r="I836" s="1"/>
      <c r="J836" s="1"/>
      <c r="K836" s="5"/>
      <c r="L836" s="6"/>
      <c r="Q836" s="5"/>
      <c r="R836" s="6"/>
      <c r="X836" s="2"/>
      <c r="Y836" s="1"/>
      <c r="AF836" s="2"/>
      <c r="AG836" s="1"/>
      <c r="BG836" s="1"/>
      <c r="BS836" s="3"/>
      <c r="CC836" s="1"/>
      <c r="CE836" s="1"/>
      <c r="CF836" s="1"/>
      <c r="CJ836" s="1"/>
      <c r="DF836" s="2"/>
    </row>
    <row r="837" spans="1:110">
      <c r="A837" s="1"/>
      <c r="B837" s="4"/>
      <c r="C837" s="1"/>
      <c r="D837" s="1"/>
      <c r="E837" s="1"/>
      <c r="F837" s="1"/>
      <c r="G837" s="1"/>
      <c r="H837" s="2"/>
      <c r="I837" s="1"/>
      <c r="J837" s="1"/>
      <c r="K837" s="5"/>
      <c r="L837" s="6"/>
      <c r="Q837" s="5"/>
      <c r="R837" s="6"/>
      <c r="X837" s="2"/>
      <c r="Y837" s="1"/>
      <c r="AF837" s="2"/>
      <c r="AG837" s="1"/>
      <c r="BG837" s="1"/>
      <c r="BS837" s="3"/>
      <c r="CC837" s="1"/>
      <c r="CE837" s="1"/>
      <c r="CF837" s="1"/>
      <c r="CJ837" s="1"/>
      <c r="DF837" s="2"/>
    </row>
    <row r="838" spans="1:110">
      <c r="A838" s="1"/>
      <c r="B838" s="4"/>
      <c r="C838" s="1"/>
      <c r="D838" s="1"/>
      <c r="E838" s="1"/>
      <c r="F838" s="1"/>
      <c r="G838" s="1"/>
      <c r="H838" s="2"/>
      <c r="I838" s="1"/>
      <c r="J838" s="1"/>
      <c r="K838" s="5"/>
      <c r="L838" s="6"/>
      <c r="Q838" s="5"/>
      <c r="R838" s="6"/>
      <c r="X838" s="2"/>
      <c r="Y838" s="1"/>
      <c r="AF838" s="2"/>
      <c r="AG838" s="1"/>
      <c r="BG838" s="1"/>
      <c r="BS838" s="3"/>
      <c r="CC838" s="1"/>
      <c r="CE838" s="1"/>
      <c r="CF838" s="1"/>
      <c r="CJ838" s="1"/>
      <c r="DF838" s="2"/>
    </row>
    <row r="839" spans="1:110">
      <c r="A839" s="1"/>
      <c r="B839" s="4"/>
      <c r="C839" s="1"/>
      <c r="D839" s="1"/>
      <c r="E839" s="1"/>
      <c r="F839" s="1"/>
      <c r="G839" s="1"/>
      <c r="H839" s="2"/>
      <c r="I839" s="1"/>
      <c r="J839" s="1"/>
      <c r="K839" s="5"/>
      <c r="L839" s="6"/>
      <c r="Q839" s="5"/>
      <c r="R839" s="6"/>
      <c r="X839" s="2"/>
      <c r="Y839" s="1"/>
      <c r="AF839" s="2"/>
      <c r="AG839" s="1"/>
      <c r="BG839" s="1"/>
      <c r="BS839" s="3"/>
      <c r="CC839" s="1"/>
      <c r="CE839" s="1"/>
      <c r="CF839" s="1"/>
      <c r="CJ839" s="1"/>
      <c r="DF839" s="2"/>
    </row>
    <row r="840" spans="1:110">
      <c r="A840" s="1"/>
      <c r="B840" s="4"/>
      <c r="C840" s="1"/>
      <c r="D840" s="1"/>
      <c r="E840" s="1"/>
      <c r="F840" s="1"/>
      <c r="G840" s="1"/>
      <c r="H840" s="2"/>
      <c r="I840" s="1"/>
      <c r="J840" s="1"/>
      <c r="K840" s="5"/>
      <c r="L840" s="6"/>
      <c r="Q840" s="5"/>
      <c r="R840" s="6"/>
      <c r="X840" s="2"/>
      <c r="Y840" s="1"/>
      <c r="AF840" s="2"/>
      <c r="AG840" s="1"/>
      <c r="BG840" s="1"/>
      <c r="BS840" s="3"/>
      <c r="CC840" s="1"/>
      <c r="CE840" s="1"/>
      <c r="CF840" s="1"/>
      <c r="CJ840" s="1"/>
      <c r="DF840" s="2"/>
    </row>
    <row r="841" spans="1:110">
      <c r="A841" s="1"/>
      <c r="B841" s="4"/>
      <c r="C841" s="1"/>
      <c r="D841" s="1"/>
      <c r="E841" s="1"/>
      <c r="F841" s="1"/>
      <c r="G841" s="1"/>
      <c r="H841" s="2"/>
      <c r="I841" s="1"/>
      <c r="J841" s="1"/>
      <c r="K841" s="5"/>
      <c r="L841" s="6"/>
      <c r="Q841" s="5"/>
      <c r="R841" s="6"/>
      <c r="X841" s="2"/>
      <c r="Y841" s="1"/>
      <c r="AF841" s="2"/>
      <c r="AG841" s="1"/>
      <c r="BG841" s="1"/>
      <c r="BS841" s="3"/>
      <c r="CC841" s="1"/>
      <c r="CE841" s="1"/>
      <c r="CF841" s="1"/>
      <c r="CJ841" s="1"/>
      <c r="DF841" s="2"/>
    </row>
    <row r="842" spans="1:110">
      <c r="A842" s="1"/>
      <c r="B842" s="4"/>
      <c r="C842" s="1"/>
      <c r="D842" s="1"/>
      <c r="E842" s="1"/>
      <c r="F842" s="1"/>
      <c r="G842" s="1"/>
      <c r="H842" s="2"/>
      <c r="I842" s="1"/>
      <c r="J842" s="1"/>
      <c r="K842" s="5"/>
      <c r="L842" s="6"/>
      <c r="Q842" s="5"/>
      <c r="R842" s="6"/>
      <c r="X842" s="2"/>
      <c r="Y842" s="1"/>
      <c r="AF842" s="2"/>
      <c r="AG842" s="1"/>
      <c r="BG842" s="1"/>
      <c r="BS842" s="3"/>
      <c r="CC842" s="1"/>
      <c r="CE842" s="1"/>
      <c r="CF842" s="1"/>
      <c r="CJ842" s="1"/>
      <c r="DF842" s="2"/>
    </row>
    <row r="843" spans="1:110">
      <c r="A843" s="1"/>
      <c r="B843" s="4"/>
      <c r="C843" s="1"/>
      <c r="D843" s="1"/>
      <c r="E843" s="1"/>
      <c r="F843" s="1"/>
      <c r="G843" s="1"/>
      <c r="H843" s="2"/>
      <c r="I843" s="1"/>
      <c r="J843" s="1"/>
      <c r="K843" s="5"/>
      <c r="L843" s="6"/>
      <c r="Q843" s="5"/>
      <c r="R843" s="6"/>
      <c r="X843" s="2"/>
      <c r="Y843" s="1"/>
      <c r="AF843" s="2"/>
      <c r="AG843" s="1"/>
      <c r="BG843" s="1"/>
      <c r="BS843" s="3"/>
      <c r="CC843" s="1"/>
      <c r="CE843" s="1"/>
      <c r="CF843" s="1"/>
      <c r="CJ843" s="1"/>
      <c r="DF843" s="2"/>
    </row>
    <row r="844" spans="1:110">
      <c r="A844" s="1"/>
      <c r="B844" s="4"/>
      <c r="C844" s="1"/>
      <c r="D844" s="1"/>
      <c r="E844" s="1"/>
      <c r="F844" s="1"/>
      <c r="G844" s="1"/>
      <c r="H844" s="2"/>
      <c r="I844" s="1"/>
      <c r="J844" s="1"/>
      <c r="K844" s="5"/>
      <c r="L844" s="6"/>
      <c r="Q844" s="5"/>
      <c r="R844" s="6"/>
      <c r="X844" s="2"/>
      <c r="Y844" s="1"/>
      <c r="AF844" s="2"/>
      <c r="AG844" s="1"/>
      <c r="BG844" s="1"/>
      <c r="BS844" s="3"/>
      <c r="CC844" s="1"/>
      <c r="CE844" s="1"/>
      <c r="CF844" s="1"/>
      <c r="CJ844" s="1"/>
      <c r="DF844" s="2"/>
    </row>
    <row r="845" spans="1:110">
      <c r="A845" s="1"/>
      <c r="B845" s="4"/>
      <c r="C845" s="1"/>
      <c r="D845" s="1"/>
      <c r="E845" s="1"/>
      <c r="F845" s="1"/>
      <c r="G845" s="1"/>
      <c r="H845" s="2"/>
      <c r="I845" s="1"/>
      <c r="J845" s="1"/>
      <c r="K845" s="5"/>
      <c r="L845" s="6"/>
      <c r="Q845" s="5"/>
      <c r="R845" s="6"/>
      <c r="X845" s="2"/>
      <c r="Y845" s="1"/>
      <c r="AF845" s="2"/>
      <c r="AG845" s="1"/>
      <c r="BG845" s="1"/>
      <c r="BS845" s="3"/>
      <c r="CC845" s="1"/>
      <c r="CE845" s="1"/>
      <c r="CF845" s="1"/>
      <c r="CJ845" s="1"/>
      <c r="DF845" s="2"/>
    </row>
    <row r="846" spans="1:110">
      <c r="A846" s="1"/>
      <c r="B846" s="4"/>
      <c r="C846" s="1"/>
      <c r="D846" s="1"/>
      <c r="E846" s="1"/>
      <c r="F846" s="1"/>
      <c r="G846" s="1"/>
      <c r="H846" s="2"/>
      <c r="I846" s="1"/>
      <c r="J846" s="1"/>
      <c r="K846" s="5"/>
      <c r="L846" s="6"/>
      <c r="Q846" s="5"/>
      <c r="R846" s="6"/>
      <c r="X846" s="2"/>
      <c r="Y846" s="1"/>
      <c r="AF846" s="2"/>
      <c r="AG846" s="1"/>
      <c r="BG846" s="1"/>
      <c r="BS846" s="3"/>
      <c r="CC846" s="1"/>
      <c r="CE846" s="1"/>
      <c r="CF846" s="1"/>
      <c r="CJ846" s="1"/>
      <c r="DF846" s="2"/>
    </row>
    <row r="847" spans="1:110">
      <c r="A847" s="1"/>
      <c r="B847" s="4"/>
      <c r="C847" s="1"/>
      <c r="D847" s="1"/>
      <c r="E847" s="1"/>
      <c r="F847" s="1"/>
      <c r="G847" s="1"/>
      <c r="H847" s="2"/>
      <c r="I847" s="1"/>
      <c r="J847" s="1"/>
      <c r="K847" s="5"/>
      <c r="L847" s="6"/>
      <c r="Q847" s="5"/>
      <c r="R847" s="6"/>
      <c r="X847" s="2"/>
      <c r="Y847" s="1"/>
      <c r="AF847" s="2"/>
      <c r="AG847" s="1"/>
      <c r="BG847" s="1"/>
      <c r="BS847" s="3"/>
      <c r="CC847" s="1"/>
      <c r="CE847" s="1"/>
      <c r="CF847" s="1"/>
      <c r="CJ847" s="1"/>
      <c r="DF847" s="2"/>
    </row>
    <row r="848" spans="1:110">
      <c r="A848" s="1"/>
      <c r="B848" s="4"/>
      <c r="C848" s="1"/>
      <c r="D848" s="1"/>
      <c r="E848" s="1"/>
      <c r="F848" s="1"/>
      <c r="G848" s="1"/>
      <c r="H848" s="2"/>
      <c r="I848" s="1"/>
      <c r="J848" s="1"/>
      <c r="K848" s="5"/>
      <c r="L848" s="6"/>
      <c r="Q848" s="5"/>
      <c r="R848" s="6"/>
      <c r="X848" s="2"/>
      <c r="Y848" s="1"/>
      <c r="AF848" s="2"/>
      <c r="AG848" s="1"/>
      <c r="BG848" s="1"/>
      <c r="BS848" s="3"/>
      <c r="CC848" s="1"/>
      <c r="CE848" s="1"/>
      <c r="CF848" s="1"/>
      <c r="CJ848" s="1"/>
      <c r="DF848" s="2"/>
    </row>
    <row r="849" spans="1:110">
      <c r="A849" s="1"/>
      <c r="B849" s="4"/>
      <c r="C849" s="1"/>
      <c r="D849" s="1"/>
      <c r="E849" s="1"/>
      <c r="F849" s="1"/>
      <c r="G849" s="1"/>
      <c r="H849" s="2"/>
      <c r="I849" s="1"/>
      <c r="J849" s="1"/>
      <c r="K849" s="5"/>
      <c r="L849" s="6"/>
      <c r="Q849" s="5"/>
      <c r="R849" s="6"/>
      <c r="X849" s="2"/>
      <c r="Y849" s="1"/>
      <c r="AF849" s="2"/>
      <c r="AG849" s="1"/>
      <c r="BG849" s="1"/>
      <c r="BS849" s="3"/>
      <c r="CC849" s="1"/>
      <c r="CE849" s="1"/>
      <c r="CF849" s="1"/>
      <c r="CJ849" s="1"/>
      <c r="DF849" s="2"/>
    </row>
    <row r="850" spans="1:110">
      <c r="A850" s="1"/>
      <c r="B850" s="4"/>
      <c r="C850" s="1"/>
      <c r="D850" s="1"/>
      <c r="E850" s="1"/>
      <c r="F850" s="1"/>
      <c r="G850" s="1"/>
      <c r="H850" s="2"/>
      <c r="I850" s="1"/>
      <c r="J850" s="1"/>
      <c r="K850" s="5"/>
      <c r="L850" s="6"/>
      <c r="Q850" s="5"/>
      <c r="R850" s="6"/>
      <c r="X850" s="2"/>
      <c r="Y850" s="1"/>
      <c r="AF850" s="2"/>
      <c r="AG850" s="1"/>
      <c r="BG850" s="1"/>
      <c r="BS850" s="3"/>
      <c r="CC850" s="1"/>
      <c r="CE850" s="1"/>
      <c r="CF850" s="1"/>
      <c r="CJ850" s="1"/>
      <c r="DF850" s="2"/>
    </row>
    <row r="851" spans="1:110">
      <c r="A851" s="1"/>
      <c r="B851" s="4"/>
      <c r="C851" s="1"/>
      <c r="D851" s="1"/>
      <c r="E851" s="1"/>
      <c r="F851" s="1"/>
      <c r="G851" s="1"/>
      <c r="H851" s="2"/>
      <c r="I851" s="1"/>
      <c r="J851" s="1"/>
      <c r="K851" s="5"/>
      <c r="L851" s="6"/>
      <c r="Q851" s="5"/>
      <c r="R851" s="6"/>
      <c r="X851" s="2"/>
      <c r="Y851" s="1"/>
      <c r="AF851" s="2"/>
      <c r="AG851" s="1"/>
      <c r="BG851" s="1"/>
      <c r="BS851" s="3"/>
      <c r="CC851" s="1"/>
      <c r="CE851" s="1"/>
      <c r="CF851" s="1"/>
      <c r="CJ851" s="1"/>
      <c r="DF851" s="2"/>
    </row>
    <row r="852" spans="1:110">
      <c r="A852" s="1"/>
      <c r="B852" s="4"/>
      <c r="C852" s="1"/>
      <c r="D852" s="1"/>
      <c r="E852" s="1"/>
      <c r="F852" s="1"/>
      <c r="G852" s="1"/>
      <c r="H852" s="2"/>
      <c r="I852" s="1"/>
      <c r="J852" s="1"/>
      <c r="K852" s="5"/>
      <c r="L852" s="6"/>
      <c r="Q852" s="5"/>
      <c r="R852" s="6"/>
      <c r="X852" s="2"/>
      <c r="Y852" s="1"/>
      <c r="AF852" s="2"/>
      <c r="AG852" s="1"/>
      <c r="BG852" s="1"/>
      <c r="BS852" s="3"/>
      <c r="CC852" s="1"/>
      <c r="CE852" s="1"/>
      <c r="CF852" s="1"/>
      <c r="CJ852" s="1"/>
      <c r="DF852" s="2"/>
    </row>
    <row r="853" spans="1:110">
      <c r="A853" s="1"/>
      <c r="B853" s="4"/>
      <c r="C853" s="1"/>
      <c r="D853" s="1"/>
      <c r="E853" s="1"/>
      <c r="F853" s="1"/>
      <c r="G853" s="1"/>
      <c r="H853" s="2"/>
      <c r="I853" s="1"/>
      <c r="J853" s="1"/>
      <c r="K853" s="5"/>
      <c r="L853" s="6"/>
      <c r="Q853" s="5"/>
      <c r="R853" s="6"/>
      <c r="X853" s="2"/>
      <c r="Y853" s="1"/>
      <c r="AF853" s="2"/>
      <c r="AG853" s="1"/>
      <c r="BG853" s="1"/>
      <c r="BS853" s="3"/>
      <c r="CC853" s="1"/>
      <c r="CE853" s="1"/>
      <c r="CF853" s="1"/>
      <c r="CJ853" s="1"/>
      <c r="DF853" s="2"/>
    </row>
    <row r="854" spans="1:110">
      <c r="A854" s="1"/>
      <c r="B854" s="4"/>
      <c r="C854" s="1"/>
      <c r="D854" s="1"/>
      <c r="E854" s="1"/>
      <c r="F854" s="1"/>
      <c r="G854" s="1"/>
      <c r="H854" s="2"/>
      <c r="I854" s="1"/>
      <c r="J854" s="1"/>
      <c r="K854" s="5"/>
      <c r="L854" s="6"/>
      <c r="Q854" s="5"/>
      <c r="R854" s="6"/>
      <c r="X854" s="2"/>
      <c r="Y854" s="1"/>
      <c r="AF854" s="2"/>
      <c r="AG854" s="1"/>
      <c r="BG854" s="1"/>
      <c r="BS854" s="3"/>
      <c r="CC854" s="1"/>
      <c r="CE854" s="1"/>
      <c r="CF854" s="1"/>
      <c r="CJ854" s="1"/>
      <c r="DF854" s="2"/>
    </row>
    <row r="855" spans="1:110">
      <c r="A855" s="1"/>
      <c r="B855" s="4"/>
      <c r="C855" s="1"/>
      <c r="D855" s="1"/>
      <c r="E855" s="1"/>
      <c r="F855" s="1"/>
      <c r="G855" s="1"/>
      <c r="H855" s="2"/>
      <c r="I855" s="1"/>
      <c r="J855" s="1"/>
      <c r="K855" s="5"/>
      <c r="L855" s="6"/>
      <c r="Q855" s="5"/>
      <c r="R855" s="6"/>
      <c r="X855" s="2"/>
      <c r="Y855" s="1"/>
      <c r="AF855" s="2"/>
      <c r="AG855" s="1"/>
      <c r="BG855" s="1"/>
      <c r="BS855" s="3"/>
      <c r="CC855" s="1"/>
      <c r="CE855" s="1"/>
      <c r="CF855" s="1"/>
      <c r="CJ855" s="1"/>
      <c r="DF855" s="2"/>
    </row>
    <row r="856" spans="1:110">
      <c r="A856" s="1"/>
      <c r="B856" s="4"/>
      <c r="C856" s="1"/>
      <c r="D856" s="1"/>
      <c r="E856" s="1"/>
      <c r="F856" s="1"/>
      <c r="G856" s="1"/>
      <c r="H856" s="2"/>
      <c r="I856" s="1"/>
      <c r="J856" s="1"/>
      <c r="K856" s="5"/>
      <c r="L856" s="6"/>
      <c r="Q856" s="5"/>
      <c r="R856" s="6"/>
      <c r="X856" s="2"/>
      <c r="Y856" s="1"/>
      <c r="AF856" s="2"/>
      <c r="AG856" s="1"/>
      <c r="BG856" s="1"/>
      <c r="BS856" s="3"/>
      <c r="CC856" s="1"/>
      <c r="CE856" s="1"/>
      <c r="CF856" s="1"/>
      <c r="CJ856" s="1"/>
      <c r="DF856" s="2"/>
    </row>
    <row r="857" spans="1:110">
      <c r="A857" s="1"/>
      <c r="B857" s="4"/>
      <c r="C857" s="1"/>
      <c r="D857" s="1"/>
      <c r="E857" s="1"/>
      <c r="F857" s="1"/>
      <c r="G857" s="1"/>
      <c r="H857" s="2"/>
      <c r="I857" s="1"/>
      <c r="J857" s="1"/>
      <c r="K857" s="5"/>
      <c r="L857" s="6"/>
      <c r="Q857" s="5"/>
      <c r="R857" s="6"/>
      <c r="X857" s="2"/>
      <c r="Y857" s="1"/>
      <c r="AF857" s="2"/>
      <c r="AG857" s="1"/>
      <c r="BG857" s="1"/>
      <c r="BS857" s="3"/>
      <c r="CC857" s="1"/>
      <c r="CE857" s="1"/>
      <c r="CF857" s="1"/>
      <c r="CJ857" s="1"/>
      <c r="DF857" s="2"/>
    </row>
    <row r="858" spans="1:110">
      <c r="A858" s="1"/>
      <c r="B858" s="4"/>
      <c r="C858" s="1"/>
      <c r="D858" s="1"/>
      <c r="E858" s="1"/>
      <c r="F858" s="1"/>
      <c r="G858" s="1"/>
      <c r="H858" s="2"/>
      <c r="I858" s="1"/>
      <c r="J858" s="1"/>
      <c r="K858" s="5"/>
      <c r="L858" s="6"/>
      <c r="Q858" s="5"/>
      <c r="R858" s="6"/>
      <c r="X858" s="2"/>
      <c r="Y858" s="1"/>
      <c r="AF858" s="2"/>
      <c r="AG858" s="1"/>
      <c r="BG858" s="1"/>
      <c r="BS858" s="3"/>
      <c r="CC858" s="1"/>
      <c r="CE858" s="1"/>
      <c r="CF858" s="1"/>
      <c r="CJ858" s="1"/>
      <c r="DF858" s="2"/>
    </row>
    <row r="859" spans="1:110">
      <c r="A859" s="1"/>
      <c r="B859" s="4"/>
      <c r="C859" s="1"/>
      <c r="D859" s="1"/>
      <c r="E859" s="1"/>
      <c r="F859" s="1"/>
      <c r="G859" s="1"/>
      <c r="H859" s="2"/>
      <c r="I859" s="1"/>
      <c r="J859" s="1"/>
      <c r="K859" s="5"/>
      <c r="L859" s="6"/>
      <c r="Q859" s="5"/>
      <c r="R859" s="6"/>
      <c r="X859" s="2"/>
      <c r="Y859" s="1"/>
      <c r="AF859" s="2"/>
      <c r="AG859" s="1"/>
      <c r="BG859" s="1"/>
      <c r="BS859" s="3"/>
      <c r="CC859" s="1"/>
      <c r="CE859" s="1"/>
      <c r="CF859" s="1"/>
      <c r="CJ859" s="1"/>
      <c r="DF859" s="2"/>
    </row>
    <row r="860" spans="1:110">
      <c r="A860" s="1"/>
      <c r="B860" s="4"/>
      <c r="C860" s="1"/>
      <c r="D860" s="1"/>
      <c r="E860" s="1"/>
      <c r="F860" s="1"/>
      <c r="G860" s="1"/>
      <c r="H860" s="2"/>
      <c r="I860" s="1"/>
      <c r="J860" s="1"/>
      <c r="K860" s="5"/>
      <c r="L860" s="6"/>
      <c r="Q860" s="5"/>
      <c r="R860" s="6"/>
      <c r="X860" s="2"/>
      <c r="Y860" s="1"/>
      <c r="AF860" s="2"/>
      <c r="AG860" s="1"/>
      <c r="BG860" s="1"/>
      <c r="BS860" s="3"/>
      <c r="CC860" s="1"/>
      <c r="CE860" s="1"/>
      <c r="CF860" s="1"/>
      <c r="CJ860" s="1"/>
      <c r="DF860" s="2"/>
    </row>
    <row r="861" spans="1:110">
      <c r="A861" s="1"/>
      <c r="B861" s="4"/>
      <c r="C861" s="1"/>
      <c r="D861" s="1"/>
      <c r="E861" s="1"/>
      <c r="F861" s="1"/>
      <c r="G861" s="1"/>
      <c r="H861" s="2"/>
      <c r="I861" s="1"/>
      <c r="J861" s="1"/>
      <c r="K861" s="5"/>
      <c r="L861" s="6"/>
      <c r="Q861" s="5"/>
      <c r="R861" s="6"/>
      <c r="X861" s="2"/>
      <c r="Y861" s="1"/>
      <c r="AF861" s="2"/>
      <c r="AG861" s="1"/>
      <c r="BG861" s="1"/>
      <c r="BS861" s="3"/>
      <c r="CC861" s="1"/>
      <c r="CE861" s="1"/>
      <c r="CF861" s="1"/>
      <c r="CJ861" s="1"/>
      <c r="DF861" s="2"/>
    </row>
    <row r="862" spans="1:110">
      <c r="A862" s="1"/>
      <c r="B862" s="4"/>
      <c r="C862" s="1"/>
      <c r="D862" s="1"/>
      <c r="E862" s="1"/>
      <c r="F862" s="1"/>
      <c r="G862" s="1"/>
      <c r="H862" s="2"/>
      <c r="I862" s="1"/>
      <c r="J862" s="1"/>
      <c r="K862" s="5"/>
      <c r="L862" s="6"/>
      <c r="Q862" s="5"/>
      <c r="R862" s="6"/>
      <c r="X862" s="2"/>
      <c r="Y862" s="1"/>
      <c r="AF862" s="2"/>
      <c r="AG862" s="1"/>
      <c r="BG862" s="1"/>
      <c r="BS862" s="3"/>
      <c r="CC862" s="1"/>
      <c r="CE862" s="1"/>
      <c r="CF862" s="1"/>
      <c r="CJ862" s="1"/>
      <c r="DF862" s="2"/>
    </row>
    <row r="863" spans="1:110">
      <c r="A863" s="1"/>
      <c r="B863" s="4"/>
      <c r="C863" s="1"/>
      <c r="D863" s="1"/>
      <c r="E863" s="1"/>
      <c r="F863" s="1"/>
      <c r="G863" s="1"/>
      <c r="H863" s="2"/>
      <c r="I863" s="1"/>
      <c r="J863" s="1"/>
      <c r="K863" s="5"/>
      <c r="L863" s="6"/>
      <c r="Q863" s="5"/>
      <c r="R863" s="6"/>
      <c r="X863" s="2"/>
      <c r="Y863" s="1"/>
      <c r="AF863" s="2"/>
      <c r="AG863" s="1"/>
      <c r="BG863" s="1"/>
      <c r="BS863" s="3"/>
      <c r="CC863" s="1"/>
      <c r="CE863" s="1"/>
      <c r="CF863" s="1"/>
      <c r="CJ863" s="1"/>
      <c r="DF863" s="2"/>
    </row>
    <row r="864" spans="1:110">
      <c r="A864" s="1"/>
      <c r="B864" s="4"/>
      <c r="C864" s="1"/>
      <c r="D864" s="1"/>
      <c r="E864" s="1"/>
      <c r="F864" s="1"/>
      <c r="G864" s="1"/>
      <c r="H864" s="2"/>
      <c r="I864" s="1"/>
      <c r="J864" s="1"/>
      <c r="K864" s="5"/>
      <c r="L864" s="6"/>
      <c r="Q864" s="5"/>
      <c r="R864" s="6"/>
      <c r="X864" s="2"/>
      <c r="Y864" s="1"/>
      <c r="AF864" s="2"/>
      <c r="AG864" s="1"/>
      <c r="BG864" s="1"/>
      <c r="BS864" s="3"/>
      <c r="CC864" s="1"/>
      <c r="CE864" s="1"/>
      <c r="CF864" s="1"/>
      <c r="CJ864" s="1"/>
      <c r="DF864" s="2"/>
    </row>
    <row r="865" spans="1:110">
      <c r="A865" s="1"/>
      <c r="B865" s="4"/>
      <c r="C865" s="1"/>
      <c r="D865" s="1"/>
      <c r="E865" s="1"/>
      <c r="F865" s="1"/>
      <c r="G865" s="1"/>
      <c r="H865" s="2"/>
      <c r="I865" s="1"/>
      <c r="J865" s="1"/>
      <c r="K865" s="5"/>
      <c r="L865" s="6"/>
      <c r="Q865" s="5"/>
      <c r="R865" s="6"/>
      <c r="X865" s="2"/>
      <c r="Y865" s="1"/>
      <c r="AF865" s="2"/>
      <c r="AG865" s="1"/>
      <c r="BG865" s="1"/>
      <c r="BS865" s="3"/>
      <c r="CC865" s="1"/>
      <c r="CE865" s="1"/>
      <c r="CF865" s="1"/>
      <c r="CJ865" s="1"/>
      <c r="DF865" s="2"/>
    </row>
    <row r="866" spans="1:110">
      <c r="A866" s="1"/>
      <c r="B866" s="4"/>
      <c r="C866" s="1"/>
      <c r="D866" s="1"/>
      <c r="E866" s="1"/>
      <c r="F866" s="1"/>
      <c r="G866" s="1"/>
      <c r="H866" s="2"/>
      <c r="I866" s="1"/>
      <c r="J866" s="1"/>
      <c r="K866" s="5"/>
      <c r="L866" s="6"/>
      <c r="Q866" s="5"/>
      <c r="R866" s="6"/>
      <c r="X866" s="2"/>
      <c r="Y866" s="1"/>
      <c r="AF866" s="2"/>
      <c r="AG866" s="1"/>
      <c r="BG866" s="1"/>
      <c r="BS866" s="3"/>
      <c r="CC866" s="1"/>
      <c r="CE866" s="1"/>
      <c r="CF866" s="1"/>
      <c r="CJ866" s="1"/>
      <c r="DF866" s="2"/>
    </row>
    <row r="867" spans="1:110">
      <c r="A867" s="1"/>
      <c r="B867" s="4"/>
      <c r="C867" s="1"/>
      <c r="D867" s="1"/>
      <c r="E867" s="1"/>
      <c r="F867" s="1"/>
      <c r="G867" s="1"/>
      <c r="H867" s="2"/>
      <c r="I867" s="1"/>
      <c r="J867" s="1"/>
      <c r="K867" s="5"/>
      <c r="L867" s="6"/>
      <c r="Q867" s="5"/>
      <c r="R867" s="6"/>
      <c r="X867" s="2"/>
      <c r="Y867" s="1"/>
      <c r="AF867" s="2"/>
      <c r="AG867" s="1"/>
      <c r="BG867" s="1"/>
      <c r="BS867" s="3"/>
      <c r="CC867" s="1"/>
      <c r="CE867" s="1"/>
      <c r="CF867" s="1"/>
      <c r="CJ867" s="1"/>
      <c r="DF867" s="2"/>
    </row>
    <row r="868" spans="1:110">
      <c r="A868" s="1"/>
      <c r="B868" s="4"/>
      <c r="C868" s="1"/>
      <c r="D868" s="1"/>
      <c r="E868" s="1"/>
      <c r="F868" s="1"/>
      <c r="G868" s="1"/>
      <c r="H868" s="2"/>
      <c r="I868" s="1"/>
      <c r="J868" s="1"/>
      <c r="K868" s="5"/>
      <c r="L868" s="6"/>
      <c r="Q868" s="5"/>
      <c r="R868" s="6"/>
      <c r="X868" s="2"/>
      <c r="Y868" s="1"/>
      <c r="AF868" s="2"/>
      <c r="AG868" s="1"/>
      <c r="BG868" s="1"/>
      <c r="BS868" s="3"/>
      <c r="CC868" s="1"/>
      <c r="CE868" s="1"/>
      <c r="CF868" s="1"/>
      <c r="CJ868" s="1"/>
      <c r="DF868" s="2"/>
    </row>
    <row r="869" spans="1:110">
      <c r="A869" s="1"/>
      <c r="B869" s="4"/>
      <c r="C869" s="1"/>
      <c r="D869" s="1"/>
      <c r="E869" s="1"/>
      <c r="F869" s="1"/>
      <c r="G869" s="1"/>
      <c r="H869" s="2"/>
      <c r="I869" s="1"/>
      <c r="J869" s="1"/>
      <c r="K869" s="5"/>
      <c r="L869" s="6"/>
      <c r="Q869" s="5"/>
      <c r="R869" s="6"/>
      <c r="X869" s="2"/>
      <c r="Y869" s="1"/>
      <c r="AF869" s="2"/>
      <c r="AG869" s="1"/>
      <c r="BG869" s="1"/>
      <c r="BS869" s="3"/>
      <c r="CC869" s="1"/>
      <c r="CE869" s="1"/>
      <c r="CF869" s="1"/>
      <c r="CJ869" s="1"/>
      <c r="DF869" s="2"/>
    </row>
    <row r="870" spans="1:110">
      <c r="A870" s="1"/>
      <c r="B870" s="4"/>
      <c r="C870" s="1"/>
      <c r="D870" s="1"/>
      <c r="E870" s="1"/>
      <c r="F870" s="1"/>
      <c r="G870" s="1"/>
      <c r="H870" s="2"/>
      <c r="I870" s="1"/>
      <c r="J870" s="1"/>
      <c r="K870" s="5"/>
      <c r="L870" s="6"/>
      <c r="Q870" s="5"/>
      <c r="R870" s="6"/>
      <c r="X870" s="2"/>
      <c r="Y870" s="1"/>
      <c r="AF870" s="2"/>
      <c r="AG870" s="1"/>
      <c r="BG870" s="1"/>
      <c r="BS870" s="3"/>
      <c r="CC870" s="1"/>
      <c r="CE870" s="1"/>
      <c r="CF870" s="1"/>
      <c r="CJ870" s="1"/>
      <c r="DF870" s="2"/>
    </row>
    <row r="871" spans="1:110">
      <c r="A871" s="1"/>
      <c r="B871" s="4"/>
      <c r="C871" s="1"/>
      <c r="D871" s="1"/>
      <c r="E871" s="1"/>
      <c r="F871" s="1"/>
      <c r="G871" s="1"/>
      <c r="H871" s="2"/>
      <c r="I871" s="1"/>
      <c r="J871" s="1"/>
      <c r="K871" s="5"/>
      <c r="L871" s="6"/>
      <c r="Q871" s="5"/>
      <c r="R871" s="6"/>
      <c r="X871" s="2"/>
      <c r="Y871" s="1"/>
      <c r="AF871" s="2"/>
      <c r="AG871" s="1"/>
      <c r="BG871" s="1"/>
      <c r="BS871" s="3"/>
      <c r="CC871" s="1"/>
      <c r="CE871" s="1"/>
      <c r="CF871" s="1"/>
      <c r="CJ871" s="1"/>
      <c r="DF871" s="2"/>
    </row>
    <row r="872" spans="1:110">
      <c r="A872" s="1"/>
      <c r="B872" s="4"/>
      <c r="C872" s="1"/>
      <c r="D872" s="1"/>
      <c r="E872" s="1"/>
      <c r="F872" s="1"/>
      <c r="G872" s="1"/>
      <c r="H872" s="2"/>
      <c r="I872" s="1"/>
      <c r="J872" s="1"/>
      <c r="K872" s="5"/>
      <c r="L872" s="6"/>
      <c r="Q872" s="5"/>
      <c r="R872" s="6"/>
      <c r="X872" s="2"/>
      <c r="Y872" s="1"/>
      <c r="AF872" s="2"/>
      <c r="AG872" s="1"/>
      <c r="BG872" s="1"/>
      <c r="BS872" s="3"/>
      <c r="CC872" s="1"/>
      <c r="CE872" s="1"/>
      <c r="CF872" s="1"/>
      <c r="CJ872" s="1"/>
      <c r="DF872" s="2"/>
    </row>
    <row r="873" spans="1:110">
      <c r="A873" s="1"/>
      <c r="B873" s="4"/>
      <c r="C873" s="1"/>
      <c r="D873" s="1"/>
      <c r="E873" s="1"/>
      <c r="F873" s="1"/>
      <c r="G873" s="1"/>
      <c r="H873" s="2"/>
      <c r="I873" s="1"/>
      <c r="J873" s="1"/>
      <c r="K873" s="5"/>
      <c r="L873" s="6"/>
      <c r="Q873" s="5"/>
      <c r="R873" s="6"/>
      <c r="X873" s="2"/>
      <c r="Y873" s="1"/>
      <c r="AF873" s="2"/>
      <c r="AG873" s="1"/>
      <c r="BG873" s="1"/>
      <c r="BS873" s="3"/>
      <c r="CC873" s="1"/>
      <c r="CE873" s="1"/>
      <c r="CF873" s="1"/>
      <c r="CJ873" s="1"/>
      <c r="DF873" s="2"/>
    </row>
    <row r="874" spans="1:110">
      <c r="A874" s="1"/>
      <c r="B874" s="4"/>
      <c r="C874" s="1"/>
      <c r="D874" s="1"/>
      <c r="E874" s="1"/>
      <c r="F874" s="1"/>
      <c r="G874" s="1"/>
      <c r="H874" s="2"/>
      <c r="I874" s="1"/>
      <c r="J874" s="1"/>
      <c r="K874" s="5"/>
      <c r="L874" s="6"/>
      <c r="Q874" s="5"/>
      <c r="R874" s="6"/>
      <c r="X874" s="2"/>
      <c r="Y874" s="1"/>
      <c r="AF874" s="2"/>
      <c r="AG874" s="1"/>
      <c r="BG874" s="1"/>
      <c r="BS874" s="3"/>
      <c r="CC874" s="1"/>
      <c r="CE874" s="1"/>
      <c r="CF874" s="1"/>
      <c r="CJ874" s="1"/>
      <c r="DF874" s="2"/>
    </row>
    <row r="875" spans="1:110">
      <c r="A875" s="1"/>
      <c r="B875" s="4"/>
      <c r="C875" s="1"/>
      <c r="D875" s="1"/>
      <c r="E875" s="1"/>
      <c r="F875" s="1"/>
      <c r="G875" s="1"/>
      <c r="H875" s="2"/>
      <c r="I875" s="1"/>
      <c r="J875" s="1"/>
      <c r="K875" s="5"/>
      <c r="L875" s="6"/>
      <c r="Q875" s="5"/>
      <c r="R875" s="6"/>
      <c r="X875" s="2"/>
      <c r="Y875" s="1"/>
      <c r="AF875" s="2"/>
      <c r="AG875" s="1"/>
      <c r="BG875" s="1"/>
      <c r="BS875" s="3"/>
      <c r="CC875" s="1"/>
      <c r="CE875" s="1"/>
      <c r="CF875" s="1"/>
      <c r="CJ875" s="1"/>
      <c r="DF875" s="2"/>
    </row>
    <row r="876" spans="1:110">
      <c r="A876" s="1"/>
      <c r="B876" s="4"/>
      <c r="C876" s="1"/>
      <c r="D876" s="1"/>
      <c r="E876" s="1"/>
      <c r="F876" s="1"/>
      <c r="G876" s="1"/>
      <c r="H876" s="2"/>
      <c r="I876" s="1"/>
      <c r="J876" s="1"/>
      <c r="K876" s="5"/>
      <c r="L876" s="6"/>
      <c r="Q876" s="5"/>
      <c r="R876" s="6"/>
      <c r="X876" s="2"/>
      <c r="Y876" s="1"/>
      <c r="AF876" s="2"/>
      <c r="AG876" s="1"/>
      <c r="BG876" s="1"/>
      <c r="BS876" s="3"/>
      <c r="CC876" s="1"/>
      <c r="CE876" s="1"/>
      <c r="CF876" s="1"/>
      <c r="CJ876" s="1"/>
      <c r="DF876" s="2"/>
    </row>
    <row r="877" spans="1:110">
      <c r="A877" s="1"/>
      <c r="B877" s="4"/>
      <c r="C877" s="1"/>
      <c r="D877" s="1"/>
      <c r="E877" s="1"/>
      <c r="F877" s="1"/>
      <c r="G877" s="1"/>
      <c r="H877" s="2"/>
      <c r="I877" s="1"/>
      <c r="J877" s="1"/>
      <c r="K877" s="5"/>
      <c r="L877" s="6"/>
      <c r="Q877" s="5"/>
      <c r="R877" s="6"/>
      <c r="X877" s="2"/>
      <c r="Y877" s="1"/>
      <c r="AF877" s="2"/>
      <c r="AG877" s="1"/>
      <c r="BG877" s="1"/>
      <c r="BS877" s="3"/>
      <c r="CC877" s="1"/>
      <c r="CE877" s="1"/>
      <c r="CF877" s="1"/>
      <c r="CJ877" s="1"/>
      <c r="DF877" s="2"/>
    </row>
    <row r="878" spans="1:110">
      <c r="A878" s="1"/>
      <c r="B878" s="4"/>
      <c r="C878" s="1"/>
      <c r="D878" s="1"/>
      <c r="E878" s="1"/>
      <c r="F878" s="1"/>
      <c r="G878" s="1"/>
      <c r="H878" s="2"/>
      <c r="I878" s="1"/>
      <c r="J878" s="1"/>
      <c r="K878" s="5"/>
      <c r="L878" s="6"/>
      <c r="Q878" s="5"/>
      <c r="R878" s="6"/>
      <c r="X878" s="2"/>
      <c r="Y878" s="1"/>
      <c r="AF878" s="2"/>
      <c r="AG878" s="1"/>
      <c r="BG878" s="1"/>
      <c r="BS878" s="3"/>
      <c r="CC878" s="1"/>
      <c r="CE878" s="1"/>
      <c r="CF878" s="1"/>
      <c r="CJ878" s="1"/>
      <c r="DF878" s="2"/>
    </row>
    <row r="879" spans="1:110">
      <c r="A879" s="1"/>
      <c r="B879" s="4"/>
      <c r="C879" s="1"/>
      <c r="D879" s="1"/>
      <c r="E879" s="1"/>
      <c r="F879" s="1"/>
      <c r="G879" s="1"/>
      <c r="H879" s="2"/>
      <c r="I879" s="1"/>
      <c r="J879" s="1"/>
      <c r="K879" s="5"/>
      <c r="L879" s="6"/>
      <c r="Q879" s="5"/>
      <c r="R879" s="6"/>
      <c r="X879" s="2"/>
      <c r="Y879" s="1"/>
      <c r="AF879" s="2"/>
      <c r="AG879" s="1"/>
      <c r="BG879" s="1"/>
      <c r="BS879" s="3"/>
      <c r="CC879" s="1"/>
      <c r="CE879" s="1"/>
      <c r="CF879" s="1"/>
      <c r="CJ879" s="1"/>
      <c r="DF879" s="2"/>
    </row>
    <row r="880" spans="1:110">
      <c r="A880" s="1"/>
      <c r="B880" s="4"/>
      <c r="C880" s="1"/>
      <c r="D880" s="1"/>
      <c r="E880" s="1"/>
      <c r="F880" s="1"/>
      <c r="G880" s="1"/>
      <c r="H880" s="2"/>
      <c r="I880" s="1"/>
      <c r="J880" s="1"/>
      <c r="K880" s="5"/>
      <c r="L880" s="6"/>
      <c r="Q880" s="5"/>
      <c r="R880" s="6"/>
      <c r="X880" s="2"/>
      <c r="Y880" s="1"/>
      <c r="AF880" s="2"/>
      <c r="AG880" s="1"/>
      <c r="BG880" s="1"/>
      <c r="BS880" s="3"/>
      <c r="CC880" s="1"/>
      <c r="CE880" s="1"/>
      <c r="CF880" s="1"/>
      <c r="CJ880" s="1"/>
      <c r="DF880" s="2"/>
    </row>
    <row r="881" spans="1:110">
      <c r="A881" s="1"/>
      <c r="B881" s="4"/>
      <c r="C881" s="1"/>
      <c r="D881" s="1"/>
      <c r="E881" s="1"/>
      <c r="F881" s="1"/>
      <c r="G881" s="1"/>
      <c r="H881" s="2"/>
      <c r="I881" s="1"/>
      <c r="J881" s="1"/>
      <c r="K881" s="5"/>
      <c r="L881" s="6"/>
      <c r="Q881" s="5"/>
      <c r="R881" s="6"/>
      <c r="X881" s="2"/>
      <c r="Y881" s="1"/>
      <c r="AF881" s="2"/>
      <c r="AG881" s="1"/>
      <c r="BG881" s="1"/>
      <c r="BS881" s="3"/>
      <c r="CC881" s="1"/>
      <c r="CE881" s="1"/>
      <c r="CF881" s="1"/>
      <c r="CJ881" s="1"/>
      <c r="DF881" s="2"/>
    </row>
    <row r="882" spans="1:110">
      <c r="A882" s="1"/>
      <c r="B882" s="4"/>
      <c r="C882" s="1"/>
      <c r="D882" s="1"/>
      <c r="E882" s="1"/>
      <c r="F882" s="1"/>
      <c r="G882" s="1"/>
      <c r="H882" s="2"/>
      <c r="I882" s="1"/>
      <c r="J882" s="1"/>
      <c r="K882" s="5"/>
      <c r="L882" s="6"/>
      <c r="Q882" s="5"/>
      <c r="R882" s="6"/>
      <c r="X882" s="2"/>
      <c r="Y882" s="1"/>
      <c r="AF882" s="2"/>
      <c r="AG882" s="1"/>
      <c r="BG882" s="1"/>
      <c r="BS882" s="3"/>
      <c r="CC882" s="1"/>
      <c r="CE882" s="1"/>
      <c r="CF882" s="1"/>
      <c r="CJ882" s="1"/>
      <c r="DF882" s="2"/>
    </row>
    <row r="883" spans="1:110">
      <c r="A883" s="1"/>
      <c r="B883" s="4"/>
      <c r="C883" s="1"/>
      <c r="D883" s="1"/>
      <c r="E883" s="1"/>
      <c r="F883" s="1"/>
      <c r="G883" s="1"/>
      <c r="H883" s="2"/>
      <c r="I883" s="1"/>
      <c r="J883" s="1"/>
      <c r="K883" s="5"/>
      <c r="L883" s="6"/>
      <c r="Q883" s="5"/>
      <c r="R883" s="6"/>
      <c r="X883" s="2"/>
      <c r="Y883" s="1"/>
      <c r="AF883" s="2"/>
      <c r="AG883" s="1"/>
      <c r="BG883" s="1"/>
      <c r="BS883" s="3"/>
      <c r="CC883" s="1"/>
      <c r="CE883" s="1"/>
      <c r="CF883" s="1"/>
      <c r="CJ883" s="1"/>
      <c r="DF883" s="2"/>
    </row>
    <row r="884" spans="1:110">
      <c r="A884" s="1"/>
      <c r="B884" s="4"/>
      <c r="C884" s="1"/>
      <c r="D884" s="1"/>
      <c r="E884" s="1"/>
      <c r="F884" s="1"/>
      <c r="G884" s="1"/>
      <c r="H884" s="2"/>
      <c r="I884" s="1"/>
      <c r="J884" s="1"/>
      <c r="K884" s="5"/>
      <c r="L884" s="6"/>
      <c r="Q884" s="5"/>
      <c r="R884" s="6"/>
      <c r="X884" s="2"/>
      <c r="Y884" s="1"/>
      <c r="AF884" s="2"/>
      <c r="AG884" s="1"/>
      <c r="BG884" s="1"/>
      <c r="BS884" s="3"/>
      <c r="CC884" s="1"/>
      <c r="CE884" s="1"/>
      <c r="CF884" s="1"/>
      <c r="CJ884" s="1"/>
      <c r="DF884" s="2"/>
    </row>
    <row r="885" spans="1:110">
      <c r="A885" s="1"/>
      <c r="B885" s="4"/>
      <c r="C885" s="1"/>
      <c r="D885" s="1"/>
      <c r="E885" s="1"/>
      <c r="F885" s="1"/>
      <c r="G885" s="1"/>
      <c r="H885" s="2"/>
      <c r="I885" s="1"/>
      <c r="J885" s="1"/>
      <c r="K885" s="5"/>
      <c r="L885" s="6"/>
      <c r="Q885" s="5"/>
      <c r="R885" s="6"/>
      <c r="X885" s="2"/>
      <c r="Y885" s="1"/>
      <c r="AF885" s="2"/>
      <c r="AG885" s="1"/>
      <c r="BG885" s="1"/>
      <c r="BS885" s="3"/>
      <c r="CC885" s="1"/>
      <c r="CE885" s="1"/>
      <c r="CF885" s="1"/>
      <c r="CJ885" s="1"/>
      <c r="DF885" s="2"/>
    </row>
    <row r="886" spans="1:110">
      <c r="A886" s="1"/>
      <c r="B886" s="4"/>
      <c r="C886" s="1"/>
      <c r="D886" s="1"/>
      <c r="E886" s="1"/>
      <c r="F886" s="1"/>
      <c r="G886" s="1"/>
      <c r="H886" s="2"/>
      <c r="I886" s="1"/>
      <c r="J886" s="1"/>
      <c r="K886" s="5"/>
      <c r="L886" s="6"/>
      <c r="Q886" s="5"/>
      <c r="R886" s="6"/>
      <c r="X886" s="2"/>
      <c r="Y886" s="1"/>
      <c r="AF886" s="2"/>
      <c r="AG886" s="1"/>
      <c r="BG886" s="1"/>
      <c r="BS886" s="3"/>
      <c r="CC886" s="1"/>
      <c r="CE886" s="1"/>
      <c r="CF886" s="1"/>
      <c r="CJ886" s="1"/>
      <c r="DF886" s="2"/>
    </row>
    <row r="887" spans="1:110">
      <c r="A887" s="1"/>
      <c r="B887" s="4"/>
      <c r="C887" s="1"/>
      <c r="D887" s="1"/>
      <c r="E887" s="1"/>
      <c r="F887" s="1"/>
      <c r="G887" s="1"/>
      <c r="H887" s="2"/>
      <c r="I887" s="1"/>
      <c r="J887" s="1"/>
      <c r="K887" s="5"/>
      <c r="L887" s="6"/>
      <c r="Q887" s="5"/>
      <c r="R887" s="6"/>
      <c r="X887" s="2"/>
      <c r="Y887" s="1"/>
      <c r="AF887" s="2"/>
      <c r="AG887" s="1"/>
      <c r="BG887" s="1"/>
      <c r="BS887" s="3"/>
      <c r="CC887" s="1"/>
      <c r="CE887" s="1"/>
      <c r="CF887" s="1"/>
      <c r="CJ887" s="1"/>
      <c r="DF887" s="2"/>
    </row>
    <row r="888" spans="1:110">
      <c r="A888" s="1"/>
      <c r="B888" s="4"/>
      <c r="C888" s="1"/>
      <c r="D888" s="1"/>
      <c r="E888" s="1"/>
      <c r="F888" s="1"/>
      <c r="G888" s="1"/>
      <c r="H888" s="2"/>
      <c r="I888" s="1"/>
      <c r="J888" s="1"/>
      <c r="K888" s="5"/>
      <c r="L888" s="6"/>
      <c r="Q888" s="5"/>
      <c r="R888" s="6"/>
      <c r="X888" s="2"/>
      <c r="Y888" s="1"/>
      <c r="AF888" s="2"/>
      <c r="AG888" s="1"/>
      <c r="BG888" s="1"/>
      <c r="BS888" s="3"/>
      <c r="CC888" s="1"/>
      <c r="CE888" s="1"/>
      <c r="CF888" s="1"/>
      <c r="CJ888" s="1"/>
      <c r="DF888" s="2"/>
    </row>
    <row r="889" spans="1:110">
      <c r="A889" s="1"/>
      <c r="B889" s="4"/>
      <c r="C889" s="1"/>
      <c r="D889" s="1"/>
      <c r="E889" s="1"/>
      <c r="F889" s="1"/>
      <c r="G889" s="1"/>
      <c r="H889" s="2"/>
      <c r="I889" s="1"/>
      <c r="J889" s="1"/>
      <c r="K889" s="5"/>
      <c r="L889" s="6"/>
      <c r="Q889" s="5"/>
      <c r="R889" s="6"/>
      <c r="X889" s="2"/>
      <c r="Y889" s="1"/>
      <c r="AF889" s="2"/>
      <c r="AG889" s="1"/>
      <c r="BG889" s="1"/>
      <c r="BS889" s="3"/>
      <c r="CC889" s="1"/>
      <c r="CE889" s="1"/>
      <c r="CF889" s="1"/>
      <c r="CJ889" s="1"/>
      <c r="DF889" s="2"/>
    </row>
    <row r="890" spans="1:110">
      <c r="A890" s="1"/>
      <c r="B890" s="4"/>
      <c r="C890" s="1"/>
      <c r="D890" s="1"/>
      <c r="E890" s="1"/>
      <c r="F890" s="1"/>
      <c r="G890" s="1"/>
      <c r="H890" s="2"/>
      <c r="I890" s="1"/>
      <c r="J890" s="1"/>
      <c r="K890" s="5"/>
      <c r="L890" s="6"/>
      <c r="Q890" s="5"/>
      <c r="R890" s="6"/>
      <c r="X890" s="2"/>
      <c r="Y890" s="1"/>
      <c r="AF890" s="2"/>
      <c r="AG890" s="1"/>
      <c r="BG890" s="1"/>
      <c r="BS890" s="3"/>
      <c r="CC890" s="1"/>
      <c r="CE890" s="1"/>
      <c r="CF890" s="1"/>
      <c r="CJ890" s="1"/>
      <c r="DF890" s="2"/>
    </row>
    <row r="891" spans="1:110">
      <c r="A891" s="1"/>
      <c r="B891" s="4"/>
      <c r="C891" s="1"/>
      <c r="D891" s="1"/>
      <c r="E891" s="1"/>
      <c r="F891" s="1"/>
      <c r="G891" s="1"/>
      <c r="H891" s="2"/>
      <c r="I891" s="1"/>
      <c r="J891" s="1"/>
      <c r="K891" s="5"/>
      <c r="L891" s="6"/>
      <c r="Q891" s="5"/>
      <c r="R891" s="6"/>
      <c r="X891" s="2"/>
      <c r="Y891" s="1"/>
      <c r="AF891" s="2"/>
      <c r="AG891" s="1"/>
      <c r="BG891" s="1"/>
      <c r="BS891" s="3"/>
      <c r="CC891" s="1"/>
      <c r="CE891" s="1"/>
      <c r="CF891" s="1"/>
      <c r="CJ891" s="1"/>
      <c r="DF891" s="2"/>
    </row>
    <row r="892" spans="1:110">
      <c r="A892" s="1"/>
      <c r="B892" s="4"/>
      <c r="C892" s="1"/>
      <c r="D892" s="1"/>
      <c r="E892" s="1"/>
      <c r="F892" s="1"/>
      <c r="G892" s="1"/>
      <c r="H892" s="2"/>
      <c r="I892" s="1"/>
      <c r="J892" s="1"/>
      <c r="K892" s="5"/>
      <c r="L892" s="6"/>
      <c r="Q892" s="5"/>
      <c r="R892" s="6"/>
      <c r="X892" s="2"/>
      <c r="Y892" s="1"/>
      <c r="AF892" s="2"/>
      <c r="AG892" s="1"/>
      <c r="BG892" s="1"/>
      <c r="BS892" s="3"/>
      <c r="CC892" s="1"/>
      <c r="CE892" s="1"/>
      <c r="CF892" s="1"/>
      <c r="CJ892" s="1"/>
      <c r="DF892" s="2"/>
    </row>
    <row r="893" spans="1:110">
      <c r="A893" s="1"/>
      <c r="B893" s="4"/>
      <c r="C893" s="1"/>
      <c r="D893" s="1"/>
      <c r="E893" s="1"/>
      <c r="F893" s="1"/>
      <c r="G893" s="1"/>
      <c r="H893" s="2"/>
      <c r="I893" s="1"/>
      <c r="J893" s="1"/>
      <c r="K893" s="5"/>
      <c r="L893" s="6"/>
      <c r="Q893" s="5"/>
      <c r="R893" s="6"/>
      <c r="X893" s="2"/>
      <c r="Y893" s="1"/>
      <c r="AF893" s="2"/>
      <c r="AG893" s="1"/>
      <c r="BG893" s="1"/>
      <c r="BS893" s="3"/>
      <c r="CC893" s="1"/>
      <c r="CE893" s="1"/>
      <c r="CF893" s="1"/>
      <c r="CJ893" s="1"/>
      <c r="DF893" s="2"/>
    </row>
    <row r="894" spans="1:110">
      <c r="A894" s="1"/>
      <c r="B894" s="4"/>
      <c r="C894" s="1"/>
      <c r="D894" s="1"/>
      <c r="E894" s="1"/>
      <c r="F894" s="1"/>
      <c r="G894" s="1"/>
      <c r="H894" s="2"/>
      <c r="I894" s="1"/>
      <c r="J894" s="1"/>
      <c r="K894" s="5"/>
      <c r="L894" s="6"/>
      <c r="Q894" s="5"/>
      <c r="R894" s="6"/>
      <c r="X894" s="2"/>
      <c r="Y894" s="1"/>
      <c r="AF894" s="2"/>
      <c r="AG894" s="1"/>
      <c r="BG894" s="1"/>
      <c r="BS894" s="3"/>
      <c r="CC894" s="1"/>
      <c r="CE894" s="1"/>
      <c r="CF894" s="1"/>
      <c r="CJ894" s="1"/>
      <c r="DF894" s="2"/>
    </row>
    <row r="895" spans="1:110">
      <c r="A895" s="1"/>
      <c r="B895" s="4"/>
      <c r="C895" s="1"/>
      <c r="D895" s="1"/>
      <c r="E895" s="1"/>
      <c r="F895" s="1"/>
      <c r="G895" s="1"/>
      <c r="H895" s="2"/>
      <c r="I895" s="1"/>
      <c r="J895" s="1"/>
      <c r="K895" s="5"/>
      <c r="L895" s="6"/>
      <c r="Q895" s="5"/>
      <c r="R895" s="6"/>
      <c r="X895" s="2"/>
      <c r="Y895" s="1"/>
      <c r="AF895" s="2"/>
      <c r="AG895" s="1"/>
      <c r="BG895" s="1"/>
      <c r="BS895" s="3"/>
      <c r="CC895" s="1"/>
      <c r="CE895" s="1"/>
      <c r="CF895" s="1"/>
      <c r="CJ895" s="1"/>
      <c r="DF895" s="2"/>
    </row>
    <row r="896" spans="1:110">
      <c r="A896" s="1"/>
      <c r="B896" s="4"/>
      <c r="C896" s="1"/>
      <c r="D896" s="1"/>
      <c r="E896" s="1"/>
      <c r="F896" s="1"/>
      <c r="G896" s="1"/>
      <c r="H896" s="2"/>
      <c r="I896" s="1"/>
      <c r="J896" s="1"/>
      <c r="K896" s="5"/>
      <c r="L896" s="6"/>
      <c r="Q896" s="5"/>
      <c r="R896" s="6"/>
      <c r="X896" s="2"/>
      <c r="Y896" s="1"/>
      <c r="AF896" s="2"/>
      <c r="AG896" s="1"/>
      <c r="BG896" s="1"/>
      <c r="BS896" s="3"/>
      <c r="CC896" s="1"/>
      <c r="CE896" s="1"/>
      <c r="CF896" s="1"/>
      <c r="CJ896" s="1"/>
      <c r="DF896" s="2"/>
    </row>
    <row r="897" spans="1:110">
      <c r="A897" s="1"/>
      <c r="B897" s="4"/>
      <c r="C897" s="1"/>
      <c r="D897" s="1"/>
      <c r="E897" s="1"/>
      <c r="F897" s="1"/>
      <c r="G897" s="1"/>
      <c r="H897" s="2"/>
      <c r="I897" s="1"/>
      <c r="J897" s="1"/>
      <c r="K897" s="5"/>
      <c r="L897" s="6"/>
      <c r="Q897" s="5"/>
      <c r="R897" s="6"/>
      <c r="X897" s="2"/>
      <c r="Y897" s="1"/>
      <c r="AF897" s="2"/>
      <c r="AG897" s="1"/>
      <c r="BG897" s="1"/>
      <c r="BS897" s="3"/>
      <c r="CC897" s="1"/>
      <c r="CE897" s="1"/>
      <c r="CF897" s="1"/>
      <c r="CJ897" s="1"/>
      <c r="DF897" s="2"/>
    </row>
    <row r="898" spans="1:110">
      <c r="A898" s="1"/>
      <c r="B898" s="4"/>
      <c r="C898" s="1"/>
      <c r="D898" s="1"/>
      <c r="E898" s="1"/>
      <c r="F898" s="1"/>
      <c r="G898" s="1"/>
      <c r="H898" s="2"/>
      <c r="I898" s="1"/>
      <c r="J898" s="1"/>
      <c r="K898" s="5"/>
      <c r="L898" s="6"/>
      <c r="Q898" s="5"/>
      <c r="R898" s="6"/>
      <c r="X898" s="2"/>
      <c r="Y898" s="1"/>
      <c r="AF898" s="2"/>
      <c r="AG898" s="1"/>
      <c r="BG898" s="1"/>
      <c r="BS898" s="3"/>
      <c r="CC898" s="1"/>
      <c r="CE898" s="1"/>
      <c r="CF898" s="1"/>
      <c r="CJ898" s="1"/>
      <c r="DF898" s="2"/>
    </row>
    <row r="899" spans="1:110">
      <c r="A899" s="1"/>
      <c r="B899" s="4"/>
      <c r="C899" s="1"/>
      <c r="D899" s="1"/>
      <c r="E899" s="1"/>
      <c r="F899" s="1"/>
      <c r="G899" s="1"/>
      <c r="H899" s="2"/>
      <c r="I899" s="1"/>
      <c r="J899" s="1"/>
      <c r="K899" s="5"/>
      <c r="L899" s="6"/>
      <c r="Q899" s="5"/>
      <c r="R899" s="6"/>
      <c r="X899" s="2"/>
      <c r="Y899" s="1"/>
      <c r="AF899" s="2"/>
      <c r="AG899" s="1"/>
      <c r="BG899" s="1"/>
      <c r="BS899" s="3"/>
      <c r="CC899" s="1"/>
      <c r="CE899" s="1"/>
      <c r="CF899" s="1"/>
      <c r="CJ899" s="1"/>
      <c r="DF899" s="2"/>
    </row>
    <row r="900" spans="1:110">
      <c r="A900" s="1"/>
      <c r="B900" s="4"/>
      <c r="C900" s="1"/>
      <c r="D900" s="1"/>
      <c r="E900" s="1"/>
      <c r="F900" s="1"/>
      <c r="G900" s="1"/>
      <c r="H900" s="2"/>
      <c r="I900" s="1"/>
      <c r="J900" s="1"/>
      <c r="K900" s="5"/>
      <c r="L900" s="6"/>
      <c r="Q900" s="5"/>
      <c r="R900" s="6"/>
      <c r="X900" s="2"/>
      <c r="Y900" s="1"/>
      <c r="AF900" s="2"/>
      <c r="AG900" s="1"/>
      <c r="BG900" s="1"/>
      <c r="BS900" s="3"/>
      <c r="CC900" s="1"/>
      <c r="CE900" s="1"/>
      <c r="CF900" s="1"/>
      <c r="CJ900" s="1"/>
      <c r="DF900" s="2"/>
    </row>
    <row r="901" spans="1:110">
      <c r="A901" s="1"/>
      <c r="B901" s="4"/>
      <c r="C901" s="1"/>
      <c r="D901" s="1"/>
      <c r="E901" s="1"/>
      <c r="F901" s="1"/>
      <c r="G901" s="1"/>
      <c r="H901" s="2"/>
      <c r="I901" s="1"/>
      <c r="J901" s="1"/>
      <c r="K901" s="5"/>
      <c r="L901" s="6"/>
      <c r="Q901" s="5"/>
      <c r="R901" s="6"/>
      <c r="X901" s="2"/>
      <c r="Y901" s="1"/>
      <c r="AF901" s="2"/>
      <c r="AG901" s="1"/>
      <c r="BG901" s="1"/>
      <c r="BS901" s="3"/>
      <c r="CC901" s="1"/>
      <c r="CE901" s="1"/>
      <c r="CF901" s="1"/>
      <c r="CJ901" s="1"/>
      <c r="DF901" s="2"/>
    </row>
    <row r="902" spans="1:110">
      <c r="A902" s="1"/>
      <c r="B902" s="4"/>
      <c r="C902" s="1"/>
      <c r="D902" s="1"/>
      <c r="E902" s="1"/>
      <c r="F902" s="1"/>
      <c r="G902" s="1"/>
      <c r="H902" s="2"/>
      <c r="I902" s="1"/>
      <c r="J902" s="1"/>
      <c r="K902" s="5"/>
      <c r="L902" s="6"/>
      <c r="Q902" s="5"/>
      <c r="R902" s="6"/>
      <c r="X902" s="2"/>
      <c r="Y902" s="1"/>
      <c r="AF902" s="2"/>
      <c r="AG902" s="1"/>
      <c r="BG902" s="1"/>
      <c r="BS902" s="3"/>
      <c r="CC902" s="1"/>
      <c r="CE902" s="1"/>
      <c r="CF902" s="1"/>
      <c r="CJ902" s="1"/>
      <c r="DF902" s="2"/>
    </row>
    <row r="903" spans="1:110">
      <c r="A903" s="1"/>
      <c r="B903" s="4"/>
      <c r="C903" s="1"/>
      <c r="D903" s="1"/>
      <c r="E903" s="1"/>
      <c r="F903" s="1"/>
      <c r="G903" s="1"/>
      <c r="H903" s="2"/>
      <c r="I903" s="1"/>
      <c r="J903" s="1"/>
      <c r="K903" s="5"/>
      <c r="L903" s="6"/>
      <c r="Q903" s="5"/>
      <c r="R903" s="6"/>
      <c r="X903" s="2"/>
      <c r="Y903" s="1"/>
      <c r="AF903" s="2"/>
      <c r="AG903" s="1"/>
      <c r="BG903" s="1"/>
      <c r="BS903" s="3"/>
      <c r="CC903" s="1"/>
      <c r="CE903" s="1"/>
      <c r="CF903" s="1"/>
      <c r="CJ903" s="1"/>
      <c r="DF903" s="2"/>
    </row>
    <row r="904" spans="1:110">
      <c r="A904" s="1"/>
      <c r="B904" s="4"/>
      <c r="C904" s="1"/>
      <c r="D904" s="1"/>
      <c r="E904" s="1"/>
      <c r="F904" s="1"/>
      <c r="G904" s="1"/>
      <c r="H904" s="2"/>
      <c r="I904" s="1"/>
      <c r="J904" s="1"/>
      <c r="K904" s="5"/>
      <c r="L904" s="6"/>
      <c r="Q904" s="5"/>
      <c r="R904" s="6"/>
      <c r="X904" s="2"/>
      <c r="Y904" s="1"/>
      <c r="AF904" s="2"/>
      <c r="AG904" s="1"/>
      <c r="BG904" s="1"/>
      <c r="BS904" s="3"/>
      <c r="CC904" s="1"/>
      <c r="CE904" s="1"/>
      <c r="CF904" s="1"/>
      <c r="CJ904" s="1"/>
      <c r="DF904" s="2"/>
    </row>
    <row r="905" spans="1:110">
      <c r="A905" s="1"/>
      <c r="B905" s="4"/>
      <c r="C905" s="1"/>
      <c r="D905" s="1"/>
      <c r="E905" s="1"/>
      <c r="F905" s="1"/>
      <c r="G905" s="1"/>
      <c r="H905" s="2"/>
      <c r="I905" s="1"/>
      <c r="J905" s="1"/>
      <c r="K905" s="5"/>
      <c r="L905" s="6"/>
      <c r="Q905" s="5"/>
      <c r="R905" s="6"/>
      <c r="X905" s="2"/>
      <c r="Y905" s="1"/>
      <c r="AF905" s="2"/>
      <c r="AG905" s="1"/>
      <c r="BG905" s="1"/>
      <c r="BS905" s="3"/>
      <c r="CC905" s="1"/>
      <c r="CE905" s="1"/>
      <c r="CF905" s="1"/>
      <c r="CJ905" s="1"/>
      <c r="DF905" s="2"/>
    </row>
    <row r="906" spans="1:110">
      <c r="A906" s="1"/>
      <c r="B906" s="4"/>
      <c r="C906" s="1"/>
      <c r="D906" s="1"/>
      <c r="E906" s="1"/>
      <c r="F906" s="1"/>
      <c r="G906" s="1"/>
      <c r="H906" s="2"/>
      <c r="I906" s="1"/>
      <c r="J906" s="1"/>
      <c r="K906" s="5"/>
      <c r="L906" s="6"/>
      <c r="Q906" s="5"/>
      <c r="R906" s="6"/>
      <c r="X906" s="2"/>
      <c r="Y906" s="1"/>
      <c r="AF906" s="2"/>
      <c r="AG906" s="1"/>
      <c r="BG906" s="1"/>
      <c r="BS906" s="3"/>
      <c r="CC906" s="1"/>
      <c r="CE906" s="1"/>
      <c r="CF906" s="1"/>
      <c r="CJ906" s="1"/>
      <c r="DF906" s="2"/>
    </row>
    <row r="907" spans="1:110">
      <c r="A907" s="1"/>
      <c r="B907" s="4"/>
      <c r="C907" s="1"/>
      <c r="D907" s="1"/>
      <c r="E907" s="1"/>
      <c r="F907" s="1"/>
      <c r="G907" s="1"/>
      <c r="H907" s="2"/>
      <c r="I907" s="1"/>
      <c r="J907" s="1"/>
      <c r="K907" s="5"/>
      <c r="L907" s="6"/>
      <c r="Q907" s="5"/>
      <c r="R907" s="6"/>
      <c r="X907" s="2"/>
      <c r="Y907" s="1"/>
      <c r="AF907" s="2"/>
      <c r="AG907" s="1"/>
      <c r="BG907" s="1"/>
      <c r="BS907" s="3"/>
      <c r="CC907" s="1"/>
      <c r="CE907" s="1"/>
      <c r="CF907" s="1"/>
      <c r="CJ907" s="1"/>
      <c r="DF907" s="2"/>
    </row>
    <row r="908" spans="1:110">
      <c r="A908" s="1"/>
      <c r="B908" s="4"/>
      <c r="C908" s="1"/>
      <c r="D908" s="1"/>
      <c r="E908" s="1"/>
      <c r="F908" s="1"/>
      <c r="G908" s="1"/>
      <c r="H908" s="2"/>
      <c r="I908" s="1"/>
      <c r="J908" s="1"/>
      <c r="K908" s="5"/>
      <c r="L908" s="6"/>
      <c r="Q908" s="5"/>
      <c r="R908" s="6"/>
      <c r="X908" s="2"/>
      <c r="Y908" s="1"/>
      <c r="AF908" s="2"/>
      <c r="AG908" s="1"/>
      <c r="BG908" s="1"/>
      <c r="BS908" s="3"/>
      <c r="CC908" s="1"/>
      <c r="CE908" s="1"/>
      <c r="CF908" s="1"/>
      <c r="CJ908" s="1"/>
      <c r="DF908" s="2"/>
    </row>
    <row r="909" spans="1:110">
      <c r="A909" s="1"/>
      <c r="B909" s="4"/>
      <c r="C909" s="1"/>
      <c r="D909" s="1"/>
      <c r="E909" s="1"/>
      <c r="F909" s="1"/>
      <c r="G909" s="1"/>
      <c r="H909" s="2"/>
      <c r="I909" s="1"/>
      <c r="J909" s="1"/>
      <c r="K909" s="5"/>
      <c r="L909" s="6"/>
      <c r="Q909" s="5"/>
      <c r="R909" s="6"/>
      <c r="X909" s="2"/>
      <c r="Y909" s="1"/>
      <c r="AF909" s="2"/>
      <c r="AG909" s="1"/>
      <c r="BG909" s="1"/>
      <c r="BS909" s="3"/>
      <c r="CC909" s="1"/>
      <c r="CE909" s="1"/>
      <c r="CF909" s="1"/>
      <c r="CJ909" s="1"/>
      <c r="DF909" s="2"/>
    </row>
    <row r="910" spans="1:110">
      <c r="A910" s="1"/>
      <c r="B910" s="4"/>
      <c r="C910" s="1"/>
      <c r="D910" s="1"/>
      <c r="E910" s="1"/>
      <c r="F910" s="1"/>
      <c r="G910" s="1"/>
      <c r="H910" s="2"/>
      <c r="I910" s="1"/>
      <c r="J910" s="1"/>
      <c r="K910" s="5"/>
      <c r="L910" s="6"/>
      <c r="Q910" s="5"/>
      <c r="R910" s="6"/>
      <c r="X910" s="2"/>
      <c r="Y910" s="1"/>
      <c r="AF910" s="2"/>
      <c r="AG910" s="1"/>
      <c r="BG910" s="1"/>
      <c r="BS910" s="3"/>
      <c r="CC910" s="1"/>
      <c r="CE910" s="1"/>
      <c r="CF910" s="1"/>
      <c r="CJ910" s="1"/>
      <c r="DF910" s="2"/>
    </row>
    <row r="911" spans="1:110">
      <c r="A911" s="1"/>
      <c r="B911" s="4"/>
      <c r="C911" s="1"/>
      <c r="D911" s="1"/>
      <c r="E911" s="1"/>
      <c r="F911" s="1"/>
      <c r="G911" s="1"/>
      <c r="H911" s="2"/>
      <c r="I911" s="1"/>
      <c r="J911" s="1"/>
      <c r="K911" s="5"/>
      <c r="L911" s="6"/>
      <c r="Q911" s="5"/>
      <c r="R911" s="6"/>
      <c r="X911" s="2"/>
      <c r="Y911" s="1"/>
      <c r="AF911" s="2"/>
      <c r="AG911" s="1"/>
      <c r="BG911" s="1"/>
      <c r="BS911" s="3"/>
      <c r="CC911" s="1"/>
      <c r="CE911" s="1"/>
      <c r="CF911" s="1"/>
      <c r="CJ911" s="1"/>
      <c r="DF911" s="2"/>
    </row>
    <row r="912" spans="1:110">
      <c r="A912" s="1"/>
      <c r="B912" s="4"/>
      <c r="C912" s="1"/>
      <c r="D912" s="1"/>
      <c r="E912" s="1"/>
      <c r="F912" s="1"/>
      <c r="G912" s="1"/>
      <c r="H912" s="2"/>
      <c r="I912" s="1"/>
      <c r="J912" s="1"/>
      <c r="K912" s="5"/>
      <c r="L912" s="6"/>
      <c r="Q912" s="5"/>
      <c r="R912" s="6"/>
      <c r="X912" s="2"/>
      <c r="Y912" s="1"/>
      <c r="AF912" s="2"/>
      <c r="AG912" s="1"/>
      <c r="BG912" s="1"/>
      <c r="BS912" s="3"/>
      <c r="CC912" s="1"/>
      <c r="CE912" s="1"/>
      <c r="CF912" s="1"/>
      <c r="CJ912" s="1"/>
      <c r="DF912" s="2"/>
    </row>
    <row r="913" spans="1:110">
      <c r="A913" s="1"/>
      <c r="B913" s="4"/>
      <c r="C913" s="1"/>
      <c r="D913" s="1"/>
      <c r="E913" s="1"/>
      <c r="F913" s="1"/>
      <c r="G913" s="1"/>
      <c r="H913" s="2"/>
      <c r="I913" s="1"/>
      <c r="J913" s="1"/>
      <c r="K913" s="5"/>
      <c r="L913" s="6"/>
      <c r="Q913" s="5"/>
      <c r="R913" s="6"/>
      <c r="X913" s="2"/>
      <c r="Y913" s="1"/>
      <c r="AF913" s="2"/>
      <c r="AG913" s="1"/>
      <c r="BG913" s="1"/>
      <c r="BS913" s="3"/>
      <c r="CC913" s="1"/>
      <c r="CE913" s="1"/>
      <c r="CF913" s="1"/>
      <c r="CJ913" s="1"/>
      <c r="DF913" s="2"/>
    </row>
    <row r="914" spans="1:110">
      <c r="A914" s="1"/>
      <c r="B914" s="4"/>
      <c r="C914" s="1"/>
      <c r="D914" s="1"/>
      <c r="E914" s="1"/>
      <c r="F914" s="1"/>
      <c r="G914" s="1"/>
      <c r="H914" s="2"/>
      <c r="I914" s="1"/>
      <c r="J914" s="1"/>
      <c r="K914" s="5"/>
      <c r="L914" s="6"/>
      <c r="Q914" s="5"/>
      <c r="R914" s="6"/>
      <c r="X914" s="2"/>
      <c r="Y914" s="1"/>
      <c r="AF914" s="2"/>
      <c r="AG914" s="1"/>
      <c r="BG914" s="1"/>
      <c r="BS914" s="3"/>
      <c r="CC914" s="1"/>
      <c r="CE914" s="1"/>
      <c r="CF914" s="1"/>
      <c r="CJ914" s="1"/>
      <c r="DF914" s="2"/>
    </row>
    <row r="915" spans="1:110">
      <c r="A915" s="1"/>
      <c r="B915" s="4"/>
      <c r="C915" s="1"/>
      <c r="D915" s="1"/>
      <c r="E915" s="1"/>
      <c r="F915" s="1"/>
      <c r="G915" s="1"/>
      <c r="H915" s="2"/>
      <c r="I915" s="1"/>
      <c r="J915" s="1"/>
      <c r="K915" s="5"/>
      <c r="L915" s="6"/>
      <c r="Q915" s="5"/>
      <c r="R915" s="6"/>
      <c r="X915" s="2"/>
      <c r="Y915" s="1"/>
      <c r="AF915" s="2"/>
      <c r="AG915" s="1"/>
      <c r="BG915" s="1"/>
      <c r="BS915" s="3"/>
      <c r="CC915" s="1"/>
      <c r="CE915" s="1"/>
      <c r="CF915" s="1"/>
      <c r="CJ915" s="1"/>
      <c r="DF915" s="2"/>
    </row>
    <row r="916" spans="1:110">
      <c r="A916" s="1"/>
      <c r="B916" s="4"/>
      <c r="C916" s="1"/>
      <c r="D916" s="1"/>
      <c r="E916" s="1"/>
      <c r="F916" s="1"/>
      <c r="G916" s="1"/>
      <c r="H916" s="2"/>
      <c r="I916" s="1"/>
      <c r="J916" s="1"/>
      <c r="K916" s="5"/>
      <c r="L916" s="6"/>
      <c r="Q916" s="5"/>
      <c r="R916" s="6"/>
      <c r="X916" s="2"/>
      <c r="Y916" s="1"/>
      <c r="AF916" s="2"/>
      <c r="AG916" s="1"/>
      <c r="BG916" s="1"/>
      <c r="BS916" s="3"/>
      <c r="CC916" s="1"/>
      <c r="CE916" s="1"/>
      <c r="CF916" s="1"/>
      <c r="CJ916" s="1"/>
      <c r="DF916" s="2"/>
    </row>
    <row r="917" spans="1:110">
      <c r="A917" s="1"/>
      <c r="B917" s="4"/>
      <c r="C917" s="1"/>
      <c r="D917" s="1"/>
      <c r="E917" s="1"/>
      <c r="F917" s="1"/>
      <c r="G917" s="1"/>
      <c r="H917" s="2"/>
      <c r="I917" s="1"/>
      <c r="J917" s="1"/>
      <c r="K917" s="5"/>
      <c r="L917" s="6"/>
      <c r="Q917" s="5"/>
      <c r="R917" s="6"/>
      <c r="X917" s="2"/>
      <c r="Y917" s="1"/>
      <c r="AF917" s="2"/>
      <c r="AG917" s="1"/>
      <c r="BG917" s="1"/>
      <c r="BS917" s="3"/>
      <c r="CC917" s="1"/>
      <c r="CE917" s="1"/>
      <c r="CF917" s="1"/>
      <c r="CJ917" s="1"/>
      <c r="DF917" s="2"/>
    </row>
    <row r="918" spans="1:110">
      <c r="A918" s="1"/>
      <c r="B918" s="4"/>
      <c r="C918" s="1"/>
      <c r="D918" s="1"/>
      <c r="E918" s="1"/>
      <c r="F918" s="1"/>
      <c r="G918" s="1"/>
      <c r="H918" s="2"/>
      <c r="I918" s="1"/>
      <c r="J918" s="1"/>
      <c r="K918" s="5"/>
      <c r="L918" s="6"/>
      <c r="Q918" s="5"/>
      <c r="R918" s="6"/>
      <c r="X918" s="2"/>
      <c r="Y918" s="1"/>
      <c r="AF918" s="2"/>
      <c r="AG918" s="1"/>
      <c r="BG918" s="1"/>
      <c r="BS918" s="3"/>
      <c r="CC918" s="1"/>
      <c r="CE918" s="1"/>
      <c r="CF918" s="1"/>
      <c r="CJ918" s="1"/>
      <c r="DF918" s="2"/>
    </row>
    <row r="919" spans="1:110">
      <c r="A919" s="1"/>
      <c r="B919" s="4"/>
      <c r="C919" s="1"/>
      <c r="D919" s="1"/>
      <c r="E919" s="1"/>
      <c r="F919" s="1"/>
      <c r="G919" s="1"/>
      <c r="H919" s="2"/>
      <c r="I919" s="1"/>
      <c r="J919" s="1"/>
      <c r="K919" s="5"/>
      <c r="L919" s="6"/>
      <c r="Q919" s="5"/>
      <c r="R919" s="6"/>
      <c r="X919" s="2"/>
      <c r="Y919" s="1"/>
      <c r="AF919" s="2"/>
      <c r="AG919" s="1"/>
      <c r="BG919" s="1"/>
      <c r="BS919" s="3"/>
      <c r="CC919" s="1"/>
      <c r="CE919" s="1"/>
      <c r="CF919" s="1"/>
      <c r="CJ919" s="1"/>
      <c r="DF919" s="2"/>
    </row>
    <row r="920" spans="1:110">
      <c r="A920" s="1"/>
      <c r="B920" s="4"/>
      <c r="C920" s="1"/>
      <c r="D920" s="1"/>
      <c r="E920" s="1"/>
      <c r="F920" s="1"/>
      <c r="G920" s="1"/>
      <c r="H920" s="2"/>
      <c r="I920" s="1"/>
      <c r="J920" s="1"/>
      <c r="K920" s="5"/>
      <c r="L920" s="6"/>
      <c r="Q920" s="5"/>
      <c r="R920" s="6"/>
      <c r="X920" s="2"/>
      <c r="Y920" s="1"/>
      <c r="AF920" s="2"/>
      <c r="AG920" s="1"/>
      <c r="BG920" s="1"/>
      <c r="BS920" s="3"/>
      <c r="CC920" s="1"/>
      <c r="CE920" s="1"/>
      <c r="CF920" s="1"/>
      <c r="CJ920" s="1"/>
      <c r="DF920" s="2"/>
    </row>
    <row r="921" spans="1:110">
      <c r="A921" s="1"/>
      <c r="B921" s="4"/>
      <c r="C921" s="1"/>
      <c r="D921" s="1"/>
      <c r="E921" s="1"/>
      <c r="F921" s="1"/>
      <c r="G921" s="1"/>
      <c r="H921" s="2"/>
      <c r="I921" s="1"/>
      <c r="J921" s="1"/>
      <c r="K921" s="5"/>
      <c r="L921" s="6"/>
      <c r="Q921" s="5"/>
      <c r="R921" s="6"/>
      <c r="X921" s="2"/>
      <c r="Y921" s="1"/>
      <c r="AF921" s="2"/>
      <c r="AG921" s="1"/>
      <c r="BG921" s="1"/>
      <c r="BS921" s="3"/>
      <c r="CC921" s="1"/>
      <c r="CE921" s="1"/>
      <c r="CF921" s="1"/>
      <c r="CJ921" s="1"/>
      <c r="DF921" s="2"/>
    </row>
    <row r="922" spans="1:110">
      <c r="A922" s="1"/>
      <c r="B922" s="4"/>
      <c r="C922" s="1"/>
      <c r="D922" s="1"/>
      <c r="E922" s="1"/>
      <c r="F922" s="1"/>
      <c r="G922" s="1"/>
      <c r="H922" s="2"/>
      <c r="I922" s="1"/>
      <c r="J922" s="1"/>
      <c r="K922" s="5"/>
      <c r="L922" s="6"/>
      <c r="Q922" s="5"/>
      <c r="R922" s="6"/>
      <c r="X922" s="2"/>
      <c r="Y922" s="1"/>
      <c r="AF922" s="2"/>
      <c r="AG922" s="1"/>
      <c r="BG922" s="1"/>
      <c r="BS922" s="3"/>
      <c r="CC922" s="1"/>
      <c r="CE922" s="1"/>
      <c r="CF922" s="1"/>
      <c r="CJ922" s="1"/>
      <c r="DF922" s="2"/>
    </row>
    <row r="923" spans="1:110">
      <c r="A923" s="1"/>
      <c r="B923" s="4"/>
      <c r="C923" s="1"/>
      <c r="D923" s="1"/>
      <c r="E923" s="1"/>
      <c r="F923" s="1"/>
      <c r="G923" s="1"/>
      <c r="H923" s="2"/>
      <c r="I923" s="1"/>
      <c r="J923" s="1"/>
      <c r="K923" s="5"/>
      <c r="L923" s="6"/>
      <c r="Q923" s="5"/>
      <c r="R923" s="6"/>
      <c r="X923" s="2"/>
      <c r="Y923" s="1"/>
      <c r="AF923" s="2"/>
      <c r="AG923" s="1"/>
      <c r="BG923" s="1"/>
      <c r="BS923" s="3"/>
      <c r="CC923" s="1"/>
      <c r="CE923" s="1"/>
      <c r="CF923" s="1"/>
      <c r="CJ923" s="1"/>
      <c r="DF923" s="2"/>
    </row>
    <row r="924" spans="1:110">
      <c r="A924" s="1"/>
      <c r="B924" s="4"/>
      <c r="C924" s="1"/>
      <c r="D924" s="1"/>
      <c r="E924" s="1"/>
      <c r="F924" s="1"/>
      <c r="G924" s="1"/>
      <c r="H924" s="2"/>
      <c r="I924" s="1"/>
      <c r="J924" s="1"/>
      <c r="K924" s="5"/>
      <c r="L924" s="6"/>
      <c r="Q924" s="5"/>
      <c r="R924" s="6"/>
      <c r="X924" s="2"/>
      <c r="Y924" s="1"/>
      <c r="AF924" s="2"/>
      <c r="AG924" s="1"/>
      <c r="BG924" s="1"/>
      <c r="BS924" s="3"/>
      <c r="CC924" s="1"/>
      <c r="CE924" s="1"/>
      <c r="CF924" s="1"/>
      <c r="CJ924" s="1"/>
      <c r="DF924" s="2"/>
    </row>
    <row r="925" spans="1:110">
      <c r="A925" s="1"/>
      <c r="B925" s="4"/>
      <c r="C925" s="1"/>
      <c r="D925" s="1"/>
      <c r="E925" s="1"/>
      <c r="F925" s="1"/>
      <c r="G925" s="1"/>
      <c r="H925" s="2"/>
      <c r="I925" s="1"/>
      <c r="J925" s="1"/>
      <c r="K925" s="5"/>
      <c r="L925" s="6"/>
      <c r="Q925" s="5"/>
      <c r="R925" s="6"/>
      <c r="X925" s="2"/>
      <c r="Y925" s="1"/>
      <c r="AF925" s="2"/>
      <c r="AG925" s="1"/>
      <c r="BG925" s="1"/>
      <c r="BS925" s="3"/>
      <c r="CC925" s="1"/>
      <c r="CE925" s="1"/>
      <c r="CF925" s="1"/>
      <c r="CJ925" s="1"/>
      <c r="DF925" s="2"/>
    </row>
    <row r="926" spans="1:110">
      <c r="A926" s="1"/>
      <c r="B926" s="4"/>
      <c r="C926" s="1"/>
      <c r="D926" s="1"/>
      <c r="E926" s="1"/>
      <c r="F926" s="1"/>
      <c r="G926" s="1"/>
      <c r="H926" s="2"/>
      <c r="I926" s="1"/>
      <c r="J926" s="1"/>
      <c r="K926" s="5"/>
      <c r="L926" s="6"/>
      <c r="Q926" s="5"/>
      <c r="R926" s="6"/>
      <c r="X926" s="2"/>
      <c r="Y926" s="1"/>
      <c r="AF926" s="2"/>
      <c r="AG926" s="1"/>
      <c r="BG926" s="1"/>
      <c r="BS926" s="3"/>
      <c r="CC926" s="1"/>
      <c r="CE926" s="1"/>
      <c r="CF926" s="1"/>
      <c r="CJ926" s="1"/>
      <c r="DF926" s="2"/>
    </row>
    <row r="927" spans="1:110">
      <c r="A927" s="1"/>
      <c r="B927" s="4"/>
      <c r="C927" s="1"/>
      <c r="D927" s="1"/>
      <c r="E927" s="1"/>
      <c r="F927" s="1"/>
      <c r="G927" s="1"/>
      <c r="H927" s="2"/>
      <c r="I927" s="1"/>
      <c r="J927" s="1"/>
      <c r="K927" s="5"/>
      <c r="L927" s="6"/>
      <c r="Q927" s="5"/>
      <c r="R927" s="6"/>
      <c r="X927" s="2"/>
      <c r="Y927" s="1"/>
      <c r="AF927" s="2"/>
      <c r="AG927" s="1"/>
      <c r="BG927" s="1"/>
      <c r="BS927" s="3"/>
      <c r="CC927" s="1"/>
      <c r="CE927" s="1"/>
      <c r="CF927" s="1"/>
      <c r="CJ927" s="1"/>
      <c r="DF927" s="2"/>
    </row>
    <row r="928" spans="1:110">
      <c r="A928" s="1"/>
      <c r="B928" s="4"/>
      <c r="C928" s="1"/>
      <c r="D928" s="1"/>
      <c r="E928" s="1"/>
      <c r="F928" s="1"/>
      <c r="G928" s="1"/>
      <c r="H928" s="2"/>
      <c r="I928" s="1"/>
      <c r="J928" s="1"/>
      <c r="K928" s="5"/>
      <c r="L928" s="6"/>
      <c r="Q928" s="5"/>
      <c r="R928" s="6"/>
      <c r="X928" s="2"/>
      <c r="Y928" s="1"/>
      <c r="AF928" s="2"/>
      <c r="AG928" s="1"/>
      <c r="BG928" s="1"/>
      <c r="BS928" s="3"/>
      <c r="CC928" s="1"/>
      <c r="CE928" s="1"/>
      <c r="CF928" s="1"/>
      <c r="CJ928" s="1"/>
      <c r="DF928" s="2"/>
    </row>
    <row r="929" spans="1:110">
      <c r="A929" s="1"/>
      <c r="B929" s="4"/>
      <c r="C929" s="1"/>
      <c r="D929" s="1"/>
      <c r="E929" s="1"/>
      <c r="F929" s="1"/>
      <c r="G929" s="1"/>
      <c r="H929" s="2"/>
      <c r="I929" s="1"/>
      <c r="J929" s="1"/>
      <c r="K929" s="5"/>
      <c r="L929" s="6"/>
      <c r="Q929" s="5"/>
      <c r="R929" s="6"/>
      <c r="X929" s="2"/>
      <c r="Y929" s="1"/>
      <c r="AF929" s="2"/>
      <c r="AG929" s="1"/>
      <c r="BG929" s="1"/>
      <c r="BS929" s="3"/>
      <c r="CC929" s="1"/>
      <c r="CE929" s="1"/>
      <c r="CF929" s="1"/>
      <c r="CJ929" s="1"/>
      <c r="DF929" s="2"/>
    </row>
    <row r="930" spans="1:110">
      <c r="A930" s="1"/>
      <c r="B930" s="4"/>
      <c r="C930" s="1"/>
      <c r="D930" s="1"/>
      <c r="E930" s="1"/>
      <c r="F930" s="1"/>
      <c r="G930" s="1"/>
      <c r="H930" s="2"/>
      <c r="I930" s="1"/>
      <c r="J930" s="1"/>
      <c r="K930" s="5"/>
      <c r="L930" s="6"/>
      <c r="Q930" s="5"/>
      <c r="R930" s="6"/>
      <c r="X930" s="2"/>
      <c r="Y930" s="1"/>
      <c r="AF930" s="2"/>
      <c r="AG930" s="1"/>
      <c r="BG930" s="1"/>
      <c r="BS930" s="3"/>
      <c r="CC930" s="1"/>
      <c r="CE930" s="1"/>
      <c r="CF930" s="1"/>
      <c r="CJ930" s="1"/>
      <c r="DF930" s="2"/>
    </row>
    <row r="931" spans="1:110">
      <c r="A931" s="1"/>
      <c r="B931" s="4"/>
      <c r="C931" s="1"/>
      <c r="D931" s="1"/>
      <c r="E931" s="1"/>
      <c r="F931" s="1"/>
      <c r="G931" s="1"/>
      <c r="H931" s="2"/>
      <c r="I931" s="1"/>
      <c r="J931" s="1"/>
      <c r="K931" s="5"/>
      <c r="L931" s="6"/>
      <c r="Q931" s="5"/>
      <c r="R931" s="6"/>
      <c r="X931" s="2"/>
      <c r="Y931" s="1"/>
      <c r="AF931" s="2"/>
      <c r="AG931" s="1"/>
      <c r="BG931" s="1"/>
      <c r="BS931" s="3"/>
      <c r="CC931" s="1"/>
      <c r="CE931" s="1"/>
      <c r="CF931" s="1"/>
      <c r="CJ931" s="1"/>
      <c r="DF931" s="2"/>
    </row>
    <row r="932" spans="1:110">
      <c r="A932" s="1"/>
      <c r="B932" s="4"/>
      <c r="C932" s="1"/>
      <c r="D932" s="1"/>
      <c r="E932" s="1"/>
      <c r="F932" s="1"/>
      <c r="G932" s="1"/>
      <c r="H932" s="2"/>
      <c r="I932" s="1"/>
      <c r="J932" s="1"/>
      <c r="K932" s="5"/>
      <c r="L932" s="6"/>
      <c r="Q932" s="5"/>
      <c r="R932" s="6"/>
      <c r="X932" s="2"/>
      <c r="Y932" s="1"/>
      <c r="AF932" s="2"/>
      <c r="AG932" s="1"/>
      <c r="BG932" s="1"/>
      <c r="BS932" s="3"/>
      <c r="CC932" s="1"/>
      <c r="CE932" s="1"/>
      <c r="CF932" s="1"/>
      <c r="CJ932" s="1"/>
      <c r="DF932" s="2"/>
    </row>
    <row r="933" spans="1:110">
      <c r="A933" s="1"/>
      <c r="B933" s="4"/>
      <c r="C933" s="1"/>
      <c r="D933" s="1"/>
      <c r="E933" s="1"/>
      <c r="F933" s="1"/>
      <c r="G933" s="1"/>
      <c r="H933" s="2"/>
      <c r="I933" s="1"/>
      <c r="J933" s="1"/>
      <c r="K933" s="5"/>
      <c r="L933" s="6"/>
      <c r="Q933" s="5"/>
      <c r="R933" s="6"/>
      <c r="X933" s="2"/>
      <c r="Y933" s="1"/>
      <c r="AF933" s="2"/>
      <c r="AG933" s="1"/>
      <c r="BG933" s="1"/>
      <c r="BS933" s="3"/>
      <c r="CC933" s="1"/>
      <c r="CE933" s="1"/>
      <c r="CF933" s="1"/>
      <c r="CJ933" s="1"/>
      <c r="DF933" s="2"/>
    </row>
    <row r="934" spans="1:110">
      <c r="A934" s="1"/>
      <c r="B934" s="4"/>
      <c r="C934" s="1"/>
      <c r="D934" s="1"/>
      <c r="E934" s="1"/>
      <c r="F934" s="1"/>
      <c r="G934" s="1"/>
      <c r="H934" s="2"/>
      <c r="I934" s="1"/>
      <c r="J934" s="1"/>
      <c r="K934" s="5"/>
      <c r="L934" s="6"/>
      <c r="Q934" s="5"/>
      <c r="R934" s="6"/>
      <c r="X934" s="2"/>
      <c r="Y934" s="1"/>
      <c r="AF934" s="2"/>
      <c r="AG934" s="1"/>
      <c r="BG934" s="1"/>
      <c r="BS934" s="3"/>
      <c r="CC934" s="1"/>
      <c r="CE934" s="1"/>
      <c r="CF934" s="1"/>
      <c r="CJ934" s="1"/>
      <c r="DF934" s="2"/>
    </row>
    <row r="935" spans="1:110">
      <c r="A935" s="1"/>
      <c r="B935" s="4"/>
      <c r="C935" s="1"/>
      <c r="D935" s="1"/>
      <c r="E935" s="1"/>
      <c r="F935" s="1"/>
      <c r="G935" s="1"/>
      <c r="H935" s="2"/>
      <c r="I935" s="1"/>
      <c r="J935" s="1"/>
      <c r="K935" s="5"/>
      <c r="L935" s="6"/>
      <c r="Q935" s="5"/>
      <c r="R935" s="6"/>
      <c r="X935" s="2"/>
      <c r="Y935" s="1"/>
      <c r="AF935" s="2"/>
      <c r="AG935" s="1"/>
      <c r="BG935" s="1"/>
      <c r="BS935" s="3"/>
      <c r="CC935" s="1"/>
      <c r="CE935" s="1"/>
      <c r="CF935" s="1"/>
      <c r="CJ935" s="1"/>
      <c r="DF935" s="2"/>
    </row>
    <row r="936" spans="1:110">
      <c r="A936" s="1"/>
      <c r="B936" s="4"/>
      <c r="C936" s="1"/>
      <c r="D936" s="1"/>
      <c r="E936" s="1"/>
      <c r="F936" s="1"/>
      <c r="G936" s="1"/>
      <c r="H936" s="2"/>
      <c r="I936" s="1"/>
      <c r="J936" s="1"/>
      <c r="K936" s="5"/>
      <c r="L936" s="6"/>
      <c r="Q936" s="5"/>
      <c r="R936" s="6"/>
      <c r="X936" s="2"/>
      <c r="Y936" s="1"/>
      <c r="AF936" s="2"/>
      <c r="AG936" s="1"/>
      <c r="BG936" s="1"/>
      <c r="BS936" s="3"/>
      <c r="CC936" s="1"/>
      <c r="CE936" s="1"/>
      <c r="CF936" s="1"/>
      <c r="CJ936" s="1"/>
      <c r="DF936" s="2"/>
    </row>
    <row r="937" spans="1:110">
      <c r="A937" s="1"/>
      <c r="B937" s="4"/>
      <c r="C937" s="1"/>
      <c r="D937" s="1"/>
      <c r="E937" s="1"/>
      <c r="F937" s="1"/>
      <c r="G937" s="1"/>
      <c r="H937" s="2"/>
      <c r="I937" s="1"/>
      <c r="J937" s="1"/>
      <c r="K937" s="5"/>
      <c r="L937" s="6"/>
      <c r="Q937" s="5"/>
      <c r="R937" s="6"/>
      <c r="X937" s="2"/>
      <c r="Y937" s="1"/>
      <c r="AF937" s="2"/>
      <c r="AG937" s="1"/>
      <c r="BG937" s="1"/>
      <c r="BS937" s="3"/>
      <c r="CC937" s="1"/>
      <c r="CE937" s="1"/>
      <c r="CF937" s="1"/>
      <c r="CJ937" s="1"/>
      <c r="DF937" s="2"/>
    </row>
    <row r="938" spans="1:110">
      <c r="A938" s="1"/>
      <c r="B938" s="4"/>
      <c r="C938" s="1"/>
      <c r="D938" s="1"/>
      <c r="E938" s="1"/>
      <c r="F938" s="1"/>
      <c r="G938" s="1"/>
      <c r="H938" s="2"/>
      <c r="I938" s="1"/>
      <c r="J938" s="1"/>
      <c r="K938" s="5"/>
      <c r="L938" s="6"/>
      <c r="Q938" s="5"/>
      <c r="R938" s="6"/>
      <c r="X938" s="2"/>
      <c r="Y938" s="1"/>
      <c r="AF938" s="2"/>
      <c r="AG938" s="1"/>
      <c r="BG938" s="1"/>
      <c r="BS938" s="3"/>
      <c r="CC938" s="1"/>
      <c r="CE938" s="1"/>
      <c r="CF938" s="1"/>
      <c r="CJ938" s="1"/>
      <c r="DF938" s="2"/>
    </row>
    <row r="939" spans="1:110">
      <c r="A939" s="1"/>
      <c r="B939" s="4"/>
      <c r="C939" s="1"/>
      <c r="D939" s="1"/>
      <c r="E939" s="1"/>
      <c r="F939" s="1"/>
      <c r="G939" s="1"/>
      <c r="H939" s="2"/>
      <c r="I939" s="1"/>
      <c r="J939" s="1"/>
      <c r="K939" s="5"/>
      <c r="L939" s="6"/>
      <c r="Q939" s="5"/>
      <c r="R939" s="6"/>
      <c r="X939" s="2"/>
      <c r="Y939" s="1"/>
      <c r="AF939" s="2"/>
      <c r="AG939" s="1"/>
      <c r="BG939" s="1"/>
      <c r="BS939" s="3"/>
      <c r="CC939" s="1"/>
      <c r="CE939" s="1"/>
      <c r="CF939" s="1"/>
      <c r="CJ939" s="1"/>
      <c r="DF939" s="2"/>
    </row>
    <row r="940" spans="1:110">
      <c r="A940" s="1"/>
      <c r="B940" s="4"/>
      <c r="C940" s="1"/>
      <c r="D940" s="1"/>
      <c r="E940" s="1"/>
      <c r="F940" s="1"/>
      <c r="G940" s="1"/>
      <c r="H940" s="2"/>
      <c r="I940" s="1"/>
      <c r="J940" s="1"/>
      <c r="K940" s="5"/>
      <c r="L940" s="6"/>
      <c r="Q940" s="5"/>
      <c r="R940" s="6"/>
      <c r="X940" s="2"/>
      <c r="Y940" s="1"/>
      <c r="AF940" s="2"/>
      <c r="AG940" s="1"/>
      <c r="BG940" s="1"/>
      <c r="BS940" s="3"/>
      <c r="CC940" s="1"/>
      <c r="CE940" s="1"/>
      <c r="CF940" s="1"/>
      <c r="CJ940" s="1"/>
      <c r="DF940" s="2"/>
    </row>
    <row r="941" spans="1:110">
      <c r="A941" s="1"/>
      <c r="B941" s="4"/>
      <c r="C941" s="1"/>
      <c r="D941" s="1"/>
      <c r="E941" s="1"/>
      <c r="F941" s="1"/>
      <c r="G941" s="1"/>
      <c r="H941" s="2"/>
      <c r="I941" s="1"/>
      <c r="J941" s="1"/>
      <c r="K941" s="5"/>
      <c r="L941" s="6"/>
      <c r="Q941" s="5"/>
      <c r="R941" s="6"/>
      <c r="X941" s="2"/>
      <c r="Y941" s="1"/>
      <c r="AF941" s="2"/>
      <c r="AG941" s="1"/>
      <c r="BG941" s="1"/>
      <c r="BS941" s="3"/>
      <c r="CC941" s="1"/>
      <c r="CE941" s="1"/>
      <c r="CF941" s="1"/>
      <c r="CJ941" s="1"/>
      <c r="DF941" s="2"/>
    </row>
    <row r="942" spans="1:110">
      <c r="A942" s="1"/>
      <c r="B942" s="4"/>
      <c r="C942" s="1"/>
      <c r="D942" s="1"/>
      <c r="E942" s="1"/>
      <c r="F942" s="1"/>
      <c r="G942" s="1"/>
      <c r="H942" s="2"/>
      <c r="I942" s="1"/>
      <c r="J942" s="1"/>
      <c r="K942" s="5"/>
      <c r="L942" s="6"/>
      <c r="Q942" s="5"/>
      <c r="R942" s="6"/>
      <c r="X942" s="2"/>
      <c r="Y942" s="1"/>
      <c r="AF942" s="2"/>
      <c r="AG942" s="1"/>
      <c r="BG942" s="1"/>
      <c r="BS942" s="3"/>
      <c r="CC942" s="1"/>
      <c r="CE942" s="1"/>
      <c r="CF942" s="1"/>
      <c r="CJ942" s="1"/>
      <c r="DF942" s="2"/>
    </row>
    <row r="943" spans="1:110">
      <c r="A943" s="1"/>
      <c r="B943" s="4"/>
      <c r="C943" s="1"/>
      <c r="D943" s="1"/>
      <c r="E943" s="1"/>
      <c r="F943" s="1"/>
      <c r="G943" s="1"/>
      <c r="H943" s="2"/>
      <c r="I943" s="1"/>
      <c r="J943" s="1"/>
      <c r="K943" s="5"/>
      <c r="L943" s="6"/>
      <c r="Q943" s="5"/>
      <c r="R943" s="6"/>
      <c r="X943" s="2"/>
      <c r="Y943" s="1"/>
      <c r="AF943" s="2"/>
      <c r="AG943" s="1"/>
      <c r="BG943" s="1"/>
      <c r="BS943" s="3"/>
      <c r="CC943" s="1"/>
      <c r="CE943" s="1"/>
      <c r="CF943" s="1"/>
      <c r="CJ943" s="1"/>
      <c r="DF943" s="2"/>
    </row>
    <row r="944" spans="1:110">
      <c r="A944" s="1"/>
      <c r="B944" s="4"/>
      <c r="C944" s="1"/>
      <c r="D944" s="1"/>
      <c r="E944" s="1"/>
      <c r="F944" s="1"/>
      <c r="G944" s="1"/>
      <c r="H944" s="2"/>
      <c r="I944" s="1"/>
      <c r="J944" s="1"/>
      <c r="K944" s="5"/>
      <c r="L944" s="6"/>
      <c r="Q944" s="5"/>
      <c r="R944" s="6"/>
      <c r="X944" s="2"/>
      <c r="Y944" s="1"/>
      <c r="AF944" s="2"/>
      <c r="AG944" s="1"/>
      <c r="BG944" s="1"/>
      <c r="BS944" s="3"/>
      <c r="CC944" s="1"/>
      <c r="CE944" s="1"/>
      <c r="CF944" s="1"/>
      <c r="CJ944" s="1"/>
      <c r="DF944" s="2"/>
    </row>
    <row r="945" spans="1:110">
      <c r="A945" s="1"/>
      <c r="B945" s="4"/>
      <c r="C945" s="1"/>
      <c r="D945" s="1"/>
      <c r="E945" s="1"/>
      <c r="F945" s="1"/>
      <c r="G945" s="1"/>
      <c r="H945" s="2"/>
      <c r="I945" s="1"/>
      <c r="J945" s="1"/>
      <c r="K945" s="5"/>
      <c r="L945" s="6"/>
      <c r="Q945" s="5"/>
      <c r="R945" s="6"/>
      <c r="X945" s="2"/>
      <c r="Y945" s="1"/>
      <c r="AF945" s="2"/>
      <c r="AG945" s="1"/>
      <c r="BG945" s="1"/>
      <c r="BS945" s="3"/>
      <c r="CC945" s="1"/>
      <c r="CE945" s="1"/>
      <c r="CF945" s="1"/>
      <c r="CJ945" s="1"/>
      <c r="DF945" s="2"/>
    </row>
    <row r="946" spans="1:110">
      <c r="A946" s="1"/>
      <c r="B946" s="4"/>
      <c r="C946" s="1"/>
      <c r="D946" s="1"/>
      <c r="E946" s="1"/>
      <c r="F946" s="1"/>
      <c r="G946" s="1"/>
      <c r="H946" s="2"/>
      <c r="I946" s="1"/>
      <c r="J946" s="1"/>
      <c r="K946" s="5"/>
      <c r="L946" s="6"/>
      <c r="Q946" s="5"/>
      <c r="R946" s="6"/>
      <c r="X946" s="2"/>
      <c r="Y946" s="1"/>
      <c r="AF946" s="2"/>
      <c r="AG946" s="1"/>
      <c r="BG946" s="1"/>
      <c r="BS946" s="3"/>
      <c r="CC946" s="1"/>
      <c r="CE946" s="1"/>
      <c r="CF946" s="1"/>
      <c r="CJ946" s="1"/>
      <c r="DF946" s="2"/>
    </row>
    <row r="947" spans="1:110">
      <c r="A947" s="1"/>
      <c r="B947" s="4"/>
      <c r="C947" s="1"/>
      <c r="D947" s="1"/>
      <c r="E947" s="1"/>
      <c r="F947" s="1"/>
      <c r="G947" s="1"/>
      <c r="H947" s="2"/>
      <c r="I947" s="1"/>
      <c r="J947" s="1"/>
      <c r="K947" s="5"/>
      <c r="L947" s="6"/>
      <c r="Q947" s="5"/>
      <c r="R947" s="6"/>
      <c r="X947" s="2"/>
      <c r="Y947" s="1"/>
      <c r="AF947" s="2"/>
      <c r="AG947" s="1"/>
      <c r="BG947" s="1"/>
      <c r="BS947" s="3"/>
      <c r="CC947" s="1"/>
      <c r="CE947" s="1"/>
      <c r="CF947" s="1"/>
      <c r="CJ947" s="1"/>
      <c r="DF947" s="2"/>
    </row>
    <row r="948" spans="1:110">
      <c r="A948" s="1"/>
      <c r="B948" s="4"/>
      <c r="C948" s="1"/>
      <c r="D948" s="1"/>
      <c r="E948" s="1"/>
      <c r="F948" s="1"/>
      <c r="G948" s="1"/>
      <c r="H948" s="2"/>
      <c r="I948" s="1"/>
      <c r="J948" s="1"/>
      <c r="K948" s="5"/>
      <c r="L948" s="6"/>
      <c r="Q948" s="5"/>
      <c r="R948" s="6"/>
      <c r="X948" s="2"/>
      <c r="Y948" s="1"/>
      <c r="AF948" s="2"/>
      <c r="AG948" s="1"/>
      <c r="BG948" s="1"/>
      <c r="BS948" s="3"/>
      <c r="CC948" s="1"/>
      <c r="CE948" s="1"/>
      <c r="CF948" s="1"/>
      <c r="CJ948" s="1"/>
      <c r="DF948" s="2"/>
    </row>
    <row r="949" spans="1:110">
      <c r="A949" s="1"/>
      <c r="B949" s="4"/>
      <c r="C949" s="1"/>
      <c r="D949" s="1"/>
      <c r="E949" s="1"/>
      <c r="F949" s="1"/>
      <c r="G949" s="1"/>
      <c r="H949" s="2"/>
      <c r="I949" s="1"/>
      <c r="J949" s="1"/>
      <c r="K949" s="5"/>
      <c r="L949" s="6"/>
      <c r="Q949" s="5"/>
      <c r="R949" s="6"/>
      <c r="X949" s="2"/>
      <c r="Y949" s="1"/>
      <c r="AF949" s="2"/>
      <c r="AG949" s="1"/>
      <c r="BG949" s="1"/>
      <c r="BS949" s="3"/>
      <c r="CC949" s="1"/>
      <c r="CE949" s="1"/>
      <c r="CF949" s="1"/>
      <c r="CJ949" s="1"/>
      <c r="DF949" s="2"/>
    </row>
    <row r="950" spans="1:110">
      <c r="A950" s="1"/>
      <c r="B950" s="4"/>
      <c r="C950" s="1"/>
      <c r="D950" s="1"/>
      <c r="E950" s="1"/>
      <c r="F950" s="1"/>
      <c r="G950" s="1"/>
      <c r="H950" s="2"/>
      <c r="I950" s="1"/>
      <c r="J950" s="1"/>
      <c r="K950" s="5"/>
      <c r="L950" s="6"/>
      <c r="Q950" s="5"/>
      <c r="R950" s="6"/>
      <c r="X950" s="2"/>
      <c r="Y950" s="1"/>
      <c r="AF950" s="2"/>
      <c r="AG950" s="1"/>
      <c r="BG950" s="1"/>
      <c r="BS950" s="3"/>
      <c r="CC950" s="1"/>
      <c r="CE950" s="1"/>
      <c r="CF950" s="1"/>
      <c r="CJ950" s="1"/>
      <c r="DF950" s="2"/>
    </row>
    <row r="951" spans="1:110">
      <c r="A951" s="1"/>
      <c r="B951" s="4"/>
      <c r="C951" s="1"/>
      <c r="D951" s="1"/>
      <c r="E951" s="1"/>
      <c r="F951" s="1"/>
      <c r="G951" s="1"/>
      <c r="H951" s="2"/>
      <c r="I951" s="1"/>
      <c r="J951" s="1"/>
      <c r="K951" s="5"/>
      <c r="L951" s="6"/>
      <c r="Q951" s="5"/>
      <c r="R951" s="6"/>
      <c r="X951" s="2"/>
      <c r="Y951" s="1"/>
      <c r="AF951" s="2"/>
      <c r="AG951" s="1"/>
      <c r="BG951" s="1"/>
      <c r="BS951" s="3"/>
      <c r="CC951" s="1"/>
      <c r="CE951" s="1"/>
      <c r="CF951" s="1"/>
      <c r="CJ951" s="1"/>
      <c r="DF951" s="2"/>
    </row>
    <row r="952" spans="1:110">
      <c r="A952" s="1"/>
      <c r="B952" s="4"/>
      <c r="C952" s="1"/>
      <c r="D952" s="1"/>
      <c r="E952" s="1"/>
      <c r="F952" s="1"/>
      <c r="G952" s="1"/>
      <c r="H952" s="2"/>
      <c r="I952" s="1"/>
      <c r="J952" s="1"/>
      <c r="K952" s="5"/>
      <c r="L952" s="6"/>
      <c r="Q952" s="5"/>
      <c r="R952" s="6"/>
      <c r="X952" s="2"/>
      <c r="Y952" s="1"/>
      <c r="AF952" s="2"/>
      <c r="AG952" s="1"/>
      <c r="BG952" s="1"/>
      <c r="BS952" s="3"/>
      <c r="CC952" s="1"/>
      <c r="CE952" s="1"/>
      <c r="CF952" s="1"/>
      <c r="CJ952" s="1"/>
      <c r="DF952" s="2"/>
    </row>
    <row r="953" spans="1:110">
      <c r="A953" s="1"/>
      <c r="B953" s="4"/>
      <c r="C953" s="1"/>
      <c r="D953" s="1"/>
      <c r="E953" s="1"/>
      <c r="F953" s="1"/>
      <c r="G953" s="1"/>
      <c r="H953" s="2"/>
      <c r="I953" s="1"/>
      <c r="J953" s="1"/>
      <c r="K953" s="5"/>
      <c r="L953" s="6"/>
      <c r="Q953" s="5"/>
      <c r="R953" s="6"/>
      <c r="X953" s="2"/>
      <c r="Y953" s="1"/>
      <c r="AF953" s="2"/>
      <c r="AG953" s="1"/>
      <c r="BG953" s="1"/>
      <c r="BS953" s="3"/>
      <c r="CC953" s="1"/>
      <c r="CE953" s="1"/>
      <c r="CF953" s="1"/>
      <c r="CJ953" s="1"/>
      <c r="DF953" s="2"/>
    </row>
    <row r="954" spans="1:110">
      <c r="A954" s="1"/>
      <c r="B954" s="4"/>
      <c r="C954" s="1"/>
      <c r="D954" s="1"/>
      <c r="E954" s="1"/>
      <c r="F954" s="1"/>
      <c r="G954" s="1"/>
      <c r="H954" s="2"/>
      <c r="I954" s="1"/>
      <c r="J954" s="1"/>
      <c r="K954" s="5"/>
      <c r="L954" s="6"/>
      <c r="Q954" s="5"/>
      <c r="R954" s="6"/>
      <c r="X954" s="2"/>
      <c r="Y954" s="1"/>
      <c r="AF954" s="2"/>
      <c r="AG954" s="1"/>
      <c r="BG954" s="1"/>
      <c r="BS954" s="3"/>
      <c r="CC954" s="1"/>
      <c r="CE954" s="1"/>
      <c r="CF954" s="1"/>
      <c r="CJ954" s="1"/>
      <c r="DF954" s="2"/>
    </row>
    <row r="955" spans="1:110">
      <c r="A955" s="1"/>
      <c r="B955" s="4"/>
      <c r="C955" s="1"/>
      <c r="D955" s="1"/>
      <c r="E955" s="1"/>
      <c r="F955" s="1"/>
      <c r="G955" s="1"/>
      <c r="H955" s="2"/>
      <c r="I955" s="1"/>
      <c r="J955" s="1"/>
      <c r="K955" s="5"/>
      <c r="L955" s="6"/>
      <c r="Q955" s="5"/>
      <c r="R955" s="6"/>
      <c r="X955" s="2"/>
      <c r="Y955" s="1"/>
      <c r="AF955" s="2"/>
      <c r="AG955" s="1"/>
      <c r="BG955" s="1"/>
      <c r="BS955" s="3"/>
      <c r="CC955" s="1"/>
      <c r="CE955" s="1"/>
      <c r="CF955" s="1"/>
      <c r="CJ955" s="1"/>
      <c r="DF955" s="2"/>
    </row>
    <row r="956" spans="1:110">
      <c r="A956" s="1"/>
      <c r="B956" s="4"/>
      <c r="C956" s="1"/>
      <c r="D956" s="1"/>
      <c r="E956" s="1"/>
      <c r="F956" s="1"/>
      <c r="G956" s="1"/>
      <c r="H956" s="2"/>
      <c r="I956" s="1"/>
      <c r="J956" s="1"/>
      <c r="K956" s="5"/>
      <c r="L956" s="6"/>
      <c r="Q956" s="5"/>
      <c r="R956" s="6"/>
      <c r="X956" s="2"/>
      <c r="Y956" s="1"/>
      <c r="AF956" s="2"/>
      <c r="AG956" s="1"/>
      <c r="BG956" s="1"/>
      <c r="BS956" s="3"/>
      <c r="CC956" s="1"/>
      <c r="CE956" s="1"/>
      <c r="CF956" s="1"/>
      <c r="CJ956" s="1"/>
      <c r="DF956" s="2"/>
    </row>
    <row r="957" spans="1:110">
      <c r="A957" s="1"/>
      <c r="B957" s="4"/>
      <c r="C957" s="1"/>
      <c r="D957" s="1"/>
      <c r="E957" s="1"/>
      <c r="F957" s="1"/>
      <c r="G957" s="1"/>
      <c r="H957" s="2"/>
      <c r="I957" s="1"/>
      <c r="J957" s="1"/>
      <c r="K957" s="5"/>
      <c r="L957" s="6"/>
      <c r="Q957" s="5"/>
      <c r="R957" s="6"/>
      <c r="X957" s="2"/>
      <c r="Y957" s="1"/>
      <c r="AF957" s="2"/>
      <c r="AG957" s="1"/>
      <c r="BG957" s="1"/>
      <c r="BS957" s="3"/>
      <c r="CC957" s="1"/>
      <c r="CE957" s="1"/>
      <c r="CF957" s="1"/>
      <c r="CJ957" s="1"/>
      <c r="DF957" s="2"/>
    </row>
    <row r="958" spans="1:110">
      <c r="A958" s="1"/>
      <c r="B958" s="4"/>
      <c r="C958" s="1"/>
      <c r="D958" s="1"/>
      <c r="E958" s="1"/>
      <c r="F958" s="1"/>
      <c r="G958" s="1"/>
      <c r="H958" s="2"/>
      <c r="I958" s="1"/>
      <c r="J958" s="1"/>
      <c r="K958" s="5"/>
      <c r="L958" s="6"/>
      <c r="Q958" s="5"/>
      <c r="R958" s="6"/>
      <c r="X958" s="2"/>
      <c r="Y958" s="1"/>
      <c r="AF958" s="2"/>
      <c r="AG958" s="1"/>
      <c r="BG958" s="1"/>
      <c r="BS958" s="3"/>
      <c r="CC958" s="1"/>
      <c r="CE958" s="1"/>
      <c r="CF958" s="1"/>
      <c r="CJ958" s="1"/>
      <c r="DF958" s="2"/>
    </row>
    <row r="959" spans="1:110">
      <c r="A959" s="1"/>
      <c r="B959" s="4"/>
      <c r="C959" s="1"/>
      <c r="D959" s="1"/>
      <c r="E959" s="1"/>
      <c r="F959" s="1"/>
      <c r="G959" s="1"/>
      <c r="H959" s="2"/>
      <c r="I959" s="1"/>
      <c r="J959" s="1"/>
      <c r="K959" s="5"/>
      <c r="L959" s="6"/>
      <c r="Q959" s="5"/>
      <c r="R959" s="6"/>
      <c r="X959" s="2"/>
      <c r="Y959" s="1"/>
      <c r="AF959" s="2"/>
      <c r="AG959" s="1"/>
      <c r="BG959" s="1"/>
      <c r="BS959" s="3"/>
      <c r="CC959" s="1"/>
      <c r="CE959" s="1"/>
      <c r="CF959" s="1"/>
      <c r="CJ959" s="1"/>
      <c r="DF959" s="2"/>
    </row>
    <row r="960" spans="1:110">
      <c r="A960" s="1"/>
      <c r="B960" s="4"/>
      <c r="C960" s="1"/>
      <c r="D960" s="1"/>
      <c r="E960" s="1"/>
      <c r="F960" s="1"/>
      <c r="G960" s="1"/>
      <c r="H960" s="2"/>
      <c r="I960" s="1"/>
      <c r="J960" s="1"/>
      <c r="K960" s="5"/>
      <c r="L960" s="6"/>
      <c r="Q960" s="5"/>
      <c r="R960" s="6"/>
      <c r="X960" s="2"/>
      <c r="Y960" s="1"/>
      <c r="AF960" s="2"/>
      <c r="AG960" s="1"/>
      <c r="BG960" s="1"/>
      <c r="BS960" s="3"/>
      <c r="CC960" s="1"/>
      <c r="CE960" s="1"/>
      <c r="CF960" s="1"/>
      <c r="CJ960" s="1"/>
      <c r="DF960" s="2"/>
    </row>
    <row r="961" spans="1:110">
      <c r="A961" s="1"/>
      <c r="B961" s="4"/>
      <c r="C961" s="1"/>
      <c r="D961" s="1"/>
      <c r="E961" s="1"/>
      <c r="F961" s="1"/>
      <c r="G961" s="1"/>
      <c r="H961" s="2"/>
      <c r="I961" s="1"/>
      <c r="J961" s="1"/>
      <c r="K961" s="5"/>
      <c r="L961" s="6"/>
      <c r="Q961" s="5"/>
      <c r="R961" s="6"/>
      <c r="X961" s="2"/>
      <c r="Y961" s="1"/>
      <c r="AF961" s="2"/>
      <c r="AG961" s="1"/>
      <c r="BG961" s="1"/>
      <c r="BS961" s="3"/>
      <c r="CC961" s="1"/>
      <c r="CE961" s="1"/>
      <c r="CF961" s="1"/>
      <c r="CJ961" s="1"/>
      <c r="DF961" s="2"/>
    </row>
    <row r="962" spans="1:110">
      <c r="A962" s="1"/>
      <c r="B962" s="4"/>
      <c r="C962" s="1"/>
      <c r="D962" s="1"/>
      <c r="E962" s="1"/>
      <c r="F962" s="1"/>
      <c r="G962" s="1"/>
      <c r="H962" s="2"/>
      <c r="I962" s="1"/>
      <c r="J962" s="1"/>
      <c r="K962" s="5"/>
      <c r="L962" s="6"/>
      <c r="Q962" s="5"/>
      <c r="R962" s="6"/>
      <c r="X962" s="2"/>
      <c r="Y962" s="1"/>
      <c r="AF962" s="2"/>
      <c r="AG962" s="1"/>
      <c r="BG962" s="1"/>
      <c r="BS962" s="3"/>
      <c r="CC962" s="1"/>
      <c r="CE962" s="1"/>
      <c r="CF962" s="1"/>
      <c r="CJ962" s="1"/>
      <c r="DF962" s="2"/>
    </row>
    <row r="963" spans="1:110">
      <c r="A963" s="1"/>
      <c r="B963" s="4"/>
      <c r="C963" s="1"/>
      <c r="D963" s="1"/>
      <c r="E963" s="1"/>
      <c r="F963" s="1"/>
      <c r="G963" s="1"/>
      <c r="H963" s="2"/>
      <c r="I963" s="1"/>
      <c r="J963" s="1"/>
      <c r="K963" s="5"/>
      <c r="L963" s="6"/>
      <c r="Q963" s="5"/>
      <c r="R963" s="6"/>
      <c r="X963" s="2"/>
      <c r="Y963" s="1"/>
      <c r="AF963" s="2"/>
      <c r="AG963" s="1"/>
      <c r="BG963" s="1"/>
      <c r="BS963" s="3"/>
      <c r="CC963" s="1"/>
      <c r="CE963" s="1"/>
      <c r="CF963" s="1"/>
      <c r="CJ963" s="1"/>
      <c r="DF963" s="2"/>
    </row>
    <row r="964" spans="1:110">
      <c r="A964" s="1"/>
      <c r="B964" s="4"/>
      <c r="C964" s="1"/>
      <c r="D964" s="1"/>
      <c r="E964" s="1"/>
      <c r="F964" s="1"/>
      <c r="G964" s="1"/>
      <c r="H964" s="2"/>
      <c r="I964" s="1"/>
      <c r="J964" s="1"/>
      <c r="K964" s="5"/>
      <c r="L964" s="6"/>
      <c r="Q964" s="5"/>
      <c r="R964" s="6"/>
      <c r="X964" s="2"/>
      <c r="Y964" s="1"/>
      <c r="AF964" s="2"/>
      <c r="AG964" s="1"/>
      <c r="BG964" s="1"/>
      <c r="BS964" s="3"/>
      <c r="CC964" s="1"/>
      <c r="CE964" s="1"/>
      <c r="CF964" s="1"/>
      <c r="CJ964" s="1"/>
      <c r="DF964" s="2"/>
    </row>
    <row r="965" spans="1:110">
      <c r="A965" s="1"/>
      <c r="B965" s="4"/>
      <c r="C965" s="1"/>
      <c r="D965" s="1"/>
      <c r="E965" s="1"/>
      <c r="F965" s="1"/>
      <c r="G965" s="1"/>
      <c r="H965" s="2"/>
      <c r="I965" s="1"/>
      <c r="J965" s="1"/>
      <c r="K965" s="5"/>
      <c r="L965" s="6"/>
      <c r="Q965" s="5"/>
      <c r="R965" s="6"/>
      <c r="X965" s="2"/>
      <c r="Y965" s="1"/>
      <c r="AF965" s="2"/>
      <c r="AG965" s="1"/>
      <c r="BG965" s="1"/>
      <c r="BS965" s="3"/>
      <c r="CC965" s="1"/>
      <c r="CE965" s="1"/>
      <c r="CF965" s="1"/>
      <c r="CJ965" s="1"/>
      <c r="DF965" s="2"/>
    </row>
    <row r="966" spans="1:110">
      <c r="A966" s="1"/>
      <c r="B966" s="4"/>
      <c r="C966" s="1"/>
      <c r="D966" s="1"/>
      <c r="E966" s="1"/>
      <c r="F966" s="1"/>
      <c r="G966" s="1"/>
      <c r="H966" s="2"/>
      <c r="I966" s="1"/>
      <c r="J966" s="1"/>
      <c r="K966" s="5"/>
      <c r="L966" s="6"/>
      <c r="Q966" s="5"/>
      <c r="R966" s="6"/>
      <c r="X966" s="2"/>
      <c r="Y966" s="1"/>
      <c r="AF966" s="2"/>
      <c r="AG966" s="1"/>
      <c r="BG966" s="1"/>
      <c r="BS966" s="3"/>
      <c r="CC966" s="1"/>
      <c r="CE966" s="1"/>
      <c r="CF966" s="1"/>
      <c r="CJ966" s="1"/>
      <c r="DF966" s="2"/>
    </row>
    <row r="967" spans="1:110">
      <c r="A967" s="1"/>
      <c r="B967" s="4"/>
      <c r="C967" s="1"/>
      <c r="D967" s="1"/>
      <c r="E967" s="1"/>
      <c r="F967" s="1"/>
      <c r="G967" s="1"/>
      <c r="H967" s="2"/>
      <c r="I967" s="1"/>
      <c r="J967" s="1"/>
      <c r="K967" s="5"/>
      <c r="L967" s="6"/>
      <c r="Q967" s="5"/>
      <c r="R967" s="6"/>
      <c r="X967" s="2"/>
      <c r="Y967" s="1"/>
      <c r="AF967" s="2"/>
      <c r="AG967" s="1"/>
      <c r="BG967" s="1"/>
      <c r="BS967" s="3"/>
      <c r="CC967" s="1"/>
      <c r="CE967" s="1"/>
      <c r="CF967" s="1"/>
      <c r="CJ967" s="1"/>
      <c r="DF967" s="2"/>
    </row>
    <row r="968" spans="1:110">
      <c r="A968" s="1"/>
      <c r="B968" s="4"/>
      <c r="C968" s="1"/>
      <c r="D968" s="1"/>
      <c r="E968" s="1"/>
      <c r="F968" s="1"/>
      <c r="G968" s="1"/>
      <c r="H968" s="2"/>
      <c r="I968" s="1"/>
      <c r="J968" s="1"/>
      <c r="K968" s="5"/>
      <c r="L968" s="6"/>
      <c r="Q968" s="5"/>
      <c r="R968" s="6"/>
      <c r="X968" s="2"/>
      <c r="Y968" s="1"/>
      <c r="AF968" s="2"/>
      <c r="AG968" s="1"/>
      <c r="BG968" s="1"/>
      <c r="BS968" s="3"/>
      <c r="CC968" s="1"/>
      <c r="CE968" s="1"/>
      <c r="CF968" s="1"/>
      <c r="CJ968" s="1"/>
      <c r="DF968" s="2"/>
    </row>
    <row r="969" spans="1:110">
      <c r="A969" s="1"/>
      <c r="B969" s="4"/>
      <c r="C969" s="1"/>
      <c r="D969" s="1"/>
      <c r="E969" s="1"/>
      <c r="F969" s="1"/>
      <c r="G969" s="1"/>
      <c r="H969" s="2"/>
      <c r="I969" s="1"/>
      <c r="J969" s="1"/>
      <c r="K969" s="5"/>
      <c r="L969" s="6"/>
      <c r="Q969" s="5"/>
      <c r="R969" s="6"/>
      <c r="X969" s="2"/>
      <c r="Y969" s="1"/>
      <c r="AF969" s="2"/>
      <c r="AG969" s="1"/>
      <c r="BG969" s="1"/>
      <c r="BS969" s="3"/>
      <c r="CC969" s="1"/>
      <c r="CE969" s="1"/>
      <c r="CF969" s="1"/>
      <c r="CJ969" s="1"/>
      <c r="DF969" s="2"/>
    </row>
    <row r="970" spans="1:110">
      <c r="A970" s="1"/>
      <c r="B970" s="4"/>
      <c r="C970" s="1"/>
      <c r="D970" s="1"/>
      <c r="E970" s="1"/>
      <c r="F970" s="1"/>
      <c r="G970" s="1"/>
      <c r="H970" s="2"/>
      <c r="I970" s="1"/>
      <c r="J970" s="1"/>
      <c r="K970" s="5"/>
      <c r="L970" s="6"/>
      <c r="Q970" s="5"/>
      <c r="R970" s="6"/>
      <c r="X970" s="2"/>
      <c r="Y970" s="1"/>
      <c r="AF970" s="2"/>
      <c r="AG970" s="1"/>
      <c r="BG970" s="1"/>
      <c r="BS970" s="3"/>
      <c r="CC970" s="1"/>
      <c r="CE970" s="1"/>
      <c r="CF970" s="1"/>
      <c r="CJ970" s="1"/>
      <c r="DF970" s="2"/>
    </row>
    <row r="971" spans="1:110">
      <c r="A971" s="1"/>
      <c r="B971" s="4"/>
      <c r="C971" s="1"/>
      <c r="D971" s="1"/>
      <c r="E971" s="1"/>
      <c r="F971" s="1"/>
      <c r="G971" s="1"/>
      <c r="H971" s="2"/>
      <c r="I971" s="1"/>
      <c r="J971" s="1"/>
      <c r="K971" s="5"/>
      <c r="L971" s="6"/>
      <c r="Q971" s="5"/>
      <c r="R971" s="6"/>
      <c r="X971" s="2"/>
      <c r="Y971" s="1"/>
      <c r="AF971" s="2"/>
      <c r="AG971" s="1"/>
      <c r="BG971" s="1"/>
      <c r="BS971" s="3"/>
      <c r="CC971" s="1"/>
      <c r="CE971" s="1"/>
      <c r="CF971" s="1"/>
      <c r="CJ971" s="1"/>
      <c r="DF971" s="2"/>
    </row>
    <row r="972" spans="1:110">
      <c r="A972" s="1"/>
      <c r="B972" s="4"/>
      <c r="C972" s="1"/>
      <c r="D972" s="1"/>
      <c r="E972" s="1"/>
      <c r="F972" s="1"/>
      <c r="G972" s="1"/>
      <c r="H972" s="2"/>
      <c r="I972" s="1"/>
      <c r="J972" s="1"/>
      <c r="K972" s="5"/>
      <c r="L972" s="6"/>
      <c r="Q972" s="5"/>
      <c r="R972" s="6"/>
      <c r="X972" s="2"/>
      <c r="Y972" s="1"/>
      <c r="AF972" s="2"/>
      <c r="AG972" s="1"/>
      <c r="BG972" s="1"/>
      <c r="BS972" s="3"/>
      <c r="CC972" s="1"/>
      <c r="CE972" s="1"/>
      <c r="CF972" s="1"/>
      <c r="CJ972" s="1"/>
      <c r="DF972" s="2"/>
    </row>
    <row r="973" spans="1:110">
      <c r="A973" s="1"/>
      <c r="B973" s="4"/>
      <c r="C973" s="1"/>
      <c r="D973" s="1"/>
      <c r="E973" s="1"/>
      <c r="F973" s="1"/>
      <c r="G973" s="1"/>
      <c r="H973" s="2"/>
      <c r="I973" s="1"/>
      <c r="J973" s="1"/>
      <c r="K973" s="5"/>
      <c r="L973" s="6"/>
      <c r="Q973" s="5"/>
      <c r="R973" s="6"/>
      <c r="X973" s="2"/>
      <c r="Y973" s="1"/>
      <c r="AF973" s="2"/>
      <c r="AG973" s="1"/>
      <c r="BG973" s="1"/>
      <c r="BS973" s="3"/>
      <c r="CC973" s="1"/>
      <c r="CE973" s="1"/>
      <c r="CF973" s="1"/>
      <c r="CJ973" s="1"/>
      <c r="DF973" s="2"/>
    </row>
    <row r="974" spans="1:110">
      <c r="A974" s="1"/>
      <c r="B974" s="4"/>
      <c r="C974" s="1"/>
      <c r="D974" s="1"/>
      <c r="E974" s="1"/>
      <c r="F974" s="1"/>
      <c r="G974" s="1"/>
      <c r="H974" s="2"/>
      <c r="I974" s="1"/>
      <c r="J974" s="1"/>
      <c r="K974" s="5"/>
      <c r="L974" s="6"/>
      <c r="Q974" s="5"/>
      <c r="R974" s="6"/>
      <c r="X974" s="2"/>
      <c r="Y974" s="1"/>
      <c r="AF974" s="2"/>
      <c r="AG974" s="1"/>
      <c r="BG974" s="1"/>
      <c r="BS974" s="3"/>
      <c r="CC974" s="1"/>
      <c r="CE974" s="1"/>
      <c r="CF974" s="1"/>
      <c r="CJ974" s="1"/>
      <c r="DF974" s="2"/>
    </row>
    <row r="975" spans="1:110">
      <c r="A975" s="1"/>
      <c r="B975" s="4"/>
      <c r="C975" s="1"/>
      <c r="D975" s="1"/>
      <c r="E975" s="1"/>
      <c r="F975" s="1"/>
      <c r="G975" s="1"/>
      <c r="H975" s="2"/>
      <c r="I975" s="1"/>
      <c r="J975" s="1"/>
      <c r="K975" s="5"/>
      <c r="L975" s="6"/>
      <c r="Q975" s="5"/>
      <c r="R975" s="6"/>
      <c r="X975" s="2"/>
      <c r="Y975" s="1"/>
      <c r="AF975" s="2"/>
      <c r="AG975" s="1"/>
      <c r="BG975" s="1"/>
      <c r="BS975" s="3"/>
      <c r="CC975" s="1"/>
      <c r="CE975" s="1"/>
      <c r="CF975" s="1"/>
      <c r="CJ975" s="1"/>
      <c r="DF975" s="2"/>
    </row>
    <row r="976" spans="1:110">
      <c r="A976" s="1"/>
      <c r="B976" s="4"/>
      <c r="C976" s="1"/>
      <c r="D976" s="1"/>
      <c r="E976" s="1"/>
      <c r="F976" s="1"/>
      <c r="G976" s="1"/>
      <c r="H976" s="2"/>
      <c r="I976" s="1"/>
      <c r="J976" s="1"/>
      <c r="K976" s="5"/>
      <c r="L976" s="6"/>
      <c r="Q976" s="5"/>
      <c r="R976" s="6"/>
      <c r="X976" s="2"/>
      <c r="Y976" s="1"/>
      <c r="AF976" s="2"/>
      <c r="AG976" s="1"/>
      <c r="BG976" s="1"/>
      <c r="BS976" s="3"/>
      <c r="CC976" s="1"/>
      <c r="CE976" s="1"/>
      <c r="CF976" s="1"/>
      <c r="CJ976" s="1"/>
      <c r="DF976" s="2"/>
    </row>
    <row r="977" spans="1:110">
      <c r="A977" s="1"/>
      <c r="B977" s="4"/>
      <c r="C977" s="1"/>
      <c r="D977" s="1"/>
      <c r="E977" s="1"/>
      <c r="F977" s="1"/>
      <c r="G977" s="1"/>
      <c r="H977" s="2"/>
      <c r="I977" s="1"/>
      <c r="J977" s="1"/>
      <c r="K977" s="5"/>
      <c r="L977" s="6"/>
      <c r="Q977" s="5"/>
      <c r="R977" s="6"/>
      <c r="X977" s="2"/>
      <c r="Y977" s="1"/>
      <c r="AF977" s="2"/>
      <c r="AG977" s="1"/>
      <c r="BG977" s="1"/>
      <c r="BS977" s="3"/>
      <c r="CC977" s="1"/>
      <c r="CE977" s="1"/>
      <c r="CF977" s="1"/>
      <c r="CJ977" s="1"/>
      <c r="DF977" s="2"/>
    </row>
    <row r="978" spans="1:110">
      <c r="A978" s="1"/>
      <c r="B978" s="4"/>
      <c r="C978" s="1"/>
      <c r="D978" s="1"/>
      <c r="E978" s="1"/>
      <c r="F978" s="1"/>
      <c r="G978" s="1"/>
      <c r="H978" s="2"/>
      <c r="I978" s="1"/>
      <c r="J978" s="1"/>
      <c r="K978" s="5"/>
      <c r="L978" s="6"/>
      <c r="Q978" s="5"/>
      <c r="R978" s="6"/>
      <c r="X978" s="2"/>
      <c r="Y978" s="1"/>
      <c r="AF978" s="2"/>
      <c r="AG978" s="1"/>
      <c r="BG978" s="1"/>
      <c r="BS978" s="3"/>
      <c r="CC978" s="1"/>
      <c r="CE978" s="1"/>
      <c r="CF978" s="1"/>
      <c r="CJ978" s="1"/>
      <c r="DF978" s="2"/>
    </row>
    <row r="979" spans="1:110">
      <c r="A979" s="1"/>
      <c r="B979" s="4"/>
      <c r="C979" s="1"/>
      <c r="D979" s="1"/>
      <c r="E979" s="1"/>
      <c r="F979" s="1"/>
      <c r="G979" s="1"/>
      <c r="H979" s="2"/>
      <c r="I979" s="1"/>
      <c r="J979" s="1"/>
      <c r="K979" s="5"/>
      <c r="L979" s="6"/>
      <c r="Q979" s="5"/>
      <c r="R979" s="6"/>
      <c r="X979" s="2"/>
      <c r="Y979" s="1"/>
      <c r="AF979" s="2"/>
      <c r="AG979" s="1"/>
      <c r="BG979" s="1"/>
      <c r="BS979" s="3"/>
      <c r="CC979" s="1"/>
      <c r="CE979" s="1"/>
      <c r="CF979" s="1"/>
      <c r="CJ979" s="1"/>
      <c r="DF979" s="2"/>
    </row>
    <row r="980" spans="1:110">
      <c r="A980" s="1"/>
      <c r="B980" s="4"/>
      <c r="C980" s="1"/>
      <c r="D980" s="1"/>
      <c r="E980" s="1"/>
      <c r="F980" s="1"/>
      <c r="G980" s="1"/>
      <c r="H980" s="2"/>
      <c r="I980" s="1"/>
      <c r="J980" s="1"/>
      <c r="K980" s="5"/>
      <c r="L980" s="6"/>
      <c r="Q980" s="5"/>
      <c r="R980" s="6"/>
      <c r="X980" s="2"/>
      <c r="Y980" s="1"/>
      <c r="AF980" s="2"/>
      <c r="AG980" s="1"/>
      <c r="BG980" s="1"/>
      <c r="BS980" s="3"/>
      <c r="CC980" s="1"/>
      <c r="CE980" s="1"/>
      <c r="CF980" s="1"/>
      <c r="CJ980" s="1"/>
      <c r="DF980" s="2"/>
    </row>
    <row r="981" spans="1:110">
      <c r="A981" s="1"/>
      <c r="B981" s="4"/>
      <c r="C981" s="1"/>
      <c r="D981" s="1"/>
      <c r="E981" s="1"/>
      <c r="F981" s="1"/>
      <c r="G981" s="1"/>
      <c r="H981" s="2"/>
      <c r="I981" s="1"/>
      <c r="J981" s="1"/>
      <c r="K981" s="5"/>
      <c r="L981" s="6"/>
      <c r="Q981" s="5"/>
      <c r="R981" s="6"/>
      <c r="X981" s="2"/>
      <c r="Y981" s="1"/>
      <c r="AF981" s="2"/>
      <c r="AG981" s="1"/>
      <c r="BG981" s="1"/>
      <c r="BS981" s="3"/>
      <c r="CC981" s="1"/>
      <c r="CE981" s="1"/>
      <c r="CF981" s="1"/>
      <c r="CJ981" s="1"/>
      <c r="DF981" s="2"/>
    </row>
    <row r="982" spans="1:110">
      <c r="A982" s="1"/>
      <c r="B982" s="4"/>
      <c r="C982" s="1"/>
      <c r="D982" s="1"/>
      <c r="E982" s="1"/>
      <c r="F982" s="1"/>
      <c r="G982" s="1"/>
      <c r="H982" s="2"/>
      <c r="I982" s="1"/>
      <c r="J982" s="1"/>
      <c r="K982" s="5"/>
      <c r="L982" s="6"/>
      <c r="Q982" s="5"/>
      <c r="R982" s="6"/>
      <c r="X982" s="2"/>
      <c r="Y982" s="1"/>
      <c r="AF982" s="2"/>
      <c r="AG982" s="1"/>
      <c r="BG982" s="1"/>
      <c r="BS982" s="3"/>
      <c r="CC982" s="1"/>
      <c r="CE982" s="1"/>
      <c r="CF982" s="1"/>
      <c r="CJ982" s="1"/>
      <c r="DF982" s="2"/>
    </row>
    <row r="983" spans="1:110">
      <c r="A983" s="1"/>
      <c r="B983" s="4"/>
      <c r="C983" s="1"/>
      <c r="D983" s="1"/>
      <c r="E983" s="1"/>
      <c r="F983" s="1"/>
      <c r="G983" s="1"/>
      <c r="H983" s="2"/>
      <c r="I983" s="1"/>
      <c r="J983" s="1"/>
      <c r="K983" s="5"/>
      <c r="L983" s="6"/>
      <c r="Q983" s="5"/>
      <c r="R983" s="6"/>
      <c r="X983" s="2"/>
      <c r="Y983" s="1"/>
      <c r="AF983" s="2"/>
      <c r="AG983" s="1"/>
      <c r="BG983" s="1"/>
      <c r="BS983" s="3"/>
      <c r="CC983" s="1"/>
      <c r="CE983" s="1"/>
      <c r="CF983" s="1"/>
      <c r="CJ983" s="1"/>
      <c r="DF983" s="2"/>
    </row>
    <row r="984" spans="1:110">
      <c r="A984" s="1"/>
      <c r="B984" s="4"/>
      <c r="C984" s="1"/>
      <c r="D984" s="1"/>
      <c r="E984" s="1"/>
      <c r="F984" s="1"/>
      <c r="G984" s="1"/>
      <c r="H984" s="2"/>
      <c r="I984" s="1"/>
      <c r="J984" s="1"/>
      <c r="K984" s="5"/>
      <c r="L984" s="6"/>
      <c r="Q984" s="5"/>
      <c r="R984" s="6"/>
      <c r="X984" s="2"/>
      <c r="Y984" s="1"/>
      <c r="AF984" s="2"/>
      <c r="AG984" s="1"/>
      <c r="BG984" s="1"/>
      <c r="BS984" s="3"/>
      <c r="CC984" s="1"/>
      <c r="CE984" s="1"/>
      <c r="CF984" s="1"/>
      <c r="CJ984" s="1"/>
      <c r="DF984" s="2"/>
    </row>
    <row r="985" spans="1:110">
      <c r="A985" s="1"/>
      <c r="B985" s="4"/>
      <c r="C985" s="1"/>
      <c r="D985" s="1"/>
      <c r="E985" s="1"/>
      <c r="F985" s="1"/>
      <c r="G985" s="1"/>
      <c r="H985" s="2"/>
      <c r="I985" s="1"/>
      <c r="J985" s="1"/>
      <c r="K985" s="5"/>
      <c r="L985" s="6"/>
      <c r="Q985" s="5"/>
      <c r="R985" s="6"/>
      <c r="X985" s="2"/>
      <c r="Y985" s="1"/>
      <c r="AF985" s="2"/>
      <c r="AG985" s="1"/>
      <c r="BG985" s="1"/>
      <c r="BS985" s="3"/>
      <c r="CC985" s="1"/>
      <c r="CE985" s="1"/>
      <c r="CF985" s="1"/>
      <c r="CJ985" s="1"/>
      <c r="DF985" s="2"/>
    </row>
    <row r="986" spans="1:110">
      <c r="A986" s="1"/>
      <c r="B986" s="4"/>
      <c r="C986" s="1"/>
      <c r="D986" s="1"/>
      <c r="E986" s="1"/>
      <c r="F986" s="1"/>
      <c r="G986" s="1"/>
      <c r="H986" s="2"/>
      <c r="I986" s="1"/>
      <c r="J986" s="1"/>
      <c r="K986" s="5"/>
      <c r="L986" s="6"/>
      <c r="Q986" s="5"/>
      <c r="R986" s="6"/>
      <c r="X986" s="2"/>
      <c r="Y986" s="1"/>
      <c r="AF986" s="2"/>
      <c r="AG986" s="1"/>
      <c r="BG986" s="1"/>
      <c r="BS986" s="3"/>
      <c r="CC986" s="1"/>
      <c r="CE986" s="1"/>
      <c r="CF986" s="1"/>
      <c r="CJ986" s="1"/>
      <c r="DF986" s="2"/>
    </row>
    <row r="987" spans="1:110">
      <c r="A987" s="1"/>
      <c r="B987" s="4"/>
      <c r="C987" s="1"/>
      <c r="D987" s="1"/>
      <c r="E987" s="1"/>
      <c r="F987" s="1"/>
      <c r="G987" s="1"/>
      <c r="H987" s="2"/>
      <c r="I987" s="1"/>
      <c r="J987" s="1"/>
      <c r="K987" s="5"/>
      <c r="L987" s="6"/>
      <c r="Q987" s="5"/>
      <c r="R987" s="6"/>
      <c r="X987" s="2"/>
      <c r="Y987" s="1"/>
      <c r="AF987" s="2"/>
      <c r="AG987" s="1"/>
      <c r="BG987" s="1"/>
      <c r="BS987" s="3"/>
      <c r="CC987" s="1"/>
      <c r="CE987" s="1"/>
      <c r="CF987" s="1"/>
      <c r="CJ987" s="1"/>
      <c r="DF987" s="2"/>
    </row>
    <row r="988" spans="1:110">
      <c r="A988" s="1"/>
      <c r="B988" s="4"/>
      <c r="C988" s="1"/>
      <c r="D988" s="1"/>
      <c r="E988" s="1"/>
      <c r="F988" s="1"/>
      <c r="G988" s="1"/>
      <c r="H988" s="2"/>
      <c r="I988" s="1"/>
      <c r="J988" s="1"/>
      <c r="K988" s="5"/>
      <c r="L988" s="6"/>
      <c r="Q988" s="5"/>
      <c r="R988" s="6"/>
      <c r="X988" s="2"/>
      <c r="Y988" s="1"/>
      <c r="AF988" s="2"/>
      <c r="AG988" s="1"/>
      <c r="BG988" s="1"/>
      <c r="BS988" s="3"/>
      <c r="CC988" s="1"/>
      <c r="CE988" s="1"/>
      <c r="CF988" s="1"/>
      <c r="CJ988" s="1"/>
      <c r="DF988" s="2"/>
    </row>
    <row r="989" spans="1:110">
      <c r="A989" s="1"/>
      <c r="B989" s="4"/>
      <c r="C989" s="1"/>
      <c r="D989" s="1"/>
      <c r="E989" s="1"/>
      <c r="F989" s="1"/>
      <c r="G989" s="1"/>
      <c r="H989" s="2"/>
      <c r="I989" s="1"/>
      <c r="J989" s="1"/>
      <c r="K989" s="5"/>
      <c r="L989" s="6"/>
      <c r="Q989" s="5"/>
      <c r="R989" s="6"/>
      <c r="X989" s="2"/>
      <c r="Y989" s="1"/>
      <c r="AF989" s="2"/>
      <c r="AG989" s="1"/>
      <c r="BG989" s="1"/>
      <c r="BS989" s="3"/>
      <c r="CC989" s="1"/>
      <c r="CE989" s="1"/>
      <c r="CF989" s="1"/>
      <c r="CJ989" s="1"/>
      <c r="DF989" s="2"/>
    </row>
    <row r="990" spans="1:110">
      <c r="A990" s="1"/>
      <c r="B990" s="4"/>
      <c r="C990" s="1"/>
      <c r="D990" s="1"/>
      <c r="E990" s="1"/>
      <c r="F990" s="1"/>
      <c r="G990" s="1"/>
      <c r="H990" s="2"/>
      <c r="I990" s="1"/>
      <c r="J990" s="1"/>
      <c r="K990" s="5"/>
      <c r="L990" s="6"/>
      <c r="Q990" s="5"/>
      <c r="R990" s="6"/>
      <c r="X990" s="2"/>
      <c r="Y990" s="1"/>
      <c r="AF990" s="2"/>
      <c r="AG990" s="1"/>
      <c r="BG990" s="1"/>
      <c r="BS990" s="3"/>
      <c r="CC990" s="1"/>
      <c r="CE990" s="1"/>
      <c r="CF990" s="1"/>
      <c r="CJ990" s="1"/>
      <c r="DF990" s="2"/>
    </row>
    <row r="991" spans="1:110">
      <c r="A991" s="1"/>
      <c r="B991" s="4"/>
      <c r="C991" s="1"/>
      <c r="D991" s="1"/>
      <c r="E991" s="1"/>
      <c r="F991" s="1"/>
      <c r="G991" s="1"/>
      <c r="H991" s="2"/>
      <c r="I991" s="1"/>
      <c r="J991" s="1"/>
      <c r="K991" s="5"/>
      <c r="L991" s="6"/>
      <c r="Q991" s="5"/>
      <c r="R991" s="6"/>
      <c r="X991" s="2"/>
      <c r="Y991" s="1"/>
      <c r="AF991" s="2"/>
      <c r="AG991" s="1"/>
      <c r="BG991" s="1"/>
      <c r="BS991" s="3"/>
      <c r="CC991" s="1"/>
      <c r="CE991" s="1"/>
      <c r="CF991" s="1"/>
      <c r="CJ991" s="1"/>
      <c r="DF991" s="2"/>
    </row>
    <row r="992" spans="1:110">
      <c r="A992" s="1"/>
      <c r="B992" s="4"/>
      <c r="C992" s="1"/>
      <c r="D992" s="1"/>
      <c r="E992" s="1"/>
      <c r="F992" s="1"/>
      <c r="G992" s="1"/>
      <c r="H992" s="2"/>
      <c r="I992" s="1"/>
      <c r="J992" s="1"/>
      <c r="K992" s="5"/>
      <c r="L992" s="6"/>
      <c r="Q992" s="5"/>
      <c r="R992" s="6"/>
      <c r="X992" s="2"/>
      <c r="Y992" s="1"/>
      <c r="AF992" s="2"/>
      <c r="AG992" s="1"/>
      <c r="BG992" s="1"/>
      <c r="BS992" s="3"/>
      <c r="CC992" s="1"/>
      <c r="CE992" s="1"/>
      <c r="CF992" s="1"/>
      <c r="CJ992" s="1"/>
      <c r="DF992" s="2"/>
    </row>
    <row r="993" spans="1:110">
      <c r="A993" s="1"/>
      <c r="B993" s="4"/>
      <c r="C993" s="1"/>
      <c r="D993" s="1"/>
      <c r="E993" s="1"/>
      <c r="F993" s="1"/>
      <c r="G993" s="1"/>
      <c r="H993" s="2"/>
      <c r="I993" s="1"/>
      <c r="J993" s="1"/>
      <c r="K993" s="5"/>
      <c r="L993" s="6"/>
      <c r="Q993" s="5"/>
      <c r="R993" s="6"/>
      <c r="X993" s="2"/>
      <c r="Y993" s="1"/>
      <c r="AF993" s="2"/>
      <c r="AG993" s="1"/>
      <c r="BG993" s="1"/>
      <c r="BS993" s="3"/>
      <c r="CC993" s="1"/>
      <c r="CE993" s="1"/>
      <c r="CF993" s="1"/>
      <c r="CJ993" s="1"/>
      <c r="DF993" s="2"/>
    </row>
    <row r="994" spans="1:110">
      <c r="A994" s="1"/>
      <c r="B994" s="4"/>
      <c r="C994" s="1"/>
      <c r="D994" s="1"/>
      <c r="E994" s="1"/>
      <c r="F994" s="1"/>
      <c r="G994" s="1"/>
      <c r="H994" s="2"/>
      <c r="I994" s="1"/>
      <c r="J994" s="1"/>
      <c r="K994" s="5"/>
      <c r="L994" s="6"/>
      <c r="Q994" s="5"/>
      <c r="R994" s="6"/>
      <c r="X994" s="2"/>
      <c r="Y994" s="1"/>
      <c r="AF994" s="2"/>
      <c r="AG994" s="1"/>
      <c r="BG994" s="1"/>
      <c r="BS994" s="3"/>
      <c r="CC994" s="1"/>
      <c r="CE994" s="1"/>
      <c r="CF994" s="1"/>
      <c r="CJ994" s="1"/>
      <c r="DF994" s="2"/>
    </row>
    <row r="995" spans="1:110">
      <c r="A995" s="1"/>
      <c r="B995" s="4"/>
      <c r="C995" s="1"/>
      <c r="D995" s="1"/>
      <c r="E995" s="1"/>
      <c r="F995" s="1"/>
      <c r="G995" s="1"/>
      <c r="H995" s="2"/>
      <c r="I995" s="1"/>
      <c r="J995" s="1"/>
      <c r="K995" s="5"/>
      <c r="L995" s="6"/>
      <c r="Q995" s="5"/>
      <c r="R995" s="6"/>
      <c r="X995" s="2"/>
      <c r="Y995" s="1"/>
      <c r="AF995" s="2"/>
      <c r="AG995" s="1"/>
      <c r="BG995" s="1"/>
      <c r="BS995" s="3"/>
      <c r="CC995" s="1"/>
      <c r="CE995" s="1"/>
      <c r="CF995" s="1"/>
      <c r="CJ995" s="1"/>
      <c r="DF995" s="2"/>
    </row>
    <row r="996" spans="1:110">
      <c r="A996" s="1"/>
      <c r="B996" s="4"/>
      <c r="C996" s="1"/>
      <c r="D996" s="1"/>
      <c r="E996" s="1"/>
      <c r="F996" s="1"/>
      <c r="G996" s="1"/>
      <c r="H996" s="2"/>
      <c r="I996" s="1"/>
      <c r="J996" s="1"/>
      <c r="K996" s="5"/>
      <c r="L996" s="6"/>
      <c r="Q996" s="5"/>
      <c r="R996" s="6"/>
      <c r="X996" s="2"/>
      <c r="Y996" s="1"/>
      <c r="AF996" s="2"/>
      <c r="AG996" s="1"/>
      <c r="BG996" s="1"/>
      <c r="BS996" s="3"/>
      <c r="CC996" s="1"/>
      <c r="CE996" s="1"/>
      <c r="CF996" s="1"/>
      <c r="CJ996" s="1"/>
      <c r="DF996" s="2"/>
    </row>
    <row r="997" spans="1:110">
      <c r="A997" s="1"/>
      <c r="B997" s="4"/>
      <c r="C997" s="1"/>
      <c r="D997" s="1"/>
      <c r="E997" s="1"/>
      <c r="F997" s="1"/>
      <c r="G997" s="1"/>
      <c r="H997" s="2"/>
      <c r="I997" s="1"/>
      <c r="J997" s="1"/>
      <c r="K997" s="5"/>
      <c r="L997" s="6"/>
      <c r="Q997" s="5"/>
      <c r="R997" s="6"/>
      <c r="X997" s="2"/>
      <c r="Y997" s="1"/>
      <c r="AF997" s="2"/>
      <c r="AG997" s="1"/>
      <c r="BG997" s="1"/>
      <c r="BS997" s="3"/>
      <c r="CC997" s="1"/>
      <c r="CE997" s="1"/>
      <c r="CF997" s="1"/>
      <c r="CJ997" s="1"/>
      <c r="DF997" s="2"/>
    </row>
    <row r="998" spans="1:110">
      <c r="A998" s="1"/>
      <c r="B998" s="4"/>
      <c r="C998" s="1"/>
      <c r="D998" s="1"/>
      <c r="E998" s="1"/>
      <c r="F998" s="1"/>
      <c r="G998" s="1"/>
      <c r="H998" s="2"/>
      <c r="I998" s="1"/>
      <c r="J998" s="1"/>
      <c r="K998" s="5"/>
      <c r="L998" s="6"/>
      <c r="Q998" s="5"/>
      <c r="R998" s="6"/>
      <c r="X998" s="2"/>
      <c r="Y998" s="1"/>
      <c r="AF998" s="2"/>
      <c r="AG998" s="1"/>
      <c r="BG998" s="1"/>
      <c r="BS998" s="3"/>
      <c r="CC998" s="1"/>
      <c r="CE998" s="1"/>
      <c r="CF998" s="1"/>
      <c r="CJ998" s="1"/>
      <c r="DF998" s="2"/>
    </row>
    <row r="999" spans="1:110">
      <c r="A999" s="1"/>
      <c r="B999" s="4"/>
      <c r="C999" s="1"/>
      <c r="D999" s="1"/>
      <c r="E999" s="1"/>
      <c r="F999" s="1"/>
      <c r="G999" s="1"/>
      <c r="H999" s="2"/>
      <c r="I999" s="1"/>
      <c r="J999" s="1"/>
      <c r="K999" s="5"/>
      <c r="L999" s="6"/>
      <c r="Q999" s="5"/>
      <c r="R999" s="6"/>
      <c r="X999" s="2"/>
      <c r="Y999" s="1"/>
      <c r="AF999" s="2"/>
      <c r="AG999" s="1"/>
      <c r="BG999" s="1"/>
      <c r="BS999" s="3"/>
      <c r="CC999" s="1"/>
      <c r="CE999" s="1"/>
      <c r="CF999" s="1"/>
      <c r="CJ999" s="1"/>
      <c r="DF999" s="2"/>
    </row>
    <row r="1000" spans="1:110">
      <c r="A1000" s="1"/>
      <c r="B1000" s="4"/>
      <c r="C1000" s="1"/>
      <c r="D1000" s="1"/>
      <c r="E1000" s="1"/>
      <c r="F1000" s="1"/>
      <c r="G1000" s="1"/>
      <c r="H1000" s="2"/>
      <c r="I1000" s="1"/>
      <c r="J1000" s="1"/>
      <c r="K1000" s="5"/>
      <c r="L1000" s="6"/>
      <c r="Q1000" s="5"/>
      <c r="R1000" s="6"/>
      <c r="X1000" s="2"/>
      <c r="Y1000" s="1"/>
      <c r="AF1000" s="2"/>
      <c r="AG1000" s="1"/>
      <c r="BG1000" s="1"/>
      <c r="BS1000" s="3"/>
      <c r="CC1000" s="1"/>
      <c r="CE1000" s="1"/>
      <c r="CF1000" s="1"/>
      <c r="CJ1000" s="1"/>
      <c r="DF1000" s="2"/>
    </row>
    <row r="1001" spans="1:110">
      <c r="A1001" s="1"/>
      <c r="B1001" s="4"/>
      <c r="C1001" s="1"/>
      <c r="D1001" s="1"/>
      <c r="E1001" s="1"/>
      <c r="F1001" s="1"/>
      <c r="G1001" s="1"/>
      <c r="H1001" s="2"/>
      <c r="I1001" s="1"/>
      <c r="J1001" s="1"/>
      <c r="K1001" s="5"/>
      <c r="L1001" s="6"/>
      <c r="Q1001" s="5"/>
      <c r="R1001" s="6"/>
      <c r="X1001" s="2"/>
      <c r="Y1001" s="1"/>
      <c r="AF1001" s="2"/>
      <c r="AG1001" s="1"/>
      <c r="BG1001" s="1"/>
      <c r="BS1001" s="3"/>
      <c r="CC1001" s="1"/>
      <c r="CE1001" s="1"/>
      <c r="CF1001" s="1"/>
      <c r="CJ1001" s="1"/>
      <c r="DF1001" s="2"/>
    </row>
    <row r="1002" spans="1:110">
      <c r="A1002" s="1"/>
      <c r="B1002" s="4"/>
      <c r="C1002" s="1"/>
      <c r="D1002" s="1"/>
      <c r="E1002" s="1"/>
      <c r="F1002" s="1"/>
      <c r="G1002" s="1"/>
      <c r="H1002" s="2"/>
      <c r="I1002" s="1"/>
      <c r="J1002" s="1"/>
      <c r="K1002" s="5"/>
      <c r="L1002" s="6"/>
      <c r="Q1002" s="5"/>
      <c r="R1002" s="6"/>
      <c r="X1002" s="2"/>
      <c r="Y1002" s="1"/>
      <c r="AF1002" s="2"/>
      <c r="AG1002" s="1"/>
      <c r="BG1002" s="1"/>
      <c r="BS1002" s="3"/>
      <c r="CC1002" s="1"/>
      <c r="CE1002" s="1"/>
      <c r="CF1002" s="1"/>
      <c r="CJ1002" s="1"/>
      <c r="DF1002" s="2"/>
    </row>
    <row r="1003" spans="1:110">
      <c r="A1003" s="1"/>
      <c r="B1003" s="4"/>
      <c r="C1003" s="1"/>
      <c r="D1003" s="1"/>
      <c r="E1003" s="1"/>
      <c r="F1003" s="1"/>
      <c r="G1003" s="1"/>
      <c r="H1003" s="2"/>
      <c r="I1003" s="1"/>
      <c r="J1003" s="1"/>
      <c r="K1003" s="5"/>
      <c r="L1003" s="6"/>
      <c r="Q1003" s="5"/>
      <c r="R1003" s="6"/>
      <c r="X1003" s="2"/>
      <c r="Y1003" s="1"/>
      <c r="AF1003" s="2"/>
      <c r="AG1003" s="1"/>
      <c r="BG1003" s="1"/>
      <c r="BS1003" s="3"/>
      <c r="CC1003" s="1"/>
      <c r="CE1003" s="1"/>
      <c r="CF1003" s="1"/>
      <c r="CJ1003" s="1"/>
      <c r="DF1003" s="2"/>
    </row>
    <row r="1004" spans="1:110">
      <c r="A1004" s="1"/>
      <c r="B1004" s="4"/>
      <c r="C1004" s="1"/>
      <c r="D1004" s="1"/>
      <c r="E1004" s="1"/>
      <c r="F1004" s="1"/>
      <c r="G1004" s="1"/>
      <c r="H1004" s="2"/>
      <c r="I1004" s="1"/>
      <c r="J1004" s="1"/>
      <c r="K1004" s="5"/>
      <c r="L1004" s="6"/>
      <c r="Q1004" s="5"/>
      <c r="R1004" s="6"/>
      <c r="X1004" s="2"/>
      <c r="Y1004" s="1"/>
      <c r="AF1004" s="2"/>
      <c r="AG1004" s="1"/>
      <c r="BG1004" s="1"/>
      <c r="BS1004" s="3"/>
      <c r="CC1004" s="1"/>
      <c r="CE1004" s="1"/>
      <c r="CF1004" s="1"/>
      <c r="CJ1004" s="1"/>
      <c r="DF1004" s="2"/>
    </row>
    <row r="1005" spans="1:110">
      <c r="A1005" s="1"/>
      <c r="B1005" s="4"/>
      <c r="C1005" s="1"/>
      <c r="D1005" s="1"/>
      <c r="E1005" s="1"/>
      <c r="F1005" s="1"/>
      <c r="G1005" s="1"/>
      <c r="H1005" s="2"/>
      <c r="I1005" s="1"/>
      <c r="J1005" s="1"/>
      <c r="K1005" s="5"/>
      <c r="L1005" s="6"/>
      <c r="Q1005" s="5"/>
      <c r="R1005" s="6"/>
      <c r="X1005" s="2"/>
      <c r="Y1005" s="1"/>
      <c r="AF1005" s="2"/>
      <c r="AG1005" s="1"/>
      <c r="BG1005" s="1"/>
      <c r="BS1005" s="3"/>
      <c r="CC1005" s="1"/>
      <c r="CE1005" s="1"/>
      <c r="CF1005" s="1"/>
      <c r="CJ1005" s="1"/>
      <c r="DF1005" s="2"/>
    </row>
    <row r="1006" spans="1:110">
      <c r="A1006" s="1"/>
      <c r="B1006" s="4"/>
      <c r="C1006" s="1"/>
      <c r="D1006" s="1"/>
      <c r="E1006" s="1"/>
      <c r="F1006" s="1"/>
      <c r="G1006" s="1"/>
      <c r="H1006" s="2"/>
      <c r="I1006" s="1"/>
      <c r="J1006" s="1"/>
      <c r="K1006" s="5"/>
      <c r="L1006" s="6"/>
      <c r="Q1006" s="5"/>
      <c r="R1006" s="6"/>
      <c r="X1006" s="2"/>
      <c r="Y1006" s="1"/>
      <c r="AF1006" s="2"/>
      <c r="AG1006" s="1"/>
      <c r="BG1006" s="1"/>
      <c r="BS1006" s="3"/>
      <c r="CC1006" s="1"/>
      <c r="CE1006" s="1"/>
      <c r="CF1006" s="1"/>
      <c r="CJ1006" s="1"/>
      <c r="DF1006" s="2"/>
    </row>
    <row r="1007" spans="1:110">
      <c r="A1007" s="1"/>
      <c r="B1007" s="4"/>
      <c r="C1007" s="1"/>
      <c r="D1007" s="1"/>
      <c r="E1007" s="1"/>
      <c r="F1007" s="1"/>
      <c r="G1007" s="1"/>
      <c r="H1007" s="2"/>
      <c r="I1007" s="1"/>
      <c r="J1007" s="1"/>
      <c r="K1007" s="5"/>
      <c r="L1007" s="6"/>
      <c r="Q1007" s="5"/>
      <c r="R1007" s="6"/>
      <c r="X1007" s="2"/>
      <c r="Y1007" s="1"/>
      <c r="AF1007" s="2"/>
      <c r="AG1007" s="1"/>
      <c r="BG1007" s="1"/>
      <c r="BS1007" s="3"/>
      <c r="CC1007" s="1"/>
      <c r="CE1007" s="1"/>
      <c r="CF1007" s="1"/>
      <c r="CJ1007" s="1"/>
      <c r="DF1007" s="2"/>
    </row>
    <row r="1008" spans="1:110">
      <c r="A1008" s="1"/>
      <c r="B1008" s="4"/>
      <c r="C1008" s="1"/>
      <c r="D1008" s="1"/>
      <c r="E1008" s="1"/>
      <c r="F1008" s="1"/>
      <c r="G1008" s="1"/>
      <c r="H1008" s="2"/>
      <c r="I1008" s="1"/>
      <c r="J1008" s="1"/>
      <c r="K1008" s="5"/>
      <c r="L1008" s="6"/>
      <c r="Q1008" s="5"/>
      <c r="R1008" s="6"/>
      <c r="X1008" s="2"/>
      <c r="Y1008" s="1"/>
      <c r="AF1008" s="2"/>
      <c r="AG1008" s="1"/>
      <c r="BG1008" s="1"/>
      <c r="BS1008" s="3"/>
      <c r="CC1008" s="1"/>
      <c r="CE1008" s="1"/>
      <c r="CF1008" s="1"/>
      <c r="CJ1008" s="1"/>
      <c r="DF1008" s="2"/>
    </row>
    <row r="1009" spans="1:110">
      <c r="A1009" s="1"/>
      <c r="B1009" s="4"/>
      <c r="C1009" s="1"/>
      <c r="D1009" s="1"/>
      <c r="E1009" s="1"/>
      <c r="F1009" s="1"/>
      <c r="G1009" s="1"/>
      <c r="H1009" s="2"/>
      <c r="I1009" s="1"/>
      <c r="J1009" s="1"/>
      <c r="K1009" s="5"/>
      <c r="L1009" s="6"/>
      <c r="Q1009" s="5"/>
      <c r="R1009" s="6"/>
      <c r="X1009" s="2"/>
      <c r="Y1009" s="1"/>
      <c r="AF1009" s="2"/>
      <c r="AG1009" s="1"/>
      <c r="BG1009" s="1"/>
      <c r="BS1009" s="3"/>
      <c r="CC1009" s="1"/>
      <c r="CE1009" s="1"/>
      <c r="CF1009" s="1"/>
      <c r="CJ1009" s="1"/>
      <c r="DF1009" s="2"/>
    </row>
    <row r="1010" spans="1:110">
      <c r="A1010" s="1"/>
      <c r="B1010" s="4"/>
      <c r="C1010" s="1"/>
      <c r="D1010" s="1"/>
      <c r="E1010" s="1"/>
      <c r="F1010" s="1"/>
      <c r="G1010" s="1"/>
      <c r="H1010" s="2"/>
      <c r="I1010" s="1"/>
      <c r="J1010" s="1"/>
      <c r="K1010" s="5"/>
      <c r="L1010" s="6"/>
      <c r="Q1010" s="5"/>
      <c r="R1010" s="6"/>
      <c r="X1010" s="2"/>
      <c r="Y1010" s="1"/>
      <c r="AF1010" s="2"/>
      <c r="AG1010" s="1"/>
      <c r="BG1010" s="1"/>
      <c r="BS1010" s="3"/>
      <c r="CC1010" s="1"/>
      <c r="CE1010" s="1"/>
      <c r="CF1010" s="1"/>
      <c r="CJ1010" s="1"/>
      <c r="DF1010" s="2"/>
    </row>
    <row r="1011" spans="1:110">
      <c r="A1011" s="1"/>
      <c r="B1011" s="4"/>
      <c r="C1011" s="1"/>
      <c r="D1011" s="1"/>
      <c r="E1011" s="1"/>
      <c r="F1011" s="1"/>
      <c r="G1011" s="1"/>
      <c r="H1011" s="2"/>
      <c r="I1011" s="1"/>
      <c r="J1011" s="1"/>
      <c r="K1011" s="5"/>
      <c r="L1011" s="6"/>
      <c r="Q1011" s="5"/>
      <c r="R1011" s="6"/>
      <c r="X1011" s="2"/>
      <c r="Y1011" s="1"/>
      <c r="AF1011" s="2"/>
      <c r="AG1011" s="1"/>
      <c r="BG1011" s="1"/>
      <c r="BS1011" s="3"/>
      <c r="CC1011" s="1"/>
      <c r="CE1011" s="1"/>
      <c r="CF1011" s="1"/>
      <c r="CJ1011" s="1"/>
      <c r="DF1011" s="2"/>
    </row>
    <row r="1012" spans="1:110">
      <c r="A1012" s="1"/>
      <c r="B1012" s="4"/>
      <c r="C1012" s="1"/>
      <c r="D1012" s="1"/>
      <c r="E1012" s="1"/>
      <c r="F1012" s="1"/>
      <c r="G1012" s="1"/>
      <c r="H1012" s="2"/>
      <c r="I1012" s="1"/>
      <c r="J1012" s="1"/>
      <c r="K1012" s="5"/>
      <c r="L1012" s="6"/>
      <c r="Q1012" s="5"/>
      <c r="R1012" s="6"/>
      <c r="X1012" s="2"/>
      <c r="Y1012" s="1"/>
      <c r="AF1012" s="2"/>
      <c r="AG1012" s="1"/>
      <c r="BG1012" s="1"/>
      <c r="BS1012" s="3"/>
      <c r="CC1012" s="1"/>
      <c r="CE1012" s="1"/>
      <c r="CF1012" s="1"/>
      <c r="CJ1012" s="1"/>
      <c r="DF1012" s="2"/>
    </row>
    <row r="1013" spans="1:110">
      <c r="A1013" s="1"/>
      <c r="B1013" s="4"/>
      <c r="C1013" s="1"/>
      <c r="D1013" s="1"/>
      <c r="E1013" s="1"/>
      <c r="F1013" s="1"/>
      <c r="G1013" s="1"/>
      <c r="H1013" s="2"/>
      <c r="I1013" s="1"/>
      <c r="J1013" s="1"/>
      <c r="K1013" s="5"/>
      <c r="L1013" s="6"/>
      <c r="Q1013" s="5"/>
      <c r="R1013" s="6"/>
      <c r="X1013" s="2"/>
      <c r="Y1013" s="1"/>
      <c r="AF1013" s="2"/>
      <c r="AG1013" s="1"/>
      <c r="BG1013" s="1"/>
      <c r="BS1013" s="3"/>
      <c r="CC1013" s="1"/>
      <c r="CE1013" s="1"/>
      <c r="CF1013" s="1"/>
      <c r="CJ1013" s="1"/>
      <c r="DF1013" s="2"/>
    </row>
    <row r="1014" spans="1:110">
      <c r="A1014" s="1"/>
      <c r="B1014" s="4"/>
      <c r="C1014" s="1"/>
      <c r="D1014" s="1"/>
      <c r="E1014" s="1"/>
      <c r="F1014" s="1"/>
      <c r="G1014" s="1"/>
      <c r="H1014" s="2"/>
      <c r="I1014" s="1"/>
      <c r="J1014" s="1"/>
      <c r="K1014" s="5"/>
      <c r="L1014" s="6"/>
      <c r="Q1014" s="5"/>
      <c r="R1014" s="6"/>
      <c r="X1014" s="2"/>
      <c r="Y1014" s="1"/>
      <c r="AF1014" s="2"/>
      <c r="AG1014" s="1"/>
      <c r="BG1014" s="1"/>
      <c r="BS1014" s="3"/>
      <c r="CC1014" s="1"/>
      <c r="CE1014" s="1"/>
      <c r="CF1014" s="1"/>
      <c r="CJ1014" s="1"/>
      <c r="DF1014" s="2"/>
    </row>
    <row r="1015" spans="1:110">
      <c r="A1015" s="1"/>
      <c r="B1015" s="4"/>
      <c r="C1015" s="1"/>
      <c r="D1015" s="1"/>
      <c r="E1015" s="1"/>
      <c r="F1015" s="1"/>
      <c r="G1015" s="1"/>
      <c r="H1015" s="2"/>
      <c r="I1015" s="1"/>
      <c r="J1015" s="1"/>
      <c r="K1015" s="5"/>
      <c r="L1015" s="6"/>
      <c r="Q1015" s="5"/>
      <c r="R1015" s="6"/>
      <c r="X1015" s="2"/>
      <c r="Y1015" s="1"/>
      <c r="AF1015" s="2"/>
      <c r="AG1015" s="1"/>
      <c r="BG1015" s="1"/>
      <c r="BS1015" s="3"/>
      <c r="CC1015" s="1"/>
      <c r="CE1015" s="1"/>
      <c r="CF1015" s="1"/>
      <c r="CJ1015" s="1"/>
      <c r="DF1015" s="2"/>
    </row>
    <row r="1016" spans="1:110">
      <c r="A1016" s="1"/>
      <c r="B1016" s="4"/>
      <c r="C1016" s="1"/>
      <c r="D1016" s="1"/>
      <c r="E1016" s="1"/>
      <c r="F1016" s="1"/>
      <c r="G1016" s="1"/>
      <c r="H1016" s="2"/>
      <c r="I1016" s="1"/>
      <c r="J1016" s="1"/>
      <c r="K1016" s="5"/>
      <c r="L1016" s="6"/>
      <c r="Q1016" s="5"/>
      <c r="R1016" s="6"/>
      <c r="X1016" s="2"/>
      <c r="Y1016" s="1"/>
      <c r="AF1016" s="2"/>
      <c r="AG1016" s="1"/>
      <c r="BG1016" s="1"/>
      <c r="BS1016" s="3"/>
      <c r="CC1016" s="1"/>
      <c r="CE1016" s="1"/>
      <c r="CF1016" s="1"/>
      <c r="CJ1016" s="1"/>
      <c r="DF1016" s="2"/>
    </row>
    <row r="1017" spans="1:110">
      <c r="A1017" s="1"/>
      <c r="B1017" s="4"/>
      <c r="C1017" s="1"/>
      <c r="D1017" s="1"/>
      <c r="E1017" s="1"/>
      <c r="F1017" s="1"/>
      <c r="G1017" s="1"/>
      <c r="H1017" s="2"/>
      <c r="I1017" s="1"/>
      <c r="J1017" s="1"/>
      <c r="K1017" s="5"/>
      <c r="L1017" s="6"/>
      <c r="Q1017" s="5"/>
      <c r="R1017" s="6"/>
      <c r="X1017" s="2"/>
      <c r="Y1017" s="1"/>
      <c r="AF1017" s="2"/>
      <c r="AG1017" s="1"/>
      <c r="BG1017" s="1"/>
      <c r="BS1017" s="3"/>
      <c r="CC1017" s="1"/>
      <c r="CE1017" s="1"/>
      <c r="CF1017" s="1"/>
      <c r="CJ1017" s="1"/>
      <c r="DF1017" s="2"/>
    </row>
    <row r="1018" spans="1:110">
      <c r="A1018" s="1"/>
      <c r="B1018" s="4"/>
      <c r="C1018" s="1"/>
      <c r="D1018" s="1"/>
      <c r="E1018" s="1"/>
      <c r="F1018" s="1"/>
      <c r="G1018" s="1"/>
      <c r="H1018" s="2"/>
      <c r="I1018" s="1"/>
      <c r="J1018" s="1"/>
      <c r="K1018" s="5"/>
      <c r="L1018" s="6"/>
      <c r="Q1018" s="5"/>
      <c r="R1018" s="6"/>
      <c r="X1018" s="2"/>
      <c r="Y1018" s="1"/>
      <c r="AF1018" s="2"/>
      <c r="AG1018" s="1"/>
      <c r="BG1018" s="1"/>
      <c r="BS1018" s="3"/>
      <c r="CC1018" s="1"/>
      <c r="CE1018" s="1"/>
      <c r="CF1018" s="1"/>
      <c r="CJ1018" s="1"/>
      <c r="DF1018" s="2"/>
    </row>
    <row r="1019" spans="1:110">
      <c r="A1019" s="1"/>
      <c r="B1019" s="4"/>
      <c r="C1019" s="1"/>
      <c r="D1019" s="1"/>
      <c r="E1019" s="1"/>
      <c r="F1019" s="1"/>
      <c r="G1019" s="1"/>
      <c r="H1019" s="2"/>
      <c r="I1019" s="1"/>
      <c r="J1019" s="1"/>
      <c r="K1019" s="5"/>
      <c r="L1019" s="6"/>
      <c r="Q1019" s="5"/>
      <c r="R1019" s="6"/>
      <c r="X1019" s="2"/>
      <c r="Y1019" s="1"/>
      <c r="AF1019" s="2"/>
      <c r="AG1019" s="1"/>
      <c r="BG1019" s="1"/>
      <c r="BS1019" s="3"/>
      <c r="CC1019" s="1"/>
      <c r="CE1019" s="1"/>
      <c r="CF1019" s="1"/>
      <c r="CJ1019" s="1"/>
      <c r="DF1019" s="2"/>
    </row>
    <row r="1020" spans="1:110">
      <c r="A1020" s="1"/>
      <c r="B1020" s="4"/>
      <c r="C1020" s="1"/>
      <c r="D1020" s="1"/>
      <c r="E1020" s="1"/>
      <c r="F1020" s="1"/>
      <c r="G1020" s="1"/>
      <c r="H1020" s="2"/>
      <c r="I1020" s="1"/>
      <c r="J1020" s="1"/>
      <c r="K1020" s="5"/>
      <c r="L1020" s="6"/>
      <c r="Q1020" s="5"/>
      <c r="R1020" s="6"/>
      <c r="X1020" s="2"/>
      <c r="Y1020" s="1"/>
      <c r="AF1020" s="2"/>
      <c r="AG1020" s="1"/>
      <c r="BG1020" s="1"/>
      <c r="BS1020" s="3"/>
      <c r="CC1020" s="1"/>
      <c r="CE1020" s="1"/>
      <c r="CF1020" s="1"/>
      <c r="CJ1020" s="1"/>
      <c r="DF1020" s="2"/>
    </row>
    <row r="1021" spans="1:110">
      <c r="A1021" s="1"/>
      <c r="B1021" s="4"/>
      <c r="C1021" s="1"/>
      <c r="D1021" s="1"/>
      <c r="E1021" s="1"/>
      <c r="F1021" s="1"/>
      <c r="G1021" s="1"/>
      <c r="H1021" s="2"/>
      <c r="I1021" s="1"/>
      <c r="J1021" s="1"/>
      <c r="K1021" s="5"/>
      <c r="L1021" s="6"/>
      <c r="Q1021" s="5"/>
      <c r="R1021" s="6"/>
      <c r="X1021" s="2"/>
      <c r="Y1021" s="1"/>
      <c r="AF1021" s="2"/>
      <c r="AG1021" s="1"/>
      <c r="BG1021" s="1"/>
      <c r="BS1021" s="3"/>
      <c r="CC1021" s="1"/>
      <c r="CE1021" s="1"/>
      <c r="CF1021" s="1"/>
      <c r="CJ1021" s="1"/>
      <c r="DF1021" s="2"/>
    </row>
    <row r="1022" spans="1:110">
      <c r="A1022" s="1"/>
      <c r="B1022" s="4"/>
      <c r="C1022" s="1"/>
      <c r="D1022" s="1"/>
      <c r="E1022" s="1"/>
      <c r="F1022" s="1"/>
      <c r="G1022" s="1"/>
      <c r="H1022" s="2"/>
      <c r="I1022" s="1"/>
      <c r="J1022" s="1"/>
      <c r="K1022" s="5"/>
      <c r="L1022" s="6"/>
      <c r="Q1022" s="5"/>
      <c r="R1022" s="6"/>
      <c r="X1022" s="2"/>
      <c r="Y1022" s="1"/>
      <c r="AF1022" s="2"/>
      <c r="AG1022" s="1"/>
      <c r="BG1022" s="1"/>
      <c r="BS1022" s="3"/>
      <c r="CC1022" s="1"/>
      <c r="CE1022" s="1"/>
      <c r="CF1022" s="1"/>
      <c r="CJ1022" s="1"/>
      <c r="DF1022" s="2"/>
    </row>
    <row r="1023" spans="1:110">
      <c r="A1023" s="1"/>
      <c r="B1023" s="4"/>
      <c r="C1023" s="1"/>
      <c r="D1023" s="1"/>
      <c r="E1023" s="1"/>
      <c r="F1023" s="1"/>
      <c r="G1023" s="1"/>
      <c r="H1023" s="2"/>
      <c r="I1023" s="1"/>
      <c r="J1023" s="1"/>
      <c r="K1023" s="5"/>
      <c r="L1023" s="6"/>
      <c r="Q1023" s="5"/>
      <c r="R1023" s="6"/>
      <c r="X1023" s="2"/>
      <c r="Y1023" s="1"/>
      <c r="AF1023" s="2"/>
      <c r="AG1023" s="1"/>
      <c r="BG1023" s="1"/>
      <c r="BS1023" s="3"/>
      <c r="CC1023" s="1"/>
      <c r="CE1023" s="1"/>
      <c r="CF1023" s="1"/>
      <c r="CJ1023" s="1"/>
      <c r="DF1023" s="2"/>
    </row>
    <row r="1024" spans="1:110">
      <c r="A1024" s="1"/>
      <c r="B1024" s="4"/>
      <c r="C1024" s="1"/>
      <c r="D1024" s="1"/>
      <c r="E1024" s="1"/>
      <c r="F1024" s="1"/>
      <c r="G1024" s="1"/>
      <c r="H1024" s="2"/>
      <c r="I1024" s="1"/>
      <c r="J1024" s="1"/>
      <c r="K1024" s="5"/>
      <c r="L1024" s="6"/>
      <c r="Q1024" s="5"/>
      <c r="R1024" s="6"/>
      <c r="X1024" s="2"/>
      <c r="Y1024" s="1"/>
      <c r="AF1024" s="2"/>
      <c r="AG1024" s="1"/>
      <c r="BG1024" s="1"/>
      <c r="BS1024" s="3"/>
      <c r="CC1024" s="1"/>
      <c r="CE1024" s="1"/>
      <c r="CF1024" s="1"/>
      <c r="CJ1024" s="1"/>
      <c r="DF1024" s="2"/>
    </row>
    <row r="1025" spans="1:110">
      <c r="A1025" s="1"/>
      <c r="B1025" s="4"/>
      <c r="C1025" s="1"/>
      <c r="D1025" s="1"/>
      <c r="E1025" s="1"/>
      <c r="F1025" s="1"/>
      <c r="G1025" s="1"/>
      <c r="H1025" s="2"/>
      <c r="I1025" s="1"/>
      <c r="J1025" s="1"/>
      <c r="K1025" s="5"/>
      <c r="L1025" s="6"/>
      <c r="Q1025" s="5"/>
      <c r="R1025" s="6"/>
      <c r="X1025" s="2"/>
      <c r="Y1025" s="1"/>
      <c r="AF1025" s="2"/>
      <c r="AG1025" s="1"/>
      <c r="BG1025" s="1"/>
      <c r="BS1025" s="3"/>
      <c r="CC1025" s="1"/>
      <c r="CE1025" s="1"/>
      <c r="CF1025" s="1"/>
      <c r="CJ1025" s="1"/>
      <c r="DF1025" s="2"/>
    </row>
    <row r="1026" spans="1:110">
      <c r="A1026" s="1"/>
      <c r="B1026" s="4"/>
      <c r="C1026" s="1"/>
      <c r="D1026" s="1"/>
      <c r="E1026" s="1"/>
      <c r="F1026" s="1"/>
      <c r="G1026" s="1"/>
      <c r="H1026" s="2"/>
      <c r="I1026" s="1"/>
      <c r="J1026" s="1"/>
      <c r="K1026" s="5"/>
      <c r="L1026" s="6"/>
      <c r="Q1026" s="5"/>
      <c r="R1026" s="6"/>
      <c r="X1026" s="2"/>
      <c r="Y1026" s="1"/>
      <c r="AF1026" s="2"/>
      <c r="AG1026" s="1"/>
      <c r="BG1026" s="1"/>
      <c r="BS1026" s="3"/>
      <c r="CC1026" s="1"/>
      <c r="CE1026" s="1"/>
      <c r="CF1026" s="1"/>
      <c r="CJ1026" s="1"/>
      <c r="DF1026" s="2"/>
    </row>
    <row r="1027" spans="1:110">
      <c r="A1027" s="1"/>
      <c r="B1027" s="4"/>
      <c r="C1027" s="1"/>
      <c r="D1027" s="1"/>
      <c r="E1027" s="1"/>
      <c r="F1027" s="1"/>
      <c r="G1027" s="1"/>
      <c r="H1027" s="2"/>
      <c r="I1027" s="1"/>
      <c r="J1027" s="1"/>
      <c r="K1027" s="5"/>
      <c r="L1027" s="6"/>
      <c r="Q1027" s="5"/>
      <c r="R1027" s="6"/>
      <c r="X1027" s="2"/>
      <c r="Y1027" s="1"/>
      <c r="AF1027" s="2"/>
      <c r="AG1027" s="1"/>
      <c r="BG1027" s="1"/>
      <c r="BS1027" s="3"/>
      <c r="CC1027" s="1"/>
      <c r="CE1027" s="1"/>
      <c r="CF1027" s="1"/>
      <c r="CJ1027" s="1"/>
      <c r="DF1027" s="2"/>
    </row>
    <row r="1028" spans="1:110">
      <c r="A1028" s="1"/>
      <c r="B1028" s="4"/>
      <c r="C1028" s="1"/>
      <c r="D1028" s="1"/>
      <c r="E1028" s="1"/>
      <c r="F1028" s="1"/>
      <c r="G1028" s="1"/>
      <c r="H1028" s="2"/>
      <c r="I1028" s="1"/>
      <c r="J1028" s="1"/>
      <c r="K1028" s="5"/>
      <c r="L1028" s="6"/>
      <c r="Q1028" s="5"/>
      <c r="R1028" s="6"/>
      <c r="X1028" s="2"/>
      <c r="Y1028" s="1"/>
      <c r="AF1028" s="2"/>
      <c r="AG1028" s="1"/>
      <c r="BG1028" s="1"/>
      <c r="BS1028" s="3"/>
      <c r="CC1028" s="1"/>
      <c r="CE1028" s="1"/>
      <c r="CF1028" s="1"/>
      <c r="CJ1028" s="1"/>
      <c r="DF1028" s="2"/>
    </row>
    <row r="1029" spans="1:110">
      <c r="A1029" s="1"/>
      <c r="B1029" s="4"/>
      <c r="C1029" s="1"/>
      <c r="D1029" s="1"/>
      <c r="E1029" s="1"/>
      <c r="F1029" s="1"/>
      <c r="G1029" s="1"/>
      <c r="H1029" s="2"/>
      <c r="I1029" s="1"/>
      <c r="J1029" s="1"/>
      <c r="K1029" s="5"/>
      <c r="L1029" s="6"/>
      <c r="Q1029" s="5"/>
      <c r="R1029" s="6"/>
      <c r="X1029" s="2"/>
      <c r="Y1029" s="1"/>
      <c r="AF1029" s="2"/>
      <c r="AG1029" s="1"/>
      <c r="BG1029" s="1"/>
      <c r="BS1029" s="3"/>
      <c r="CC1029" s="1"/>
      <c r="CE1029" s="1"/>
      <c r="CF1029" s="1"/>
      <c r="CJ1029" s="1"/>
      <c r="DF1029" s="2"/>
    </row>
    <row r="1030" spans="1:110">
      <c r="A1030" s="1"/>
      <c r="B1030" s="4"/>
      <c r="C1030" s="1"/>
      <c r="D1030" s="1"/>
      <c r="E1030" s="1"/>
      <c r="F1030" s="1"/>
      <c r="G1030" s="1"/>
      <c r="H1030" s="2"/>
      <c r="I1030" s="1"/>
      <c r="J1030" s="1"/>
      <c r="K1030" s="5"/>
      <c r="L1030" s="6"/>
      <c r="Q1030" s="5"/>
      <c r="R1030" s="6"/>
      <c r="X1030" s="2"/>
      <c r="Y1030" s="1"/>
      <c r="AF1030" s="2"/>
      <c r="AG1030" s="1"/>
      <c r="BG1030" s="1"/>
      <c r="BS1030" s="3"/>
      <c r="CC1030" s="1"/>
      <c r="CE1030" s="1"/>
      <c r="CF1030" s="1"/>
      <c r="CJ1030" s="1"/>
      <c r="DF1030" s="2"/>
    </row>
    <row r="1031" spans="1:110">
      <c r="A1031" s="1"/>
      <c r="B1031" s="4"/>
      <c r="C1031" s="1"/>
      <c r="D1031" s="1"/>
      <c r="E1031" s="1"/>
      <c r="F1031" s="1"/>
      <c r="G1031" s="1"/>
      <c r="H1031" s="2"/>
      <c r="I1031" s="1"/>
      <c r="J1031" s="1"/>
      <c r="K1031" s="5"/>
      <c r="L1031" s="6"/>
      <c r="Q1031" s="5"/>
      <c r="R1031" s="6"/>
      <c r="X1031" s="2"/>
      <c r="Y1031" s="1"/>
      <c r="AF1031" s="2"/>
      <c r="AG1031" s="1"/>
      <c r="BG1031" s="1"/>
      <c r="BS1031" s="3"/>
      <c r="CC1031" s="1"/>
      <c r="CE1031" s="1"/>
      <c r="CF1031" s="1"/>
      <c r="CJ1031" s="1"/>
      <c r="DF1031" s="2"/>
    </row>
    <row r="1032" spans="1:110">
      <c r="A1032" s="1"/>
      <c r="B1032" s="4"/>
      <c r="C1032" s="1"/>
      <c r="D1032" s="1"/>
      <c r="E1032" s="1"/>
      <c r="F1032" s="1"/>
      <c r="G1032" s="1"/>
      <c r="H1032" s="2"/>
      <c r="I1032" s="1"/>
      <c r="J1032" s="1"/>
      <c r="K1032" s="5"/>
      <c r="L1032" s="6"/>
      <c r="Q1032" s="5"/>
      <c r="R1032" s="6"/>
      <c r="X1032" s="2"/>
      <c r="Y1032" s="1"/>
      <c r="AF1032" s="2"/>
      <c r="AG1032" s="1"/>
      <c r="BG1032" s="1"/>
      <c r="BS1032" s="3"/>
      <c r="CC1032" s="1"/>
      <c r="CE1032" s="1"/>
      <c r="CF1032" s="1"/>
      <c r="CJ1032" s="1"/>
      <c r="DF1032" s="2"/>
    </row>
    <row r="1033" spans="1:110">
      <c r="A1033" s="1"/>
      <c r="B1033" s="4"/>
      <c r="C1033" s="1"/>
      <c r="D1033" s="1"/>
      <c r="E1033" s="1"/>
      <c r="F1033" s="1"/>
      <c r="G1033" s="1"/>
      <c r="H1033" s="2"/>
      <c r="I1033" s="1"/>
      <c r="J1033" s="1"/>
      <c r="K1033" s="5"/>
      <c r="L1033" s="6"/>
      <c r="Q1033" s="5"/>
      <c r="R1033" s="6"/>
      <c r="X1033" s="2"/>
      <c r="Y1033" s="1"/>
      <c r="AF1033" s="2"/>
      <c r="AG1033" s="1"/>
      <c r="BG1033" s="1"/>
      <c r="BS1033" s="3"/>
      <c r="CC1033" s="1"/>
      <c r="CE1033" s="1"/>
      <c r="CF1033" s="1"/>
      <c r="CJ1033" s="1"/>
      <c r="DF1033" s="2"/>
    </row>
    <row r="1034" spans="1:110">
      <c r="A1034" s="1"/>
      <c r="B1034" s="4"/>
      <c r="C1034" s="1"/>
      <c r="D1034" s="1"/>
      <c r="E1034" s="1"/>
      <c r="F1034" s="1"/>
      <c r="G1034" s="1"/>
      <c r="H1034" s="2"/>
      <c r="I1034" s="1"/>
      <c r="J1034" s="1"/>
      <c r="K1034" s="5"/>
      <c r="L1034" s="6"/>
      <c r="Q1034" s="5"/>
      <c r="R1034" s="6"/>
      <c r="X1034" s="2"/>
      <c r="Y1034" s="1"/>
      <c r="AF1034" s="2"/>
      <c r="AG1034" s="1"/>
      <c r="BG1034" s="1"/>
      <c r="BS1034" s="3"/>
      <c r="CC1034" s="1"/>
      <c r="CE1034" s="1"/>
      <c r="CF1034" s="1"/>
      <c r="CJ1034" s="1"/>
      <c r="DF1034" s="2"/>
    </row>
    <row r="1035" spans="1:110">
      <c r="A1035" s="1"/>
      <c r="B1035" s="4"/>
      <c r="C1035" s="1"/>
      <c r="D1035" s="1"/>
      <c r="E1035" s="1"/>
      <c r="F1035" s="1"/>
      <c r="G1035" s="1"/>
      <c r="H1035" s="2"/>
      <c r="I1035" s="1"/>
      <c r="J1035" s="1"/>
      <c r="K1035" s="5"/>
      <c r="L1035" s="6"/>
      <c r="Q1035" s="5"/>
      <c r="R1035" s="6"/>
      <c r="X1035" s="2"/>
      <c r="Y1035" s="1"/>
      <c r="AF1035" s="2"/>
      <c r="AG1035" s="1"/>
      <c r="BG1035" s="1"/>
      <c r="BS1035" s="3"/>
      <c r="CC1035" s="1"/>
      <c r="CE1035" s="1"/>
      <c r="CF1035" s="1"/>
      <c r="CJ1035" s="1"/>
      <c r="DF1035" s="2"/>
    </row>
    <row r="1036" spans="1:110">
      <c r="A1036" s="1"/>
      <c r="B1036" s="4"/>
      <c r="C1036" s="1"/>
      <c r="D1036" s="1"/>
      <c r="E1036" s="1"/>
      <c r="F1036" s="1"/>
      <c r="G1036" s="1"/>
      <c r="H1036" s="2"/>
      <c r="I1036" s="1"/>
      <c r="J1036" s="1"/>
      <c r="K1036" s="5"/>
      <c r="L1036" s="6"/>
      <c r="Q1036" s="5"/>
      <c r="R1036" s="6"/>
      <c r="X1036" s="2"/>
      <c r="Y1036" s="1"/>
      <c r="AF1036" s="2"/>
      <c r="AG1036" s="1"/>
      <c r="BG1036" s="1"/>
      <c r="BS1036" s="3"/>
      <c r="CC1036" s="1"/>
      <c r="CE1036" s="1"/>
      <c r="CF1036" s="1"/>
      <c r="CJ1036" s="1"/>
      <c r="DF1036" s="2"/>
    </row>
    <row r="1037" spans="1:110">
      <c r="A1037" s="1"/>
      <c r="B1037" s="4"/>
      <c r="C1037" s="1"/>
      <c r="D1037" s="1"/>
      <c r="E1037" s="1"/>
      <c r="F1037" s="1"/>
      <c r="G1037" s="1"/>
      <c r="H1037" s="2"/>
      <c r="I1037" s="1"/>
      <c r="J1037" s="1"/>
      <c r="K1037" s="5"/>
      <c r="L1037" s="6"/>
      <c r="Q1037" s="5"/>
      <c r="R1037" s="6"/>
      <c r="X1037" s="2"/>
      <c r="Y1037" s="1"/>
      <c r="AF1037" s="2"/>
      <c r="AG1037" s="1"/>
      <c r="BG1037" s="1"/>
      <c r="BS1037" s="3"/>
      <c r="CC1037" s="1"/>
      <c r="CE1037" s="1"/>
      <c r="CF1037" s="1"/>
      <c r="CJ1037" s="1"/>
      <c r="DF1037" s="2"/>
    </row>
    <row r="1038" spans="1:110">
      <c r="A1038" s="1"/>
      <c r="B1038" s="4"/>
      <c r="C1038" s="1"/>
      <c r="D1038" s="1"/>
      <c r="E1038" s="1"/>
      <c r="F1038" s="1"/>
      <c r="G1038" s="1"/>
      <c r="H1038" s="2"/>
      <c r="I1038" s="1"/>
      <c r="J1038" s="1"/>
      <c r="K1038" s="5"/>
      <c r="L1038" s="6"/>
      <c r="Q1038" s="5"/>
      <c r="R1038" s="6"/>
      <c r="X1038" s="2"/>
      <c r="Y1038" s="1"/>
      <c r="AF1038" s="2"/>
      <c r="AG1038" s="1"/>
      <c r="BG1038" s="1"/>
      <c r="BS1038" s="3"/>
      <c r="CC1038" s="1"/>
      <c r="CE1038" s="1"/>
      <c r="CF1038" s="1"/>
      <c r="CJ1038" s="1"/>
      <c r="DF103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Q994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26.44140625" customWidth="1"/>
  </cols>
  <sheetData>
    <row r="1" spans="1:12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3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21">
      <c r="A2" s="4" t="str">
        <f ca="1">IFERROR(__xludf.DUMMYFUNCTION("SORTN(SORT(Dados!A2:EW994, 115, FALSE), 9^9, 2, Dados!A2:A994 &amp; Dados!L2:L994, 1)"),"")</f>
        <v/>
      </c>
      <c r="B2" s="4"/>
      <c r="C2" s="10"/>
      <c r="D2" s="10"/>
      <c r="E2" s="10"/>
      <c r="F2" s="10"/>
      <c r="G2" s="10"/>
      <c r="H2" s="11"/>
      <c r="I2" s="10"/>
      <c r="J2" s="10"/>
      <c r="K2" s="12"/>
      <c r="L2" s="13"/>
      <c r="M2" s="10"/>
      <c r="N2" s="10"/>
      <c r="O2" s="10"/>
      <c r="P2" s="10"/>
      <c r="Q2" s="12"/>
      <c r="R2" s="13"/>
      <c r="S2" s="10"/>
      <c r="T2" s="10"/>
      <c r="U2" s="10"/>
      <c r="V2" s="10"/>
      <c r="W2" s="10"/>
      <c r="X2" s="4"/>
      <c r="Y2" s="10"/>
      <c r="Z2" s="10"/>
      <c r="AA2" s="10"/>
      <c r="AB2" s="10"/>
      <c r="AC2" s="10"/>
      <c r="AD2" s="10"/>
      <c r="AE2" s="10"/>
      <c r="AF2" s="4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8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4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</row>
    <row r="3" spans="1:121">
      <c r="A3" s="4" t="str">
        <f ca="1">IFERROR(__xludf.DUMMYFUNCTION("""COMPUTED_VALUE"""),"Adriana (Mãe William Cagliari)")</f>
        <v>Adriana (Mãe William Cagliari)</v>
      </c>
      <c r="B3" s="4" t="str">
        <f ca="1">IFERROR(__xludf.DUMMYFUNCTION("""COMPUTED_VALUE"""),"Play Negócios Imobiliários")</f>
        <v>Play Negócios Imobiliários</v>
      </c>
      <c r="C3" s="10">
        <f ca="1">IFERROR(__xludf.DUMMYFUNCTION("""COMPUTED_VALUE"""),2)</f>
        <v>2</v>
      </c>
      <c r="D3" s="10" t="str">
        <f ca="1">IFERROR(__xludf.DUMMYFUNCTION("""COMPUTED_VALUE"""),"Funil de Vendas - Novo")</f>
        <v>Funil de Vendas - Novo</v>
      </c>
      <c r="E3" s="10" t="str">
        <f ca="1">IFERROR(__xludf.DUMMYFUNCTION("""COMPUTED_VALUE"""),"Proposta")</f>
        <v>Proposta</v>
      </c>
      <c r="F3" s="10" t="str">
        <f ca="1">IFERROR(__xludf.DUMMYFUNCTION("""COMPUTED_VALUE"""),"Em Andamento")</f>
        <v>Em Andamento</v>
      </c>
      <c r="G3" s="10" t="str">
        <f ca="1">IFERROR(__xludf.DUMMYFUNCTION("""COMPUTED_VALUE"""),"Nada")</f>
        <v>Nada</v>
      </c>
      <c r="H3" s="11" t="str">
        <f ca="1">IFERROR(__xludf.DUMMYFUNCTION("""COMPUTED_VALUE"""),"7388000.0")</f>
        <v>7388000.0</v>
      </c>
      <c r="I3" s="10" t="str">
        <f ca="1">IFERROR(__xludf.DUMMYFUNCTION("""COMPUTED_VALUE"""),"0.0")</f>
        <v>0.0</v>
      </c>
      <c r="J3" s="10" t="str">
        <f ca="1">IFERROR(__xludf.DUMMYFUNCTION("""COMPUTED_VALUE"""),"Não")</f>
        <v>Não</v>
      </c>
      <c r="K3" s="12">
        <f ca="1">IFERROR(__xludf.DUMMYFUNCTION("""COMPUTED_VALUE"""),45852)</f>
        <v>45852</v>
      </c>
      <c r="L3" s="13">
        <f ca="1">IFERROR(__xludf.DUMMYFUNCTION("""COMPUTED_VALUE"""),0.695833333333333)</f>
        <v>0.69583333333333297</v>
      </c>
      <c r="M3" s="10"/>
      <c r="N3" s="10"/>
      <c r="O3" s="10"/>
      <c r="P3" s="10"/>
      <c r="Q3" s="12">
        <f ca="1">IFERROR(__xludf.DUMMYFUNCTION("""COMPUTED_VALUE"""),46062)</f>
        <v>46062</v>
      </c>
      <c r="R3" s="13">
        <f ca="1">IFERROR(__xludf.DUMMYFUNCTION("""COMPUTED_VALUE"""),0.384027777777777)</f>
        <v>0.38402777777777702</v>
      </c>
      <c r="S3" s="10"/>
      <c r="T3" s="10"/>
      <c r="U3" s="10"/>
      <c r="V3" s="10" t="str">
        <f ca="1">IFERROR(__xludf.DUMMYFUNCTION("""COMPUTED_VALUE"""),". Relacionamento Corretores")</f>
        <v>. Relacionamento Corretores</v>
      </c>
      <c r="W3" s="10"/>
      <c r="X3" s="4" t="str">
        <f ca="1">IFERROR(__xludf.DUMMYFUNCTION("""COMPUTED_VALUE"""),"Suyane Cachoeira")</f>
        <v>Suyane Cachoeira</v>
      </c>
      <c r="Y3" s="10" t="str">
        <f ca="1">IFERROR(__xludf.DUMMYFUNCTION("""COMPUTED_VALUE"""),"Francisco I")</f>
        <v>Francisco I</v>
      </c>
      <c r="Z3" s="10"/>
      <c r="AA3" s="10"/>
      <c r="AB3" s="10"/>
      <c r="AC3" s="10"/>
      <c r="AD3" s="10"/>
      <c r="AE3" s="10"/>
      <c r="AF3" s="4" t="str">
        <f ca="1">IFERROR(__xludf.DUMMYFUNCTION("""COMPUTED_VALUE"""),"João Furtado")</f>
        <v>João Furtado</v>
      </c>
      <c r="AG3" s="10" t="str">
        <f ca="1">IFERROR(__xludf.DUMMYFUNCTION("""COMPUTED_VALUE"""),"Alta Nobreza")</f>
        <v>Alta Nobreza</v>
      </c>
      <c r="AH3" s="10"/>
      <c r="AI3" s="10"/>
      <c r="AJ3" s="10"/>
      <c r="AK3" s="10"/>
      <c r="AL3" s="10"/>
      <c r="AM3" s="10" t="str">
        <f ca="1">IFERROR(__xludf.DUMMYFUNCTION("""COMPUTED_VALUE"""),"Negociação pós almoço de relacionamento")</f>
        <v>Negociação pós almoço de relacionamento</v>
      </c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 t="str">
        <f ca="1">IFERROR(__xludf.DUMMYFUNCTION("""COMPUTED_VALUE"""),"Suyane")</f>
        <v>Suyane</v>
      </c>
      <c r="BA3" s="10"/>
      <c r="BB3" s="10"/>
      <c r="BC3" s="10"/>
      <c r="BD3" s="10"/>
      <c r="BE3" s="10"/>
      <c r="BF3" s="10"/>
      <c r="BG3" s="10" t="str">
        <f ca="1">IFERROR(__xludf.DUMMYFUNCTION("""COMPUTED_VALUE"""),"Francisco I")</f>
        <v>Francisco I</v>
      </c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 t="str">
        <f ca="1">IFERROR(__xludf.DUMMYFUNCTION("""COMPUTED_VALUE"""),"a defnir")</f>
        <v>a defnir</v>
      </c>
      <c r="BT3" s="10"/>
      <c r="BU3" s="10"/>
      <c r="BV3" s="10"/>
      <c r="BW3" s="10"/>
      <c r="BX3" s="10"/>
      <c r="BY3" s="10"/>
      <c r="BZ3" s="10"/>
      <c r="CA3" s="10"/>
      <c r="CB3" s="10"/>
      <c r="CC3" s="10" t="str">
        <f ca="1">IFERROR(__xludf.DUMMYFUNCTION("""COMPUTED_VALUE"""),"Corretores")</f>
        <v>Corretores</v>
      </c>
      <c r="CD3" s="10"/>
      <c r="CE3" s="10" t="str">
        <f ca="1">IFERROR(__xludf.DUMMYFUNCTION("""COMPUTED_VALUE"""),"Itapema")</f>
        <v>Itapema</v>
      </c>
      <c r="CF3" s="10" t="str">
        <f ca="1">IFERROR(__xludf.DUMMYFUNCTION("""COMPUTED_VALUE"""),"Itapema")</f>
        <v>Itapema</v>
      </c>
      <c r="CG3" s="10" t="str">
        <f ca="1">IFERROR(__xludf.DUMMYFUNCTION("""COMPUTED_VALUE"""),"Meia Praia")</f>
        <v>Meia Praia</v>
      </c>
      <c r="CH3" s="10"/>
      <c r="CI3" s="10"/>
      <c r="CJ3" s="10" t="str">
        <f ca="1">IFERROR(__xludf.DUMMYFUNCTION("""COMPUTED_VALUE"""),"Santa Catarina (SC)")</f>
        <v>Santa Catarina (SC)</v>
      </c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 t="str">
        <f ca="1">IFERROR(__xludf.DUMMYFUNCTION("""COMPUTED_VALUE"""),"Janeiro")</f>
        <v>Janeiro</v>
      </c>
      <c r="DD3" s="10"/>
      <c r="DE3" s="10"/>
      <c r="DF3" s="4" t="str">
        <f ca="1">IFERROR(__xludf.DUMMYFUNCTION("""COMPUTED_VALUE"""),"Janeiro")</f>
        <v>Janeiro</v>
      </c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</row>
    <row r="4" spans="1:121">
      <c r="A4" s="4" t="str">
        <f ca="1">IFERROR(__xludf.DUMMYFUNCTION("""COMPUTED_VALUE"""),"Adriano")</f>
        <v>Adriano</v>
      </c>
      <c r="B4" s="4" t="str">
        <f ca="1">IFERROR(__xludf.DUMMYFUNCTION("""COMPUTED_VALUE"""),"Styllo Imóveis")</f>
        <v>Styllo Imóveis</v>
      </c>
      <c r="C4" s="10">
        <f ca="1">IFERROR(__xludf.DUMMYFUNCTION("""COMPUTED_VALUE"""),3)</f>
        <v>3</v>
      </c>
      <c r="D4" s="10" t="str">
        <f ca="1">IFERROR(__xludf.DUMMYFUNCTION("""COMPUTED_VALUE"""),"Funil de Vendas - Novo")</f>
        <v>Funil de Vendas - Novo</v>
      </c>
      <c r="E4" s="10" t="str">
        <f ca="1">IFERROR(__xludf.DUMMYFUNCTION("""COMPUTED_VALUE"""),"Proposta")</f>
        <v>Proposta</v>
      </c>
      <c r="F4" s="10" t="str">
        <f ca="1">IFERROR(__xludf.DUMMYFUNCTION("""COMPUTED_VALUE"""),"Perdida")</f>
        <v>Perdida</v>
      </c>
      <c r="G4" s="10" t="str">
        <f ca="1">IFERROR(__xludf.DUMMYFUNCTION("""COMPUTED_VALUE"""),". Preço alto na percepção do cliente")</f>
        <v>. Preço alto na percepção do cliente</v>
      </c>
      <c r="H4" s="11" t="str">
        <f ca="1">IFERROR(__xludf.DUMMYFUNCTION("""COMPUTED_VALUE"""),"8500000.0")</f>
        <v>8500000.0</v>
      </c>
      <c r="I4" s="10" t="str">
        <f ca="1">IFERROR(__xludf.DUMMYFUNCTION("""COMPUTED_VALUE"""),"0.0")</f>
        <v>0.0</v>
      </c>
      <c r="J4" s="10" t="str">
        <f ca="1">IFERROR(__xludf.DUMMYFUNCTION("""COMPUTED_VALUE"""),"Não")</f>
        <v>Não</v>
      </c>
      <c r="K4" s="12">
        <f ca="1">IFERROR(__xludf.DUMMYFUNCTION("""COMPUTED_VALUE"""),46051)</f>
        <v>46051</v>
      </c>
      <c r="L4" s="13">
        <f ca="1">IFERROR(__xludf.DUMMYFUNCTION("""COMPUTED_VALUE"""),0.805555555555555)</f>
        <v>0.80555555555555503</v>
      </c>
      <c r="M4" s="10"/>
      <c r="N4" s="10"/>
      <c r="O4" s="10"/>
      <c r="P4" s="10"/>
      <c r="Q4" s="10"/>
      <c r="R4" s="10"/>
      <c r="S4" s="10"/>
      <c r="T4" s="12">
        <f ca="1">IFERROR(__xludf.DUMMYFUNCTION("""COMPUTED_VALUE"""),46093)</f>
        <v>46093</v>
      </c>
      <c r="U4" s="13">
        <f ca="1">IFERROR(__xludf.DUMMYFUNCTION("""COMPUTED_VALUE"""),0.619444444444444)</f>
        <v>0.61944444444444402</v>
      </c>
      <c r="V4" s="10" t="str">
        <f ca="1">IFERROR(__xludf.DUMMYFUNCTION("""COMPUTED_VALUE"""),". Relacionamento Corretores")</f>
        <v>. Relacionamento Corretores</v>
      </c>
      <c r="W4" s="10"/>
      <c r="X4" s="4" t="str">
        <f ca="1">IFERROR(__xludf.DUMMYFUNCTION("""COMPUTED_VALUE"""),"Suyane Cachoeira")</f>
        <v>Suyane Cachoeira</v>
      </c>
      <c r="Y4" s="10" t="str">
        <f ca="1">IFERROR(__xludf.DUMMYFUNCTION("""COMPUTED_VALUE"""),"Charles II")</f>
        <v>Charles II</v>
      </c>
      <c r="Z4" s="10"/>
      <c r="AA4" s="10" t="str">
        <f ca="1">IFERROR(__xludf.DUMMYFUNCTION("""COMPUTED_VALUE"""),"Cliente não enxergou valor suficiente pra desembolsar R$8.5M no Charles, por isso desistiu,")</f>
        <v>Cliente não enxergou valor suficiente pra desembolsar R$8.5M no Charles, por isso desistiu,</v>
      </c>
      <c r="AB4" s="10"/>
      <c r="AC4" s="10"/>
      <c r="AD4" s="10"/>
      <c r="AE4" s="10"/>
      <c r="AF4" s="4" t="str">
        <f ca="1">IFERROR(__xludf.DUMMYFUNCTION("""COMPUTED_VALUE"""),"Cleber Neckel")</f>
        <v>Cleber Neckel</v>
      </c>
      <c r="AG4" s="10" t="str">
        <f ca="1">IFERROR(__xludf.DUMMYFUNCTION("""COMPUTED_VALUE"""),"Alta Nobreza")</f>
        <v>Alta Nobreza</v>
      </c>
      <c r="AH4" s="10"/>
      <c r="AI4" s="10"/>
      <c r="AJ4" s="10"/>
      <c r="AK4" s="10"/>
      <c r="AL4" s="10"/>
      <c r="AM4" s="10" t="str">
        <f ca="1">IFERROR(__xludf.DUMMYFUNCTION("""COMPUTED_VALUE"""),"Negociação pós Treinamento")</f>
        <v>Negociação pós Treinamento</v>
      </c>
      <c r="AN4" s="10"/>
      <c r="AO4" s="10"/>
      <c r="AP4" s="10"/>
      <c r="AQ4" s="10"/>
      <c r="AR4" s="10"/>
      <c r="AS4" s="10" t="str">
        <f ca="1">IFERROR(__xludf.DUMMYFUNCTION("""COMPUTED_VALUE"""),"A definir")</f>
        <v>A definir</v>
      </c>
      <c r="AT4" s="10"/>
      <c r="AU4" s="10"/>
      <c r="AV4" s="10"/>
      <c r="AW4" s="10"/>
      <c r="AX4" s="10"/>
      <c r="AY4" s="10"/>
      <c r="AZ4" s="10" t="str">
        <f ca="1">IFERROR(__xludf.DUMMYFUNCTION("""COMPUTED_VALUE"""),"Suyane")</f>
        <v>Suyane</v>
      </c>
      <c r="BA4" s="10"/>
      <c r="BB4" s="10"/>
      <c r="BC4" s="10"/>
      <c r="BD4" s="10"/>
      <c r="BE4" s="10"/>
      <c r="BF4" s="10"/>
      <c r="BG4" s="10" t="str">
        <f ca="1">IFERROR(__xludf.DUMMYFUNCTION("""COMPUTED_VALUE"""),"Charles II")</f>
        <v>Charles II</v>
      </c>
      <c r="BH4" s="10" t="str">
        <f ca="1">IFERROR(__xludf.DUMMYFUNCTION("""COMPUTED_VALUE"""),"a definir")</f>
        <v>a definir</v>
      </c>
      <c r="BI4" s="10"/>
      <c r="BJ4" s="10"/>
      <c r="BK4" s="10" t="str">
        <f ca="1">IFERROR(__xludf.DUMMYFUNCTION("""COMPUTED_VALUE"""),"A definir")</f>
        <v>A definir</v>
      </c>
      <c r="BL4" s="10"/>
      <c r="BM4" s="10"/>
      <c r="BN4" s="10"/>
      <c r="BO4" s="10"/>
      <c r="BP4" s="10"/>
      <c r="BQ4" s="10"/>
      <c r="BR4" s="10"/>
      <c r="BS4" s="8" t="str">
        <f ca="1">IFERROR(__xludf.DUMMYFUNCTION("""COMPUTED_VALUE"""),"A definir")</f>
        <v>A definir</v>
      </c>
      <c r="BT4" s="10"/>
      <c r="BU4" s="10"/>
      <c r="BV4" s="10"/>
      <c r="BW4" s="10"/>
      <c r="BX4" s="10"/>
      <c r="BY4" s="10"/>
      <c r="BZ4" s="10"/>
      <c r="CA4" s="10"/>
      <c r="CB4" s="10"/>
      <c r="CC4" s="10" t="str">
        <f ca="1">IFERROR(__xludf.DUMMYFUNCTION("""COMPUTED_VALUE"""),"Corretores")</f>
        <v>Corretores</v>
      </c>
      <c r="CD4" s="10">
        <f ca="1">IFERROR(__xludf.DUMMYFUNCTION("""COMPUTED_VALUE"""),5501)</f>
        <v>5501</v>
      </c>
      <c r="CE4" s="10" t="str">
        <f ca="1">IFERROR(__xludf.DUMMYFUNCTION("""COMPUTED_VALUE"""),"Brasil")</f>
        <v>Brasil</v>
      </c>
      <c r="CF4" s="10" t="str">
        <f ca="1">IFERROR(__xludf.DUMMYFUNCTION("""COMPUTED_VALUE"""),"Itaqui")</f>
        <v>Itaqui</v>
      </c>
      <c r="CG4" s="10"/>
      <c r="CH4" s="10" t="str">
        <f ca="1">IFERROR(__xludf.DUMMYFUNCTION("""COMPUTED_VALUE"""),"A definir")</f>
        <v>A definir</v>
      </c>
      <c r="CI4" s="10"/>
      <c r="CJ4" s="10" t="str">
        <f ca="1">IFERROR(__xludf.DUMMYFUNCTION("""COMPUTED_VALUE"""),"Rio Grande do Sul (RS)")</f>
        <v>Rio Grande do Sul (RS)</v>
      </c>
      <c r="CK4" s="10"/>
      <c r="CL4" s="10"/>
      <c r="CM4" s="10"/>
      <c r="CN4" s="10"/>
      <c r="CO4" s="10" t="str">
        <f ca="1">IFERROR(__xludf.DUMMYFUNCTION("""COMPUTED_VALUE"""),"Janeiro")</f>
        <v>Janeiro</v>
      </c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4" t="str">
        <f ca="1">IFERROR(__xludf.DUMMYFUNCTION("""COMPUTED_VALUE"""),"Março")</f>
        <v>Março</v>
      </c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</row>
    <row r="5" spans="1:121">
      <c r="A5" s="4" t="str">
        <f ca="1">IFERROR(__xludf.DUMMYFUNCTION("""COMPUTED_VALUE"""),"Alexandre Horst")</f>
        <v>Alexandre Horst</v>
      </c>
      <c r="B5" s="4" t="str">
        <f ca="1">IFERROR(__xludf.DUMMYFUNCTION("""COMPUTED_VALUE"""),"Ohmega")</f>
        <v>Ohmega</v>
      </c>
      <c r="C5" s="10">
        <f ca="1">IFERROR(__xludf.DUMMYFUNCTION("""COMPUTED_VALUE"""),1)</f>
        <v>1</v>
      </c>
      <c r="D5" s="10" t="str">
        <f ca="1">IFERROR(__xludf.DUMMYFUNCTION("""COMPUTED_VALUE"""),"Funil de Vendas - Novo")</f>
        <v>Funil de Vendas - Novo</v>
      </c>
      <c r="E5" s="10" t="str">
        <f ca="1">IFERROR(__xludf.DUMMYFUNCTION("""COMPUTED_VALUE"""),"Visita/Reunião")</f>
        <v>Visita/Reunião</v>
      </c>
      <c r="F5" s="10" t="str">
        <f ca="1">IFERROR(__xludf.DUMMYFUNCTION("""COMPUTED_VALUE"""),"Em Andamento")</f>
        <v>Em Andamento</v>
      </c>
      <c r="G5" s="10" t="str">
        <f ca="1">IFERROR(__xludf.DUMMYFUNCTION("""COMPUTED_VALUE"""),"Nada")</f>
        <v>Nada</v>
      </c>
      <c r="H5" s="11" t="str">
        <f ca="1">IFERROR(__xludf.DUMMYFUNCTION("""COMPUTED_VALUE"""),"2588000.0")</f>
        <v>2588000.0</v>
      </c>
      <c r="I5" s="10" t="str">
        <f ca="1">IFERROR(__xludf.DUMMYFUNCTION("""COMPUTED_VALUE"""),"0.0")</f>
        <v>0.0</v>
      </c>
      <c r="J5" s="10" t="str">
        <f ca="1">IFERROR(__xludf.DUMMYFUNCTION("""COMPUTED_VALUE"""),"Não")</f>
        <v>Não</v>
      </c>
      <c r="K5" s="12">
        <f ca="1">IFERROR(__xludf.DUMMYFUNCTION("""COMPUTED_VALUE"""),46051)</f>
        <v>46051</v>
      </c>
      <c r="L5" s="13">
        <f ca="1">IFERROR(__xludf.DUMMYFUNCTION("""COMPUTED_VALUE"""),0.756944444444444)</f>
        <v>0.75694444444444398</v>
      </c>
      <c r="M5" s="10"/>
      <c r="N5" s="10"/>
      <c r="O5" s="10"/>
      <c r="P5" s="10"/>
      <c r="Q5" s="12">
        <f ca="1">IFERROR(__xludf.DUMMYFUNCTION("""COMPUTED_VALUE"""),46064)</f>
        <v>46064</v>
      </c>
      <c r="R5" s="13">
        <f ca="1">IFERROR(__xludf.DUMMYFUNCTION("""COMPUTED_VALUE"""),0.403472222222222)</f>
        <v>0.40347222222222201</v>
      </c>
      <c r="S5" s="10"/>
      <c r="T5" s="10"/>
      <c r="U5" s="10"/>
      <c r="V5" s="10" t="str">
        <f ca="1">IFERROR(__xludf.DUMMYFUNCTION("""COMPUTED_VALUE"""),". Relacionamento Corretores")</f>
        <v>. Relacionamento Corretores</v>
      </c>
      <c r="W5" s="10"/>
      <c r="X5" s="4" t="str">
        <f ca="1">IFERROR(__xludf.DUMMYFUNCTION("""COMPUTED_VALUE"""),"Ricardo")</f>
        <v>Ricardo</v>
      </c>
      <c r="Y5" s="10" t="str">
        <f ca="1">IFERROR(__xludf.DUMMYFUNCTION("""COMPUTED_VALUE"""),"Residencial Zimmermann 602-B")</f>
        <v>Residencial Zimmermann 602-B</v>
      </c>
      <c r="Z5" s="10"/>
      <c r="AA5" s="10"/>
      <c r="AB5" s="10"/>
      <c r="AC5" s="10"/>
      <c r="AD5" s="10"/>
      <c r="AE5" s="10"/>
      <c r="AF5" s="4" t="str">
        <f ca="1">IFERROR(__xludf.DUMMYFUNCTION("""COMPUTED_VALUE"""),"Vinicius Amorin")</f>
        <v>Vinicius Amorin</v>
      </c>
      <c r="AG5" s="10" t="str">
        <f ca="1">IFERROR(__xludf.DUMMYFUNCTION("""COMPUTED_VALUE"""),"Alta Nobreza")</f>
        <v>Alta Nobreza</v>
      </c>
      <c r="AH5" s="10"/>
      <c r="AI5" s="10"/>
      <c r="AJ5" s="10"/>
      <c r="AK5" s="10"/>
      <c r="AL5" s="10"/>
      <c r="AM5" s="10" t="str">
        <f ca="1">IFERROR(__xludf.DUMMYFUNCTION("""COMPUTED_VALUE"""),"Negociação pós almoço de relacionamento")</f>
        <v>Negociação pós almoço de relacionamento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tr">
        <f ca="1">IFERROR(__xludf.DUMMYFUNCTION("""COMPUTED_VALUE"""),"Ricardo")</f>
        <v>Ricardo</v>
      </c>
      <c r="BA5" s="10"/>
      <c r="BB5" s="10"/>
      <c r="BC5" s="10"/>
      <c r="BD5" s="10"/>
      <c r="BE5" s="10"/>
      <c r="BF5" s="10"/>
      <c r="BG5" s="10" t="str">
        <f ca="1">IFERROR(__xludf.DUMMYFUNCTION("""COMPUTED_VALUE"""),"Zimmermann - 602-B")</f>
        <v>Zimmermann - 602-B</v>
      </c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8"/>
      <c r="BT5" s="10"/>
      <c r="BU5" s="10"/>
      <c r="BV5" s="10"/>
      <c r="BW5" s="10"/>
      <c r="BX5" s="10"/>
      <c r="BY5" s="10"/>
      <c r="BZ5" s="10"/>
      <c r="CA5" s="10"/>
      <c r="CB5" s="10"/>
      <c r="CC5" s="10" t="str">
        <f ca="1">IFERROR(__xludf.DUMMYFUNCTION("""COMPUTED_VALUE"""),"Corretores")</f>
        <v>Corretores</v>
      </c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 t="str">
        <f ca="1">IFERROR(__xludf.DUMMYFUNCTION("""COMPUTED_VALUE"""),"Janeiro")</f>
        <v>Janeiro</v>
      </c>
      <c r="DD5" s="10"/>
      <c r="DE5" s="10"/>
      <c r="DF5" s="4" t="str">
        <f ca="1">IFERROR(__xludf.DUMMYFUNCTION("""COMPUTED_VALUE"""),"Janeiro")</f>
        <v>Janeiro</v>
      </c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</row>
    <row r="6" spans="1:121">
      <c r="A6" s="4" t="str">
        <f ca="1">IFERROR(__xludf.DUMMYFUNCTION("""COMPUTED_VALUE"""),"Bruno - Curitiba")</f>
        <v>Bruno - Curitiba</v>
      </c>
      <c r="B6" s="4"/>
      <c r="C6" s="10">
        <f ca="1">IFERROR(__xludf.DUMMYFUNCTION("""COMPUTED_VALUE"""),1)</f>
        <v>1</v>
      </c>
      <c r="D6" s="10" t="str">
        <f ca="1">IFERROR(__xludf.DUMMYFUNCTION("""COMPUTED_VALUE"""),"Funil de Vendas - Novo")</f>
        <v>Funil de Vendas - Novo</v>
      </c>
      <c r="E6" s="10" t="str">
        <f ca="1">IFERROR(__xludf.DUMMYFUNCTION("""COMPUTED_VALUE"""),"Negociação")</f>
        <v>Negociação</v>
      </c>
      <c r="F6" s="10" t="str">
        <f ca="1">IFERROR(__xludf.DUMMYFUNCTION("""COMPUTED_VALUE"""),"Em Andamento")</f>
        <v>Em Andamento</v>
      </c>
      <c r="G6" s="10" t="str">
        <f ca="1">IFERROR(__xludf.DUMMYFUNCTION("""COMPUTED_VALUE"""),"Nada")</f>
        <v>Nada</v>
      </c>
      <c r="H6" s="11" t="str">
        <f ca="1">IFERROR(__xludf.DUMMYFUNCTION("""COMPUTED_VALUE"""),"8278000.0")</f>
        <v>8278000.0</v>
      </c>
      <c r="I6" s="10" t="str">
        <f ca="1">IFERROR(__xludf.DUMMYFUNCTION("""COMPUTED_VALUE"""),"0.0")</f>
        <v>0.0</v>
      </c>
      <c r="J6" s="10" t="str">
        <f ca="1">IFERROR(__xludf.DUMMYFUNCTION("""COMPUTED_VALUE"""),"Não")</f>
        <v>Não</v>
      </c>
      <c r="K6" s="12">
        <f ca="1">IFERROR(__xludf.DUMMYFUNCTION("""COMPUTED_VALUE"""),46091)</f>
        <v>46091</v>
      </c>
      <c r="L6" s="13">
        <f ca="1">IFERROR(__xludf.DUMMYFUNCTION("""COMPUTED_VALUE"""),0.647916666666666)</f>
        <v>0.64791666666666603</v>
      </c>
      <c r="M6" s="10"/>
      <c r="N6" s="10"/>
      <c r="O6" s="10"/>
      <c r="P6" s="10"/>
      <c r="Q6" s="12">
        <f ca="1">IFERROR(__xludf.DUMMYFUNCTION("""COMPUTED_VALUE"""),46098)</f>
        <v>46098</v>
      </c>
      <c r="R6" s="13">
        <f ca="1">IFERROR(__xludf.DUMMYFUNCTION("""COMPUTED_VALUE"""),0.649305555555555)</f>
        <v>0.64930555555555503</v>
      </c>
      <c r="S6" s="10"/>
      <c r="T6" s="10"/>
      <c r="U6" s="10"/>
      <c r="V6" s="10"/>
      <c r="W6" s="10"/>
      <c r="X6" s="4" t="str">
        <f ca="1">IFERROR(__xludf.DUMMYFUNCTION("""COMPUTED_VALUE"""),"Mateus Calebi")</f>
        <v>Mateus Calebi</v>
      </c>
      <c r="Y6" s="10" t="str">
        <f ca="1">IFERROR(__xludf.DUMMYFUNCTION("""COMPUTED_VALUE"""),". Elizabeth II")</f>
        <v>. Elizabeth II</v>
      </c>
      <c r="Z6" s="10"/>
      <c r="AA6" s="10"/>
      <c r="AB6" s="10"/>
      <c r="AC6" s="10"/>
      <c r="AD6" s="10"/>
      <c r="AE6" s="10"/>
      <c r="AF6" s="4" t="str">
        <f ca="1">IFERROR(__xludf.DUMMYFUNCTION("""COMPUTED_VALUE"""),"Lucas Cabedal")</f>
        <v>Lucas Cabedal</v>
      </c>
      <c r="AG6" s="10" t="str">
        <f ca="1">IFERROR(__xludf.DUMMYFUNCTION("""COMPUTED_VALUE"""),"Nobre")</f>
        <v>Nobre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 t="str">
        <f ca="1">IFERROR(__xludf.DUMMYFUNCTION("""COMPUTED_VALUE"""),"Elizabeth II")</f>
        <v>Elizabeth II</v>
      </c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8" t="str">
        <f ca="1">IFERROR(__xludf.DUMMYFUNCTION("""COMPUTED_VALUE"""),"R$ 8.278.000")</f>
        <v>R$ 8.278.000</v>
      </c>
      <c r="BT6" s="10"/>
      <c r="BU6" s="10"/>
      <c r="BV6" s="10"/>
      <c r="BW6" s="10"/>
      <c r="BX6" s="10"/>
      <c r="BY6" s="10"/>
      <c r="BZ6" s="10"/>
      <c r="CA6" s="10"/>
      <c r="CB6" s="10"/>
      <c r="CC6" s="10" t="str">
        <f ca="1">IFERROR(__xludf.DUMMYFUNCTION("""COMPUTED_VALUE"""),"Corretores")</f>
        <v>Corretores</v>
      </c>
      <c r="CD6" s="10"/>
      <c r="CE6" s="10" t="str">
        <f ca="1">IFERROR(__xludf.DUMMYFUNCTION("""COMPUTED_VALUE"""),"Brasil")</f>
        <v>Brasil</v>
      </c>
      <c r="CF6" s="10" t="str">
        <f ca="1">IFERROR(__xludf.DUMMYFUNCTION("""COMPUTED_VALUE"""),"Curitiba")</f>
        <v>Curitiba</v>
      </c>
      <c r="CG6" s="10"/>
      <c r="CH6" s="10"/>
      <c r="CI6" s="10"/>
      <c r="CJ6" s="10" t="str">
        <f ca="1">IFERROR(__xludf.DUMMYFUNCTION("""COMPUTED_VALUE"""),"Paraná (PR)")</f>
        <v>Paraná (PR)</v>
      </c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4" t="str">
        <f ca="1">IFERROR(__xludf.DUMMYFUNCTION("""COMPUTED_VALUE"""),"Março")</f>
        <v>Março</v>
      </c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</row>
    <row r="7" spans="1:121">
      <c r="A7" s="4" t="str">
        <f ca="1">IFERROR(__xludf.DUMMYFUNCTION("""COMPUTED_VALUE"""),"Bruno")</f>
        <v>Bruno</v>
      </c>
      <c r="B7" s="4" t="str">
        <f ca="1">IFERROR(__xludf.DUMMYFUNCTION("""COMPUTED_VALUE"""),"Anna Vargas")</f>
        <v>Anna Vargas</v>
      </c>
      <c r="C7" s="10">
        <f ca="1">IFERROR(__xludf.DUMMYFUNCTION("""COMPUTED_VALUE"""),3)</f>
        <v>3</v>
      </c>
      <c r="D7" s="10" t="str">
        <f ca="1">IFERROR(__xludf.DUMMYFUNCTION("""COMPUTED_VALUE"""),"Funil de Vendas - Novo")</f>
        <v>Funil de Vendas - Novo</v>
      </c>
      <c r="E7" s="10" t="str">
        <f ca="1">IFERROR(__xludf.DUMMYFUNCTION("""COMPUTED_VALUE"""),"Visita/Reunião")</f>
        <v>Visita/Reunião</v>
      </c>
      <c r="F7" s="10" t="str">
        <f ca="1">IFERROR(__xludf.DUMMYFUNCTION("""COMPUTED_VALUE"""),"Perdida")</f>
        <v>Perdida</v>
      </c>
      <c r="G7" s="10" t="str">
        <f ca="1">IFERROR(__xludf.DUMMYFUNCTION("""COMPUTED_VALUE"""),". Desistiu do investimento")</f>
        <v>. Desistiu do investimento</v>
      </c>
      <c r="H7" s="11" t="str">
        <f ca="1">IFERROR(__xludf.DUMMYFUNCTION("""COMPUTED_VALUE"""),"9588000.0")</f>
        <v>9588000.0</v>
      </c>
      <c r="I7" s="10" t="str">
        <f ca="1">IFERROR(__xludf.DUMMYFUNCTION("""COMPUTED_VALUE"""),"0.0")</f>
        <v>0.0</v>
      </c>
      <c r="J7" s="10" t="str">
        <f ca="1">IFERROR(__xludf.DUMMYFUNCTION("""COMPUTED_VALUE"""),"Não")</f>
        <v>Não</v>
      </c>
      <c r="K7" s="12">
        <f ca="1">IFERROR(__xludf.DUMMYFUNCTION("""COMPUTED_VALUE"""),46064)</f>
        <v>46064</v>
      </c>
      <c r="L7" s="13">
        <f ca="1">IFERROR(__xludf.DUMMYFUNCTION("""COMPUTED_VALUE"""),0.683333333333333)</f>
        <v>0.68333333333333302</v>
      </c>
      <c r="M7" s="10"/>
      <c r="N7" s="10"/>
      <c r="O7" s="10"/>
      <c r="P7" s="10"/>
      <c r="Q7" s="12"/>
      <c r="R7" s="13"/>
      <c r="S7" s="10"/>
      <c r="T7" s="12">
        <f ca="1">IFERROR(__xludf.DUMMYFUNCTION("""COMPUTED_VALUE"""),46073)</f>
        <v>46073</v>
      </c>
      <c r="U7" s="13">
        <f ca="1">IFERROR(__xludf.DUMMYFUNCTION("""COMPUTED_VALUE"""),0.785416666666666)</f>
        <v>0.78541666666666599</v>
      </c>
      <c r="V7" s="10" t="str">
        <f ca="1">IFERROR(__xludf.DUMMYFUNCTION("""COMPUTED_VALUE"""),". Relacionamento Corretores")</f>
        <v>. Relacionamento Corretores</v>
      </c>
      <c r="W7" s="10"/>
      <c r="X7" s="4" t="str">
        <f ca="1">IFERROR(__xludf.DUMMYFUNCTION("""COMPUTED_VALUE"""),"Suyane Cachoeira")</f>
        <v>Suyane Cachoeira</v>
      </c>
      <c r="Y7" s="10" t="str">
        <f ca="1">IFERROR(__xludf.DUMMYFUNCTION("""COMPUTED_VALUE"""),"George VI")</f>
        <v>George VI</v>
      </c>
      <c r="Z7" s="10"/>
      <c r="AA7" s="10" t="str">
        <f ca="1">IFERROR(__xludf.DUMMYFUNCTION("""COMPUTED_VALUE"""),"Não gostou do George, da decoração do Hall e está buscando um planta.")</f>
        <v>Não gostou do George, da decoração do Hall e está buscando um planta.</v>
      </c>
      <c r="AB7" s="10"/>
      <c r="AC7" s="10"/>
      <c r="AD7" s="10"/>
      <c r="AE7" s="10"/>
      <c r="AF7" s="4" t="str">
        <f ca="1">IFERROR(__xludf.DUMMYFUNCTION("""COMPUTED_VALUE"""),"Anna Vargas")</f>
        <v>Anna Vargas</v>
      </c>
      <c r="AG7" s="10" t="str">
        <f ca="1">IFERROR(__xludf.DUMMYFUNCTION("""COMPUTED_VALUE"""),"Alta Nobreza")</f>
        <v>Alta Nobreza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tr">
        <f ca="1">IFERROR(__xludf.DUMMYFUNCTION("""COMPUTED_VALUE"""),"Suyane")</f>
        <v>Suyane</v>
      </c>
      <c r="BA7" s="10"/>
      <c r="BB7" s="10"/>
      <c r="BC7" s="10"/>
      <c r="BD7" s="10"/>
      <c r="BE7" s="10"/>
      <c r="BF7" s="10"/>
      <c r="BG7" s="10" t="str">
        <f ca="1">IFERROR(__xludf.DUMMYFUNCTION("""COMPUTED_VALUE"""),"George VI")</f>
        <v>George VI</v>
      </c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8"/>
      <c r="BT7" s="10"/>
      <c r="BU7" s="10"/>
      <c r="BV7" s="10"/>
      <c r="BW7" s="10"/>
      <c r="BX7" s="10"/>
      <c r="BY7" s="10"/>
      <c r="BZ7" s="10"/>
      <c r="CA7" s="10"/>
      <c r="CB7" s="10"/>
      <c r="CC7" s="10" t="str">
        <f ca="1">IFERROR(__xludf.DUMMYFUNCTION("""COMPUTED_VALUE"""),"Corretores")</f>
        <v>Corretores</v>
      </c>
      <c r="CD7" s="10" t="str">
        <f ca="1">IFERROR(__xludf.DUMMYFUNCTION("""COMPUTED_VALUE"""),"a definir")</f>
        <v>a definir</v>
      </c>
      <c r="CE7" s="10" t="str">
        <f ca="1">IFERROR(__xludf.DUMMYFUNCTION("""COMPUTED_VALUE"""),"Brasil")</f>
        <v>Brasil</v>
      </c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 t="str">
        <f ca="1">IFERROR(__xludf.DUMMYFUNCTION("""COMPUTED_VALUE"""),"Fevereiro")</f>
        <v>Fevereiro</v>
      </c>
      <c r="DD7" s="10"/>
      <c r="DE7" s="10"/>
      <c r="DF7" s="4" t="str">
        <f ca="1">IFERROR(__xludf.DUMMYFUNCTION("""COMPUTED_VALUE"""),"Fevereiro")</f>
        <v>Fevereiro</v>
      </c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</row>
    <row r="8" spans="1:121">
      <c r="A8" s="4" t="str">
        <f ca="1">IFERROR(__xludf.DUMMYFUNCTION("""COMPUTED_VALUE"""),"Carlos e Carmen")</f>
        <v>Carlos e Carmen</v>
      </c>
      <c r="B8" s="4" t="str">
        <f ca="1">IFERROR(__xludf.DUMMYFUNCTION("""COMPUTED_VALUE"""),"Josi Tomasi")</f>
        <v>Josi Tomasi</v>
      </c>
      <c r="C8" s="10">
        <f ca="1">IFERROR(__xludf.DUMMYFUNCTION("""COMPUTED_VALUE"""),3)</f>
        <v>3</v>
      </c>
      <c r="D8" s="10" t="str">
        <f ca="1">IFERROR(__xludf.DUMMYFUNCTION("""COMPUTED_VALUE"""),"Funil de Vendas - Novo")</f>
        <v>Funil de Vendas - Novo</v>
      </c>
      <c r="E8" s="10" t="str">
        <f ca="1">IFERROR(__xludf.DUMMYFUNCTION("""COMPUTED_VALUE"""),"Proposta")</f>
        <v>Proposta</v>
      </c>
      <c r="F8" s="10" t="str">
        <f ca="1">IFERROR(__xludf.DUMMYFUNCTION("""COMPUTED_VALUE"""),"Perdida")</f>
        <v>Perdida</v>
      </c>
      <c r="G8" s="10" t="str">
        <f ca="1">IFERROR(__xludf.DUMMYFUNCTION("""COMPUTED_VALUE"""),". Desistiu do investimento")</f>
        <v>. Desistiu do investimento</v>
      </c>
      <c r="H8" s="11" t="str">
        <f ca="1">IFERROR(__xludf.DUMMYFUNCTION("""COMPUTED_VALUE"""),"6200000.0")</f>
        <v>6200000.0</v>
      </c>
      <c r="I8" s="10" t="str">
        <f ca="1">IFERROR(__xludf.DUMMYFUNCTION("""COMPUTED_VALUE"""),"0.0")</f>
        <v>0.0</v>
      </c>
      <c r="J8" s="10" t="str">
        <f ca="1">IFERROR(__xludf.DUMMYFUNCTION("""COMPUTED_VALUE"""),"Não")</f>
        <v>Não</v>
      </c>
      <c r="K8" s="12">
        <f ca="1">IFERROR(__xludf.DUMMYFUNCTION("""COMPUTED_VALUE"""),46063)</f>
        <v>46063</v>
      </c>
      <c r="L8" s="13">
        <f ca="1">IFERROR(__xludf.DUMMYFUNCTION("""COMPUTED_VALUE"""),0.4625)</f>
        <v>0.46250000000000002</v>
      </c>
      <c r="M8" s="10"/>
      <c r="N8" s="10"/>
      <c r="O8" s="10"/>
      <c r="P8" s="10"/>
      <c r="Q8" s="12"/>
      <c r="R8" s="13"/>
      <c r="S8" s="10"/>
      <c r="T8" s="12">
        <f ca="1">IFERROR(__xludf.DUMMYFUNCTION("""COMPUTED_VALUE"""),46077)</f>
        <v>46077</v>
      </c>
      <c r="U8" s="13">
        <f ca="1">IFERROR(__xludf.DUMMYFUNCTION("""COMPUTED_VALUE"""),0.730555555555555)</f>
        <v>0.73055555555555496</v>
      </c>
      <c r="V8" s="10" t="str">
        <f ca="1">IFERROR(__xludf.DUMMYFUNCTION("""COMPUTED_VALUE"""),". Relacionamento Corretores")</f>
        <v>. Relacionamento Corretores</v>
      </c>
      <c r="W8" s="10"/>
      <c r="X8" s="4" t="str">
        <f ca="1">IFERROR(__xludf.DUMMYFUNCTION("""COMPUTED_VALUE"""),"Suyane Cachoeira")</f>
        <v>Suyane Cachoeira</v>
      </c>
      <c r="Y8" s="10" t="str">
        <f ca="1">IFERROR(__xludf.DUMMYFUNCTION("""COMPUTED_VALUE"""),"Lady Di")</f>
        <v>Lady Di</v>
      </c>
      <c r="Z8" s="10"/>
      <c r="AA8" s="10" t="str">
        <f ca="1">IFERROR(__xludf.DUMMYFUNCTION("""COMPUTED_VALUE"""),"Não quer mais investir, desistiu.")</f>
        <v>Não quer mais investir, desistiu.</v>
      </c>
      <c r="AB8" s="10"/>
      <c r="AC8" s="10"/>
      <c r="AD8" s="10"/>
      <c r="AE8" s="10"/>
      <c r="AF8" s="4" t="str">
        <f ca="1">IFERROR(__xludf.DUMMYFUNCTION("""COMPUTED_VALUE"""),"Josi Palmasola")</f>
        <v>Josi Palmasola</v>
      </c>
      <c r="AG8" s="10" t="str">
        <f ca="1">IFERROR(__xludf.DUMMYFUNCTION("""COMPUTED_VALUE"""),"Alta Nobreza")</f>
        <v>Alta Nobreza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 t="str">
        <f ca="1">IFERROR(__xludf.DUMMYFUNCTION("""COMPUTED_VALUE"""),"Suyane")</f>
        <v>Suyane</v>
      </c>
      <c r="BA8" s="10"/>
      <c r="BB8" s="10"/>
      <c r="BC8" s="10"/>
      <c r="BD8" s="10"/>
      <c r="BE8" s="10"/>
      <c r="BF8" s="10"/>
      <c r="BG8" s="10" t="str">
        <f ca="1">IFERROR(__xludf.DUMMYFUNCTION("""COMPUTED_VALUE"""),"Lady Di")</f>
        <v>Lady Di</v>
      </c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8"/>
      <c r="BT8" s="10"/>
      <c r="BU8" s="10" t="str">
        <f ca="1">IFERROR(__xludf.DUMMYFUNCTION("""COMPUTED_VALUE"""),"Cliente Cota Laje")</f>
        <v>Cliente Cota Laje</v>
      </c>
      <c r="BV8" s="10"/>
      <c r="BW8" s="10"/>
      <c r="BX8" s="10"/>
      <c r="BY8" s="10"/>
      <c r="BZ8" s="10"/>
      <c r="CA8" s="10"/>
      <c r="CB8" s="10"/>
      <c r="CC8" s="10" t="str">
        <f ca="1">IFERROR(__xludf.DUMMYFUNCTION("""COMPUTED_VALUE"""),"Corretores")</f>
        <v>Corretores</v>
      </c>
      <c r="CD8" s="10"/>
      <c r="CE8" s="10" t="str">
        <f ca="1">IFERROR(__xludf.DUMMYFUNCTION("""COMPUTED_VALUE"""),"Brasil")</f>
        <v>Brasil</v>
      </c>
      <c r="CF8" s="10" t="str">
        <f ca="1">IFERROR(__xludf.DUMMYFUNCTION("""COMPUTED_VALUE"""),"Itapema")</f>
        <v>Itapema</v>
      </c>
      <c r="CG8" s="10" t="str">
        <f ca="1">IFERROR(__xludf.DUMMYFUNCTION("""COMPUTED_VALUE"""),"Meia Praia")</f>
        <v>Meia Praia</v>
      </c>
      <c r="CH8" s="10"/>
      <c r="CI8" s="10"/>
      <c r="CJ8" s="10" t="str">
        <f ca="1">IFERROR(__xludf.DUMMYFUNCTION("""COMPUTED_VALUE"""),"Santa Catarina (SC)")</f>
        <v>Santa Catarina (SC)</v>
      </c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 t="str">
        <f ca="1">IFERROR(__xludf.DUMMYFUNCTION("""COMPUTED_VALUE"""),"Fevereiro")</f>
        <v>Fevereiro</v>
      </c>
      <c r="DD8" s="10"/>
      <c r="DE8" s="10"/>
      <c r="DF8" s="4" t="str">
        <f ca="1">IFERROR(__xludf.DUMMYFUNCTION("""COMPUTED_VALUE"""),"Fevereiro")</f>
        <v>Fevereiro</v>
      </c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</row>
    <row r="9" spans="1:121">
      <c r="A9" s="4" t="str">
        <f ca="1">IFERROR(__xludf.DUMMYFUNCTION("""COMPUTED_VALUE"""),"Carlos Pelotas")</f>
        <v>Carlos Pelotas</v>
      </c>
      <c r="B9" s="4" t="str">
        <f ca="1">IFERROR(__xludf.DUMMYFUNCTION("""COMPUTED_VALUE"""),"Esmeralda")</f>
        <v>Esmeralda</v>
      </c>
      <c r="C9" s="10">
        <f ca="1">IFERROR(__xludf.DUMMYFUNCTION("""COMPUTED_VALUE"""),3)</f>
        <v>3</v>
      </c>
      <c r="D9" s="10" t="str">
        <f ca="1">IFERROR(__xludf.DUMMYFUNCTION("""COMPUTED_VALUE"""),"Funil de Vendas - Novo")</f>
        <v>Funil de Vendas - Novo</v>
      </c>
      <c r="E9" s="10" t="str">
        <f ca="1">IFERROR(__xludf.DUMMYFUNCTION("""COMPUTED_VALUE"""),"Visita/Reunião")</f>
        <v>Visita/Reunião</v>
      </c>
      <c r="F9" s="10" t="str">
        <f ca="1">IFERROR(__xludf.DUMMYFUNCTION("""COMPUTED_VALUE"""),"Em Andamento")</f>
        <v>Em Andamento</v>
      </c>
      <c r="G9" s="10" t="str">
        <f ca="1">IFERROR(__xludf.DUMMYFUNCTION("""COMPUTED_VALUE"""),"Nada")</f>
        <v>Nada</v>
      </c>
      <c r="H9" s="11" t="str">
        <f ca="1">IFERROR(__xludf.DUMMYFUNCTION("""COMPUTED_VALUE"""),"8138000.0")</f>
        <v>8138000.0</v>
      </c>
      <c r="I9" s="10" t="str">
        <f ca="1">IFERROR(__xludf.DUMMYFUNCTION("""COMPUTED_VALUE"""),"0.0")</f>
        <v>0.0</v>
      </c>
      <c r="J9" s="10" t="str">
        <f ca="1">IFERROR(__xludf.DUMMYFUNCTION("""COMPUTED_VALUE"""),"Não")</f>
        <v>Não</v>
      </c>
      <c r="K9" s="12">
        <f ca="1">IFERROR(__xludf.DUMMYFUNCTION("""COMPUTED_VALUE"""),46034)</f>
        <v>46034</v>
      </c>
      <c r="L9" s="13">
        <f ca="1">IFERROR(__xludf.DUMMYFUNCTION("""COMPUTED_VALUE"""),0.640277777777777)</f>
        <v>0.64027777777777695</v>
      </c>
      <c r="M9" s="10"/>
      <c r="N9" s="10"/>
      <c r="O9" s="10"/>
      <c r="P9" s="10"/>
      <c r="Q9" s="12">
        <f ca="1">IFERROR(__xludf.DUMMYFUNCTION("""COMPUTED_VALUE"""),46066)</f>
        <v>46066</v>
      </c>
      <c r="R9" s="13">
        <f ca="1">IFERROR(__xludf.DUMMYFUNCTION("""COMPUTED_VALUE"""),0.404166666666666)</f>
        <v>0.40416666666666601</v>
      </c>
      <c r="S9" s="10"/>
      <c r="T9" s="10"/>
      <c r="U9" s="10"/>
      <c r="V9" s="10" t="str">
        <f ca="1">IFERROR(__xludf.DUMMYFUNCTION("""COMPUTED_VALUE"""),". Ações Estratégicas")</f>
        <v>. Ações Estratégicas</v>
      </c>
      <c r="W9" s="10"/>
      <c r="X9" s="4" t="str">
        <f ca="1">IFERROR(__xludf.DUMMYFUNCTION("""COMPUTED_VALUE"""),"Ricardo")</f>
        <v>Ricardo</v>
      </c>
      <c r="Y9" s="10" t="str">
        <f ca="1">IFERROR(__xludf.DUMMYFUNCTION("""COMPUTED_VALUE"""),"Charles II")</f>
        <v>Charles II</v>
      </c>
      <c r="Z9" s="10"/>
      <c r="AA9" s="10"/>
      <c r="AB9" s="10"/>
      <c r="AC9" s="10"/>
      <c r="AD9" s="10"/>
      <c r="AE9" s="10"/>
      <c r="AF9" s="4" t="str">
        <f ca="1">IFERROR(__xludf.DUMMYFUNCTION("""COMPUTED_VALUE"""),"Ocsandro")</f>
        <v>Ocsandro</v>
      </c>
      <c r="AG9" s="10" t="str">
        <f ca="1">IFERROR(__xludf.DUMMYFUNCTION("""COMPUTED_VALUE"""),"Alta Nobreza")</f>
        <v>Alta Nobreza</v>
      </c>
      <c r="AH9" s="10"/>
      <c r="AI9" s="10"/>
      <c r="AJ9" s="10"/>
      <c r="AK9" s="10"/>
      <c r="AL9" s="10"/>
      <c r="AM9" s="10" t="str">
        <f ca="1">IFERROR(__xludf.DUMMYFUNCTION("""COMPUTED_VALUE"""),"Negociação após Sunset")</f>
        <v>Negociação após Sunset</v>
      </c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 t="str">
        <f ca="1">IFERROR(__xludf.DUMMYFUNCTION("""COMPUTED_VALUE"""),"Ricardo")</f>
        <v>Ricardo</v>
      </c>
      <c r="BA9" s="10"/>
      <c r="BB9" s="10"/>
      <c r="BC9" s="10"/>
      <c r="BD9" s="10"/>
      <c r="BE9" s="10"/>
      <c r="BF9" s="10"/>
      <c r="BG9" s="10" t="str">
        <f ca="1">IFERROR(__xludf.DUMMYFUNCTION("""COMPUTED_VALUE"""),"Charles II")</f>
        <v>Charles II</v>
      </c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8"/>
      <c r="BT9" s="10"/>
      <c r="BU9" s="10" t="str">
        <f ca="1">IFERROR(__xludf.DUMMYFUNCTION("""COMPUTED_VALUE"""),"Cliente Cota Laje;Cliente Fluxo")</f>
        <v>Cliente Cota Laje;Cliente Fluxo</v>
      </c>
      <c r="BV9" s="10"/>
      <c r="BW9" s="10"/>
      <c r="BX9" s="10"/>
      <c r="BY9" s="10"/>
      <c r="BZ9" s="10"/>
      <c r="CA9" s="10"/>
      <c r="CB9" s="10"/>
      <c r="CC9" s="10" t="str">
        <f ca="1">IFERROR(__xludf.DUMMYFUNCTION("""COMPUTED_VALUE"""),"Corretores")</f>
        <v>Corretores</v>
      </c>
      <c r="CD9" s="10"/>
      <c r="CE9" s="10" t="str">
        <f ca="1">IFERROR(__xludf.DUMMYFUNCTION("""COMPUTED_VALUE"""),"Brasil")</f>
        <v>Brasil</v>
      </c>
      <c r="CF9" s="10" t="str">
        <f ca="1">IFERROR(__xludf.DUMMYFUNCTION("""COMPUTED_VALUE"""),"Pelotas")</f>
        <v>Pelotas</v>
      </c>
      <c r="CG9" s="10"/>
      <c r="CH9" s="10"/>
      <c r="CI9" s="10"/>
      <c r="CJ9" s="10" t="str">
        <f ca="1">IFERROR(__xludf.DUMMYFUNCTION("""COMPUTED_VALUE"""),"Rio Grande do Sul (RS)")</f>
        <v>Rio Grande do Sul (RS)</v>
      </c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 t="str">
        <f ca="1">IFERROR(__xludf.DUMMYFUNCTION("""COMPUTED_VALUE"""),"Janeiro")</f>
        <v>Janeiro</v>
      </c>
      <c r="DD9" s="10"/>
      <c r="DE9" s="10"/>
      <c r="DF9" s="4" t="str">
        <f ca="1">IFERROR(__xludf.DUMMYFUNCTION("""COMPUTED_VALUE"""),"Janeiro")</f>
        <v>Janeiro</v>
      </c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</row>
    <row r="10" spans="1:121">
      <c r="A10" s="4" t="str">
        <f ca="1">IFERROR(__xludf.DUMMYFUNCTION("""COMPUTED_VALUE"""),"Celso e Elaine")</f>
        <v>Celso e Elaine</v>
      </c>
      <c r="B10" s="4"/>
      <c r="C10" s="10">
        <f ca="1">IFERROR(__xludf.DUMMYFUNCTION("""COMPUTED_VALUE"""),1)</f>
        <v>1</v>
      </c>
      <c r="D10" s="10" t="str">
        <f ca="1">IFERROR(__xludf.DUMMYFUNCTION("""COMPUTED_VALUE"""),"Funil de Vendas - Novo")</f>
        <v>Funil de Vendas - Novo</v>
      </c>
      <c r="E10" s="10" t="str">
        <f ca="1">IFERROR(__xludf.DUMMYFUNCTION("""COMPUTED_VALUE"""),"Negociação")</f>
        <v>Negociação</v>
      </c>
      <c r="F10" s="10" t="str">
        <f ca="1">IFERROR(__xludf.DUMMYFUNCTION("""COMPUTED_VALUE"""),"Em Andamento")</f>
        <v>Em Andamento</v>
      </c>
      <c r="G10" s="10" t="str">
        <f ca="1">IFERROR(__xludf.DUMMYFUNCTION("""COMPUTED_VALUE"""),"Nada")</f>
        <v>Nada</v>
      </c>
      <c r="H10" s="11" t="str">
        <f ca="1">IFERROR(__xludf.DUMMYFUNCTION("""COMPUTED_VALUE"""),"10000000.0")</f>
        <v>10000000.0</v>
      </c>
      <c r="I10" s="10" t="str">
        <f ca="1">IFERROR(__xludf.DUMMYFUNCTION("""COMPUTED_VALUE"""),"0.0")</f>
        <v>0.0</v>
      </c>
      <c r="J10" s="10" t="str">
        <f ca="1">IFERROR(__xludf.DUMMYFUNCTION("""COMPUTED_VALUE"""),"Não")</f>
        <v>Não</v>
      </c>
      <c r="K10" s="14">
        <f ca="1">IFERROR(__xludf.DUMMYFUNCTION("""COMPUTED_VALUE"""),46013)</f>
        <v>46013</v>
      </c>
      <c r="L10" s="13">
        <f ca="1">IFERROR(__xludf.DUMMYFUNCTION("""COMPUTED_VALUE"""),0.449305555555555)</f>
        <v>0.44930555555555501</v>
      </c>
      <c r="M10" s="10"/>
      <c r="N10" s="10"/>
      <c r="O10" s="10"/>
      <c r="P10" s="10"/>
      <c r="Q10" s="12">
        <f ca="1">IFERROR(__xludf.DUMMYFUNCTION("""COMPUTED_VALUE"""),46065)</f>
        <v>46065</v>
      </c>
      <c r="R10" s="13">
        <f ca="1">IFERROR(__xludf.DUMMYFUNCTION("""COMPUTED_VALUE"""),0.770833333333333)</f>
        <v>0.77083333333333304</v>
      </c>
      <c r="S10" s="10"/>
      <c r="T10" s="10"/>
      <c r="U10" s="10"/>
      <c r="V10" s="10" t="str">
        <f ca="1">IFERROR(__xludf.DUMMYFUNCTION("""COMPUTED_VALUE"""),". Relacionamento Corretores")</f>
        <v>. Relacionamento Corretores</v>
      </c>
      <c r="W10" s="10"/>
      <c r="X10" s="4" t="str">
        <f ca="1">IFERROR(__xludf.DUMMYFUNCTION("""COMPUTED_VALUE"""),"Suyane Cachoeira")</f>
        <v>Suyane Cachoeira</v>
      </c>
      <c r="Y10" s="10" t="str">
        <f ca="1">IFERROR(__xludf.DUMMYFUNCTION("""COMPUTED_VALUE"""),". Elizabeth II")</f>
        <v>. Elizabeth II</v>
      </c>
      <c r="Z10" s="10"/>
      <c r="AA10" s="10"/>
      <c r="AB10" s="10"/>
      <c r="AC10" s="10"/>
      <c r="AD10" s="10"/>
      <c r="AE10" s="10"/>
      <c r="AF10" s="4" t="str">
        <f ca="1">IFERROR(__xludf.DUMMYFUNCTION("""COMPUTED_VALUE"""),"Lisandra Diefenthaeler")</f>
        <v>Lisandra Diefenthaeler</v>
      </c>
      <c r="AG10" s="10" t="str">
        <f ca="1">IFERROR(__xludf.DUMMYFUNCTION("""COMPUTED_VALUE"""),"Alta Nobreza")</f>
        <v>Alta Nobreza</v>
      </c>
      <c r="AH10" s="10"/>
      <c r="AI10" s="10"/>
      <c r="AJ10" s="10"/>
      <c r="AK10" s="10"/>
      <c r="AL10" s="10"/>
      <c r="AM10" s="10" t="str">
        <f ca="1">IFERROR(__xludf.DUMMYFUNCTION("""COMPUTED_VALUE"""),"Negociação pós prospecção ativa coordenadores;Negociação pós almoço de relacionamento")</f>
        <v>Negociação pós prospecção ativa coordenadores;Negociação pós almoço de relacionamento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 t="str">
        <f ca="1">IFERROR(__xludf.DUMMYFUNCTION("""COMPUTED_VALUE"""),"Luciana")</f>
        <v>Luciana</v>
      </c>
      <c r="AZ10" s="10" t="str">
        <f ca="1">IFERROR(__xludf.DUMMYFUNCTION("""COMPUTED_VALUE"""),"Suyane")</f>
        <v>Suyane</v>
      </c>
      <c r="BA10" s="10"/>
      <c r="BB10" s="10"/>
      <c r="BC10" s="10"/>
      <c r="BD10" s="10"/>
      <c r="BE10" s="10"/>
      <c r="BF10" s="10"/>
      <c r="BG10" s="10" t="str">
        <f ca="1">IFERROR(__xludf.DUMMYFUNCTION("""COMPUTED_VALUE"""),"Elizabeth II")</f>
        <v>Elizabeth II</v>
      </c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8"/>
      <c r="BT10" s="10"/>
      <c r="BU10" s="10"/>
      <c r="BV10" s="10"/>
      <c r="BW10" s="10"/>
      <c r="BX10" s="10"/>
      <c r="BY10" s="10"/>
      <c r="BZ10" s="10"/>
      <c r="CA10" s="10"/>
      <c r="CB10" s="10"/>
      <c r="CC10" s="10" t="str">
        <f ca="1">IFERROR(__xludf.DUMMYFUNCTION("""COMPUTED_VALUE"""),"Corretores")</f>
        <v>Corretores</v>
      </c>
      <c r="CD10" s="10" t="str">
        <f ca="1">IFERROR(__xludf.DUMMYFUNCTION("""COMPUTED_VALUE"""),"Salas comerciais")</f>
        <v>Salas comerciais</v>
      </c>
      <c r="CE10" s="10" t="str">
        <f ca="1">IFERROR(__xludf.DUMMYFUNCTION("""COMPUTED_VALUE"""),"brasil")</f>
        <v>brasil</v>
      </c>
      <c r="CF10" s="10" t="str">
        <f ca="1">IFERROR(__xludf.DUMMYFUNCTION("""COMPUTED_VALUE"""),"Gramado")</f>
        <v>Gramado</v>
      </c>
      <c r="CG10" s="10" t="str">
        <f ca="1">IFERROR(__xludf.DUMMYFUNCTION("""COMPUTED_VALUE"""),"Centro")</f>
        <v>Centro</v>
      </c>
      <c r="CH10" s="10"/>
      <c r="CI10" s="10"/>
      <c r="CJ10" s="10" t="str">
        <f ca="1">IFERROR(__xludf.DUMMYFUNCTION("""COMPUTED_VALUE"""),"Santa Catarina (SC)")</f>
        <v>Santa Catarina (SC)</v>
      </c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 t="str">
        <f ca="1">IFERROR(__xludf.DUMMYFUNCTION("""COMPUTED_VALUE"""),"Dezembro")</f>
        <v>Dezembro</v>
      </c>
      <c r="DD10" s="10"/>
      <c r="DE10" s="10"/>
      <c r="DF10" s="4" t="str">
        <f ca="1">IFERROR(__xludf.DUMMYFUNCTION("""COMPUTED_VALUE"""),"Janeiro")</f>
        <v>Janeiro</v>
      </c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</row>
    <row r="11" spans="1:121">
      <c r="A11" s="4" t="str">
        <f ca="1">IFERROR(__xludf.DUMMYFUNCTION("""COMPUTED_VALUE"""),"Charles Garcia")</f>
        <v>Charles Garcia</v>
      </c>
      <c r="B11" s="4" t="str">
        <f ca="1">IFERROR(__xludf.DUMMYFUNCTION("""COMPUTED_VALUE"""),"Esmeralda")</f>
        <v>Esmeralda</v>
      </c>
      <c r="C11" s="10">
        <f ca="1">IFERROR(__xludf.DUMMYFUNCTION("""COMPUTED_VALUE"""),1)</f>
        <v>1</v>
      </c>
      <c r="D11" s="10" t="str">
        <f ca="1">IFERROR(__xludf.DUMMYFUNCTION("""COMPUTED_VALUE"""),"Funil de Vendas - Novo")</f>
        <v>Funil de Vendas - Novo</v>
      </c>
      <c r="E11" s="10" t="str">
        <f ca="1">IFERROR(__xludf.DUMMYFUNCTION("""COMPUTED_VALUE"""),"Visita/Reunião")</f>
        <v>Visita/Reunião</v>
      </c>
      <c r="F11" s="10" t="str">
        <f ca="1">IFERROR(__xludf.DUMMYFUNCTION("""COMPUTED_VALUE"""),"Perdida")</f>
        <v>Perdida</v>
      </c>
      <c r="G11" s="10" t="str">
        <f ca="1">IFERROR(__xludf.DUMMYFUNCTION("""COMPUTED_VALUE"""),"Sem perfil para o produto")</f>
        <v>Sem perfil para o produto</v>
      </c>
      <c r="H11" s="11" t="str">
        <f ca="1">IFERROR(__xludf.DUMMYFUNCTION("""COMPUTED_VALUE"""),"0.0")</f>
        <v>0.0</v>
      </c>
      <c r="I11" s="10" t="str">
        <f ca="1">IFERROR(__xludf.DUMMYFUNCTION("""COMPUTED_VALUE"""),"0.0")</f>
        <v>0.0</v>
      </c>
      <c r="J11" s="10" t="str">
        <f ca="1">IFERROR(__xludf.DUMMYFUNCTION("""COMPUTED_VALUE"""),"Não")</f>
        <v>Não</v>
      </c>
      <c r="K11" s="12">
        <f ca="1">IFERROR(__xludf.DUMMYFUNCTION("""COMPUTED_VALUE"""),46062)</f>
        <v>46062</v>
      </c>
      <c r="L11" s="13">
        <f ca="1">IFERROR(__xludf.DUMMYFUNCTION("""COMPUTED_VALUE"""),0.411111111111111)</f>
        <v>0.41111111111111098</v>
      </c>
      <c r="M11" s="10"/>
      <c r="N11" s="10"/>
      <c r="O11" s="10"/>
      <c r="P11" s="10"/>
      <c r="Q11" s="12"/>
      <c r="R11" s="13"/>
      <c r="S11" s="10"/>
      <c r="T11" s="12">
        <f ca="1">IFERROR(__xludf.DUMMYFUNCTION("""COMPUTED_VALUE"""),46065)</f>
        <v>46065</v>
      </c>
      <c r="U11" s="13">
        <f ca="1">IFERROR(__xludf.DUMMYFUNCTION("""COMPUTED_VALUE"""),0.779861111111111)</f>
        <v>0.77986111111111101</v>
      </c>
      <c r="V11" s="10" t="str">
        <f ca="1">IFERROR(__xludf.DUMMYFUNCTION("""COMPUTED_VALUE"""),". Relacionamento Corretores")</f>
        <v>. Relacionamento Corretores</v>
      </c>
      <c r="W11" s="10"/>
      <c r="X11" s="4" t="str">
        <f ca="1">IFERROR(__xludf.DUMMYFUNCTION("""COMPUTED_VALUE"""),"Ricardo")</f>
        <v>Ricardo</v>
      </c>
      <c r="Y11" s="10" t="str">
        <f ca="1">IFERROR(__xludf.DUMMYFUNCTION("""COMPUTED_VALUE"""),"Charles II")</f>
        <v>Charles II</v>
      </c>
      <c r="Z11" s="10"/>
      <c r="AA11" s="10" t="str">
        <f ca="1">IFERROR(__xludf.DUMMYFUNCTION("""COMPUTED_VALUE"""),"Cliente tem imóvel de interesse social aqui em Itapema de uso e não tem o perfil de compra nem o poder de compra para um empreendimento nosso, mas tem uma rede de relacionamento boa que podemos explorar.")</f>
        <v>Cliente tem imóvel de interesse social aqui em Itapema de uso e não tem o perfil de compra nem o poder de compra para um empreendimento nosso, mas tem uma rede de relacionamento boa que podemos explorar.</v>
      </c>
      <c r="AB11" s="10"/>
      <c r="AC11" s="10"/>
      <c r="AD11" s="10"/>
      <c r="AE11" s="10"/>
      <c r="AF11" s="4" t="str">
        <f ca="1">IFERROR(__xludf.DUMMYFUNCTION("""COMPUTED_VALUE"""),"Angelo Cattoni")</f>
        <v>Angelo Cattoni</v>
      </c>
      <c r="AG11" s="10" t="str">
        <f ca="1">IFERROR(__xludf.DUMMYFUNCTION("""COMPUTED_VALUE"""),"Alta Nobreza")</f>
        <v>Alta Nobreza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 t="str">
        <f ca="1">IFERROR(__xludf.DUMMYFUNCTION("""COMPUTED_VALUE"""),"Ricardo")</f>
        <v>Ricardo</v>
      </c>
      <c r="BA11" s="10"/>
      <c r="BB11" s="10"/>
      <c r="BC11" s="10"/>
      <c r="BD11" s="10"/>
      <c r="BE11" s="10"/>
      <c r="BF11" s="10"/>
      <c r="BG11" s="10" t="str">
        <f ca="1">IFERROR(__xludf.DUMMYFUNCTION("""COMPUTED_VALUE"""),"Charles II")</f>
        <v>Charles II</v>
      </c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8"/>
      <c r="BT11" s="10"/>
      <c r="BU11" s="10"/>
      <c r="BV11" s="10"/>
      <c r="BW11" s="10"/>
      <c r="BX11" s="10"/>
      <c r="BY11" s="10"/>
      <c r="BZ11" s="10"/>
      <c r="CA11" s="10"/>
      <c r="CB11" s="10"/>
      <c r="CC11" s="10" t="str">
        <f ca="1">IFERROR(__xludf.DUMMYFUNCTION("""COMPUTED_VALUE"""),"Corretores")</f>
        <v>Corretores</v>
      </c>
      <c r="CD11" s="10"/>
      <c r="CE11" s="10" t="str">
        <f ca="1">IFERROR(__xludf.DUMMYFUNCTION("""COMPUTED_VALUE"""),"Brasil")</f>
        <v>Brasil</v>
      </c>
      <c r="CF11" s="10" t="str">
        <f ca="1">IFERROR(__xludf.DUMMYFUNCTION("""COMPUTED_VALUE"""),"Rio do Sul")</f>
        <v>Rio do Sul</v>
      </c>
      <c r="CG11" s="10"/>
      <c r="CH11" s="10"/>
      <c r="CI11" s="10"/>
      <c r="CJ11" s="10" t="str">
        <f ca="1">IFERROR(__xludf.DUMMYFUNCTION("""COMPUTED_VALUE"""),"Santa Catarina (SC)")</f>
        <v>Santa Catarina (SC)</v>
      </c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4" t="str">
        <f ca="1">IFERROR(__xludf.DUMMYFUNCTION("""COMPUTED_VALUE"""),"Fevereiro")</f>
        <v>Fevereiro</v>
      </c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</row>
    <row r="12" spans="1:121">
      <c r="A12" s="4" t="str">
        <f ca="1">IFERROR(__xludf.DUMMYFUNCTION("""COMPUTED_VALUE"""),"Daniel")</f>
        <v>Daniel</v>
      </c>
      <c r="B12" s="4" t="str">
        <f ca="1">IFERROR(__xludf.DUMMYFUNCTION("""COMPUTED_VALUE"""),"Seletto")</f>
        <v>Seletto</v>
      </c>
      <c r="C12" s="10">
        <f ca="1">IFERROR(__xludf.DUMMYFUNCTION("""COMPUTED_VALUE"""),3)</f>
        <v>3</v>
      </c>
      <c r="D12" s="10" t="str">
        <f ca="1">IFERROR(__xludf.DUMMYFUNCTION("""COMPUTED_VALUE"""),"Funil de Vendas - Novo")</f>
        <v>Funil de Vendas - Novo</v>
      </c>
      <c r="E12" s="10" t="str">
        <f ca="1">IFERROR(__xludf.DUMMYFUNCTION("""COMPUTED_VALUE"""),"Proposta")</f>
        <v>Proposta</v>
      </c>
      <c r="F12" s="10" t="str">
        <f ca="1">IFERROR(__xludf.DUMMYFUNCTION("""COMPUTED_VALUE"""),"Em Andamento")</f>
        <v>Em Andamento</v>
      </c>
      <c r="G12" s="10" t="str">
        <f ca="1">IFERROR(__xludf.DUMMYFUNCTION("""COMPUTED_VALUE"""),"Nada")</f>
        <v>Nada</v>
      </c>
      <c r="H12" s="11" t="str">
        <f ca="1">IFERROR(__xludf.DUMMYFUNCTION("""COMPUTED_VALUE"""),"7838000.0")</f>
        <v>7838000.0</v>
      </c>
      <c r="I12" s="10" t="str">
        <f ca="1">IFERROR(__xludf.DUMMYFUNCTION("""COMPUTED_VALUE"""),"0.0")</f>
        <v>0.0</v>
      </c>
      <c r="J12" s="10" t="str">
        <f ca="1">IFERROR(__xludf.DUMMYFUNCTION("""COMPUTED_VALUE"""),"Não")</f>
        <v>Não</v>
      </c>
      <c r="K12" s="12">
        <f ca="1">IFERROR(__xludf.DUMMYFUNCTION("""COMPUTED_VALUE"""),46062)</f>
        <v>46062</v>
      </c>
      <c r="L12" s="13">
        <f ca="1">IFERROR(__xludf.DUMMYFUNCTION("""COMPUTED_VALUE"""),0.379166666666666)</f>
        <v>0.37916666666666599</v>
      </c>
      <c r="M12" s="10"/>
      <c r="N12" s="10"/>
      <c r="O12" s="10"/>
      <c r="P12" s="10"/>
      <c r="Q12" s="12">
        <f ca="1">IFERROR(__xludf.DUMMYFUNCTION("""COMPUTED_VALUE"""),46094)</f>
        <v>46094</v>
      </c>
      <c r="R12" s="13">
        <f ca="1">IFERROR(__xludf.DUMMYFUNCTION("""COMPUTED_VALUE"""),0.623611111111111)</f>
        <v>0.62361111111111101</v>
      </c>
      <c r="S12" s="10"/>
      <c r="T12" s="10"/>
      <c r="U12" s="10"/>
      <c r="V12" s="10" t="str">
        <f ca="1">IFERROR(__xludf.DUMMYFUNCTION("""COMPUTED_VALUE"""),". Relacionamento Corretores")</f>
        <v>. Relacionamento Corretores</v>
      </c>
      <c r="W12" s="10"/>
      <c r="X12" s="4" t="str">
        <f ca="1">IFERROR(__xludf.DUMMYFUNCTION("""COMPUTED_VALUE"""),"Suyane Cachoeira")</f>
        <v>Suyane Cachoeira</v>
      </c>
      <c r="Y12" s="10" t="str">
        <f ca="1">IFERROR(__xludf.DUMMYFUNCTION("""COMPUTED_VALUE"""),"Charles II")</f>
        <v>Charles II</v>
      </c>
      <c r="Z12" s="10"/>
      <c r="AA12" s="10"/>
      <c r="AB12" s="10"/>
      <c r="AC12" s="10"/>
      <c r="AD12" s="10"/>
      <c r="AE12" s="10"/>
      <c r="AF12" s="4" t="str">
        <f ca="1">IFERROR(__xludf.DUMMYFUNCTION("""COMPUTED_VALUE"""),"Emerson")</f>
        <v>Emerson</v>
      </c>
      <c r="AG12" s="10" t="str">
        <f ca="1">IFERROR(__xludf.DUMMYFUNCTION("""COMPUTED_VALUE"""),"Alta Nobreza")</f>
        <v>Alta Nobreza</v>
      </c>
      <c r="AH12" s="10"/>
      <c r="AI12" s="10"/>
      <c r="AJ12" s="10"/>
      <c r="AK12" s="10"/>
      <c r="AL12" s="10"/>
      <c r="AM12" s="10" t="str">
        <f ca="1">IFERROR(__xludf.DUMMYFUNCTION("""COMPUTED_VALUE"""),"Negociação pós prospecção ativa coordenadores;Negociação pós almoço de relacionamento")</f>
        <v>Negociação pós prospecção ativa coordenadores;Negociação pós almoço de relacionamento</v>
      </c>
      <c r="AN12" s="10"/>
      <c r="AO12" s="10"/>
      <c r="AP12" s="10"/>
      <c r="AQ12" s="10"/>
      <c r="AR12" s="10"/>
      <c r="AS12" s="10" t="str">
        <f ca="1">IFERROR(__xludf.DUMMYFUNCTION("""COMPUTED_VALUE"""),"Em setembro termina de quitar os últimos investimentos que fez e fica mais tranquilo pra investir.")</f>
        <v>Em setembro termina de quitar os últimos investimentos que fez e fica mais tranquilo pra investir.</v>
      </c>
      <c r="AT12" s="10"/>
      <c r="AU12" s="10"/>
      <c r="AV12" s="10"/>
      <c r="AW12" s="10"/>
      <c r="AX12" s="10"/>
      <c r="AY12" s="10"/>
      <c r="AZ12" s="10" t="str">
        <f ca="1">IFERROR(__xludf.DUMMYFUNCTION("""COMPUTED_VALUE"""),"Suyane")</f>
        <v>Suyane</v>
      </c>
      <c r="BA12" s="10"/>
      <c r="BB12" s="10"/>
      <c r="BC12" s="10"/>
      <c r="BD12" s="10"/>
      <c r="BE12" s="10"/>
      <c r="BF12" s="10"/>
      <c r="BG12" s="10" t="str">
        <f ca="1">IFERROR(__xludf.DUMMYFUNCTION("""COMPUTED_VALUE"""),"Charles II")</f>
        <v>Charles II</v>
      </c>
      <c r="BH12" s="10" t="str">
        <f ca="1">IFERROR(__xludf.DUMMYFUNCTION("""COMPUTED_VALUE"""),"a definir")</f>
        <v>a definir</v>
      </c>
      <c r="BI12" s="10"/>
      <c r="BJ12" s="10"/>
      <c r="BK12" s="10" t="str">
        <f ca="1">IFERROR(__xludf.DUMMYFUNCTION("""COMPUTED_VALUE"""),"A definir")</f>
        <v>A definir</v>
      </c>
      <c r="BL12" s="10"/>
      <c r="BM12" s="10"/>
      <c r="BN12" s="10"/>
      <c r="BO12" s="10"/>
      <c r="BP12" s="10"/>
      <c r="BQ12" s="10"/>
      <c r="BR12" s="10"/>
      <c r="BS12" s="8" t="str">
        <f ca="1">IFERROR(__xludf.DUMMYFUNCTION("""COMPUTED_VALUE"""),"A definir")</f>
        <v>A definir</v>
      </c>
      <c r="BT12" s="10"/>
      <c r="BU12" s="10"/>
      <c r="BV12" s="10"/>
      <c r="BW12" s="10"/>
      <c r="BX12" s="10"/>
      <c r="BY12" s="10"/>
      <c r="BZ12" s="10"/>
      <c r="CA12" s="10"/>
      <c r="CB12" s="10"/>
      <c r="CC12" s="10" t="str">
        <f ca="1">IFERROR(__xludf.DUMMYFUNCTION("""COMPUTED_VALUE"""),"Corretores")</f>
        <v>Corretores</v>
      </c>
      <c r="CD12" s="10">
        <f ca="1">IFERROR(__xludf.DUMMYFUNCTION("""COMPUTED_VALUE"""),4502)</f>
        <v>4502</v>
      </c>
      <c r="CE12" s="10" t="str">
        <f ca="1">IFERROR(__xludf.DUMMYFUNCTION("""COMPUTED_VALUE"""),"Brasil")</f>
        <v>Brasil</v>
      </c>
      <c r="CF12" s="10" t="str">
        <f ca="1">IFERROR(__xludf.DUMMYFUNCTION("""COMPUTED_VALUE"""),"Manaus")</f>
        <v>Manaus</v>
      </c>
      <c r="CG12" s="10"/>
      <c r="CH12" s="10" t="str">
        <f ca="1">IFERROR(__xludf.DUMMYFUNCTION("""COMPUTED_VALUE"""),"A definir")</f>
        <v>A definir</v>
      </c>
      <c r="CI12" s="10"/>
      <c r="CJ12" s="10" t="str">
        <f ca="1">IFERROR(__xludf.DUMMYFUNCTION("""COMPUTED_VALUE"""),"Amazonas (AM)")</f>
        <v>Amazonas (AM)</v>
      </c>
      <c r="CK12" s="10"/>
      <c r="CL12" s="10"/>
      <c r="CM12" s="10"/>
      <c r="CN12" s="10"/>
      <c r="CO12" s="10" t="str">
        <f ca="1">IFERROR(__xludf.DUMMYFUNCTION("""COMPUTED_VALUE"""),"Setembro")</f>
        <v>Setembro</v>
      </c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4" t="str">
        <f ca="1">IFERROR(__xludf.DUMMYFUNCTION("""COMPUTED_VALUE"""),"Fevereiro")</f>
        <v>Fevereiro</v>
      </c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</row>
    <row r="13" spans="1:121">
      <c r="A13" s="4" t="str">
        <f ca="1">IFERROR(__xludf.DUMMYFUNCTION("""COMPUTED_VALUE"""),"Daniela")</f>
        <v>Daniela</v>
      </c>
      <c r="B13" s="4" t="str">
        <f ca="1">IFERROR(__xludf.DUMMYFUNCTION("""COMPUTED_VALUE"""),"Esmeralda")</f>
        <v>Esmeralda</v>
      </c>
      <c r="C13" s="10">
        <f ca="1">IFERROR(__xludf.DUMMYFUNCTION("""COMPUTED_VALUE"""),2)</f>
        <v>2</v>
      </c>
      <c r="D13" s="10" t="str">
        <f ca="1">IFERROR(__xludf.DUMMYFUNCTION("""COMPUTED_VALUE"""),"Funil de Vendas - Novo")</f>
        <v>Funil de Vendas - Novo</v>
      </c>
      <c r="E13" s="10" t="str">
        <f ca="1">IFERROR(__xludf.DUMMYFUNCTION("""COMPUTED_VALUE"""),"Visita/Reunião")</f>
        <v>Visita/Reunião</v>
      </c>
      <c r="F13" s="10" t="str">
        <f ca="1">IFERROR(__xludf.DUMMYFUNCTION("""COMPUTED_VALUE"""),"Em Andamento")</f>
        <v>Em Andamento</v>
      </c>
      <c r="G13" s="10" t="str">
        <f ca="1">IFERROR(__xludf.DUMMYFUNCTION("""COMPUTED_VALUE"""),"Nada")</f>
        <v>Nada</v>
      </c>
      <c r="H13" s="11" t="str">
        <f ca="1">IFERROR(__xludf.DUMMYFUNCTION("""COMPUTED_VALUE"""),"9388000.0")</f>
        <v>9388000.0</v>
      </c>
      <c r="I13" s="10" t="str">
        <f ca="1">IFERROR(__xludf.DUMMYFUNCTION("""COMPUTED_VALUE"""),"0.0")</f>
        <v>0.0</v>
      </c>
      <c r="J13" s="10" t="str">
        <f ca="1">IFERROR(__xludf.DUMMYFUNCTION("""COMPUTED_VALUE"""),"Não")</f>
        <v>Não</v>
      </c>
      <c r="K13" s="12">
        <f ca="1">IFERROR(__xludf.DUMMYFUNCTION("""COMPUTED_VALUE"""),46044)</f>
        <v>46044</v>
      </c>
      <c r="L13" s="13">
        <f ca="1">IFERROR(__xludf.DUMMYFUNCTION("""COMPUTED_VALUE"""),0.733333333333333)</f>
        <v>0.73333333333333295</v>
      </c>
      <c r="M13" s="10"/>
      <c r="N13" s="10"/>
      <c r="O13" s="10"/>
      <c r="P13" s="10"/>
      <c r="Q13" s="12">
        <f ca="1">IFERROR(__xludf.DUMMYFUNCTION("""COMPUTED_VALUE"""),46069)</f>
        <v>46069</v>
      </c>
      <c r="R13" s="13">
        <f ca="1">IFERROR(__xludf.DUMMYFUNCTION("""COMPUTED_VALUE"""),0.729166666666666)</f>
        <v>0.72916666666666596</v>
      </c>
      <c r="S13" s="10"/>
      <c r="T13" s="10"/>
      <c r="U13" s="10"/>
      <c r="V13" s="10" t="str">
        <f ca="1">IFERROR(__xludf.DUMMYFUNCTION("""COMPUTED_VALUE"""),". Relacionamento Corretores")</f>
        <v>. Relacionamento Corretores</v>
      </c>
      <c r="W13" s="10"/>
      <c r="X13" s="4" t="str">
        <f ca="1">IFERROR(__xludf.DUMMYFUNCTION("""COMPUTED_VALUE"""),"Suyane Cachoeira")</f>
        <v>Suyane Cachoeira</v>
      </c>
      <c r="Y13" s="10" t="str">
        <f ca="1">IFERROR(__xludf.DUMMYFUNCTION("""COMPUTED_VALUE"""),"George VI")</f>
        <v>George VI</v>
      </c>
      <c r="Z13" s="10"/>
      <c r="AA13" s="10"/>
      <c r="AB13" s="10"/>
      <c r="AC13" s="10"/>
      <c r="AD13" s="10"/>
      <c r="AE13" s="10"/>
      <c r="AF13" s="4" t="str">
        <f ca="1">IFERROR(__xludf.DUMMYFUNCTION("""COMPUTED_VALUE"""),"Bruna Ribeiro")</f>
        <v>Bruna Ribeiro</v>
      </c>
      <c r="AG13" s="10" t="str">
        <f ca="1">IFERROR(__xludf.DUMMYFUNCTION("""COMPUTED_VALUE"""),"Nobre")</f>
        <v>Nobre</v>
      </c>
      <c r="AH13" s="10"/>
      <c r="AI13" s="10"/>
      <c r="AJ13" s="10"/>
      <c r="AK13" s="10"/>
      <c r="AL13" s="10"/>
      <c r="AM13" s="10" t="str">
        <f ca="1">IFERROR(__xludf.DUMMYFUNCTION("""COMPUTED_VALUE"""),"Negociação pós prospecção ativa coordenadores")</f>
        <v>Negociação pós prospecção ativa coordenadores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 t="str">
        <f ca="1">IFERROR(__xludf.DUMMYFUNCTION("""COMPUTED_VALUE"""),"Suyane")</f>
        <v>Suyane</v>
      </c>
      <c r="BA13" s="10"/>
      <c r="BB13" s="10"/>
      <c r="BC13" s="10"/>
      <c r="BD13" s="10"/>
      <c r="BE13" s="10"/>
      <c r="BF13" s="10"/>
      <c r="BG13" s="10" t="str">
        <f ca="1">IFERROR(__xludf.DUMMYFUNCTION("""COMPUTED_VALUE"""),"George VI")</f>
        <v>George VI</v>
      </c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8" t="str">
        <f ca="1">IFERROR(__xludf.DUMMYFUNCTION("""COMPUTED_VALUE"""),"A definir")</f>
        <v>A definir</v>
      </c>
      <c r="BT13" s="10"/>
      <c r="BU13" s="10"/>
      <c r="BV13" s="10"/>
      <c r="BW13" s="10"/>
      <c r="BX13" s="10"/>
      <c r="BY13" s="10"/>
      <c r="BZ13" s="10"/>
      <c r="CA13" s="10"/>
      <c r="CB13" s="10"/>
      <c r="CC13" s="10" t="str">
        <f ca="1">IFERROR(__xludf.DUMMYFUNCTION("""COMPUTED_VALUE"""),"Corretores")</f>
        <v>Corretores</v>
      </c>
      <c r="CD13" s="10"/>
      <c r="CE13" s="10" t="str">
        <f ca="1">IFERROR(__xludf.DUMMYFUNCTION("""COMPUTED_VALUE"""),"Brasil")</f>
        <v>Brasil</v>
      </c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 t="str">
        <f ca="1">IFERROR(__xludf.DUMMYFUNCTION("""COMPUTED_VALUE"""),"Janeiro")</f>
        <v>Janeiro</v>
      </c>
      <c r="DD13" s="10"/>
      <c r="DE13" s="10"/>
      <c r="DF13" s="4" t="str">
        <f ca="1">IFERROR(__xludf.DUMMYFUNCTION("""COMPUTED_VALUE"""),"Janeiro")</f>
        <v>Janeiro</v>
      </c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</row>
    <row r="14" spans="1:121">
      <c r="A14" s="4" t="str">
        <f ca="1">IFERROR(__xludf.DUMMYFUNCTION("""COMPUTED_VALUE"""),"Darlan e Magda")</f>
        <v>Darlan e Magda</v>
      </c>
      <c r="B14" s="4" t="str">
        <f ca="1">IFERROR(__xludf.DUMMYFUNCTION("""COMPUTED_VALUE"""),"Ohmega")</f>
        <v>Ohmega</v>
      </c>
      <c r="C14" s="10">
        <f ca="1">IFERROR(__xludf.DUMMYFUNCTION("""COMPUTED_VALUE"""),3)</f>
        <v>3</v>
      </c>
      <c r="D14" s="10" t="str">
        <f ca="1">IFERROR(__xludf.DUMMYFUNCTION("""COMPUTED_VALUE"""),"Funil de Vendas - Novo")</f>
        <v>Funil de Vendas - Novo</v>
      </c>
      <c r="E14" s="10" t="str">
        <f ca="1">IFERROR(__xludf.DUMMYFUNCTION("""COMPUTED_VALUE"""),"Negociação")</f>
        <v>Negociação</v>
      </c>
      <c r="F14" s="10" t="str">
        <f ca="1">IFERROR(__xludf.DUMMYFUNCTION("""COMPUTED_VALUE"""),"Em Andamento")</f>
        <v>Em Andamento</v>
      </c>
      <c r="G14" s="10" t="str">
        <f ca="1">IFERROR(__xludf.DUMMYFUNCTION("""COMPUTED_VALUE"""),"Nada")</f>
        <v>Nada</v>
      </c>
      <c r="H14" s="11" t="str">
        <f ca="1">IFERROR(__xludf.DUMMYFUNCTION("""COMPUTED_VALUE"""),"7788000.0")</f>
        <v>7788000.0</v>
      </c>
      <c r="I14" s="10" t="str">
        <f ca="1">IFERROR(__xludf.DUMMYFUNCTION("""COMPUTED_VALUE"""),"0.0")</f>
        <v>0.0</v>
      </c>
      <c r="J14" s="10" t="str">
        <f ca="1">IFERROR(__xludf.DUMMYFUNCTION("""COMPUTED_VALUE"""),"Não")</f>
        <v>Não</v>
      </c>
      <c r="K14" s="12">
        <f ca="1">IFERROR(__xludf.DUMMYFUNCTION("""COMPUTED_VALUE"""),46038)</f>
        <v>46038</v>
      </c>
      <c r="L14" s="13">
        <f ca="1">IFERROR(__xludf.DUMMYFUNCTION("""COMPUTED_VALUE"""),0.393055555555555)</f>
        <v>0.39305555555555499</v>
      </c>
      <c r="M14" s="10"/>
      <c r="N14" s="10"/>
      <c r="O14" s="10"/>
      <c r="P14" s="10"/>
      <c r="Q14" s="12">
        <f ca="1">IFERROR(__xludf.DUMMYFUNCTION("""COMPUTED_VALUE"""),46052)</f>
        <v>46052</v>
      </c>
      <c r="R14" s="13">
        <f ca="1">IFERROR(__xludf.DUMMYFUNCTION("""COMPUTED_VALUE"""),0.5625)</f>
        <v>0.5625</v>
      </c>
      <c r="S14" s="10"/>
      <c r="T14" s="10"/>
      <c r="U14" s="10"/>
      <c r="V14" s="10" t="str">
        <f ca="1">IFERROR(__xludf.DUMMYFUNCTION("""COMPUTED_VALUE"""),". Relacionamento Corretores")</f>
        <v>. Relacionamento Corretores</v>
      </c>
      <c r="W14" s="10"/>
      <c r="X14" s="4" t="str">
        <f ca="1">IFERROR(__xludf.DUMMYFUNCTION("""COMPUTED_VALUE"""),"Ricardo")</f>
        <v>Ricardo</v>
      </c>
      <c r="Y14" s="10" t="str">
        <f ca="1">IFERROR(__xludf.DUMMYFUNCTION("""COMPUTED_VALUE"""),"Francisco I")</f>
        <v>Francisco I</v>
      </c>
      <c r="Z14" s="10"/>
      <c r="AA14" s="10"/>
      <c r="AB14" s="10"/>
      <c r="AC14" s="10"/>
      <c r="AD14" s="10"/>
      <c r="AE14" s="10"/>
      <c r="AF14" s="4" t="str">
        <f ca="1">IFERROR(__xludf.DUMMYFUNCTION("""COMPUTED_VALUE"""),"Flavio Correa")</f>
        <v>Flavio Correa</v>
      </c>
      <c r="AG14" s="10" t="str">
        <f ca="1">IFERROR(__xludf.DUMMYFUNCTION("""COMPUTED_VALUE"""),"Alta Nobreza")</f>
        <v>Alta Nobreza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 t="str">
        <f ca="1">IFERROR(__xludf.DUMMYFUNCTION("""COMPUTED_VALUE"""),"Ricardo")</f>
        <v>Ricardo</v>
      </c>
      <c r="BA14" s="10"/>
      <c r="BB14" s="10"/>
      <c r="BC14" s="10"/>
      <c r="BD14" s="10"/>
      <c r="BE14" s="10"/>
      <c r="BF14" s="10"/>
      <c r="BG14" s="10" t="str">
        <f ca="1">IFERROR(__xludf.DUMMYFUNCTION("""COMPUTED_VALUE"""),"Francisco I")</f>
        <v>Francisco I</v>
      </c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8">
        <f ca="1">IFERROR(__xludf.DUMMYFUNCTION("""COMPUTED_VALUE"""),7788000)</f>
        <v>7788000</v>
      </c>
      <c r="BT14" s="10"/>
      <c r="BU14" s="10"/>
      <c r="BV14" s="10"/>
      <c r="BW14" s="10"/>
      <c r="BX14" s="10"/>
      <c r="BY14" s="10"/>
      <c r="BZ14" s="10"/>
      <c r="CA14" s="10"/>
      <c r="CB14" s="10"/>
      <c r="CC14" s="10" t="str">
        <f ca="1">IFERROR(__xludf.DUMMYFUNCTION("""COMPUTED_VALUE"""),"Corretores")</f>
        <v>Corretores</v>
      </c>
      <c r="CD14" s="10"/>
      <c r="CE14" s="10" t="str">
        <f ca="1">IFERROR(__xludf.DUMMYFUNCTION("""COMPUTED_VALUE"""),"Brasil")</f>
        <v>Brasil</v>
      </c>
      <c r="CF14" s="10" t="str">
        <f ca="1">IFERROR(__xludf.DUMMYFUNCTION("""COMPUTED_VALUE"""),"-")</f>
        <v>-</v>
      </c>
      <c r="CG14" s="10"/>
      <c r="CH14" s="10"/>
      <c r="CI14" s="10" t="str">
        <f ca="1">IFERROR(__xludf.DUMMYFUNCTION("""COMPUTED_VALUE"""),"Decido em conjunto com cônjuge ou sócio.")</f>
        <v>Decido em conjunto com cônjuge ou sócio.</v>
      </c>
      <c r="CJ14" s="10" t="str">
        <f ca="1">IFERROR(__xludf.DUMMYFUNCTION("""COMPUTED_VALUE"""),"Tocantins (TO)")</f>
        <v>Tocantins (TO)</v>
      </c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4" t="str">
        <f ca="1">IFERROR(__xludf.DUMMYFUNCTION("""COMPUTED_VALUE"""),"Janeiro")</f>
        <v>Janeiro</v>
      </c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</row>
    <row r="15" spans="1:121">
      <c r="A15" s="4" t="str">
        <f ca="1">IFERROR(__xludf.DUMMYFUNCTION("""COMPUTED_VALUE"""),"Dayane e Manoel Jr")</f>
        <v>Dayane e Manoel Jr</v>
      </c>
      <c r="B15" s="4" t="str">
        <f ca="1">IFERROR(__xludf.DUMMYFUNCTION("""COMPUTED_VALUE"""),"Potencial")</f>
        <v>Potencial</v>
      </c>
      <c r="C15" s="10">
        <f ca="1">IFERROR(__xludf.DUMMYFUNCTION("""COMPUTED_VALUE"""),3)</f>
        <v>3</v>
      </c>
      <c r="D15" s="10" t="str">
        <f ca="1">IFERROR(__xludf.DUMMYFUNCTION("""COMPUTED_VALUE"""),"Funil de Vendas - Novo")</f>
        <v>Funil de Vendas - Novo</v>
      </c>
      <c r="E15" s="10" t="str">
        <f ca="1">IFERROR(__xludf.DUMMYFUNCTION("""COMPUTED_VALUE"""),"Visita/Reunião")</f>
        <v>Visita/Reunião</v>
      </c>
      <c r="F15" s="10" t="str">
        <f ca="1">IFERROR(__xludf.DUMMYFUNCTION("""COMPUTED_VALUE"""),"Em Andamento")</f>
        <v>Em Andamento</v>
      </c>
      <c r="G15" s="10" t="str">
        <f ca="1">IFERROR(__xludf.DUMMYFUNCTION("""COMPUTED_VALUE"""),"Nada")</f>
        <v>Nada</v>
      </c>
      <c r="H15" s="11" t="str">
        <f ca="1">IFERROR(__xludf.DUMMYFUNCTION("""COMPUTED_VALUE"""),"8500000.0")</f>
        <v>8500000.0</v>
      </c>
      <c r="I15" s="10" t="str">
        <f ca="1">IFERROR(__xludf.DUMMYFUNCTION("""COMPUTED_VALUE"""),"0.0")</f>
        <v>0.0</v>
      </c>
      <c r="J15" s="10" t="str">
        <f ca="1">IFERROR(__xludf.DUMMYFUNCTION("""COMPUTED_VALUE"""),"Não")</f>
        <v>Não</v>
      </c>
      <c r="K15" s="12">
        <f ca="1">IFERROR(__xludf.DUMMYFUNCTION("""COMPUTED_VALUE"""),46041)</f>
        <v>46041</v>
      </c>
      <c r="L15" s="13">
        <f ca="1">IFERROR(__xludf.DUMMYFUNCTION("""COMPUTED_VALUE"""),0.378472222222222)</f>
        <v>0.37847222222222199</v>
      </c>
      <c r="M15" s="10"/>
      <c r="N15" s="10"/>
      <c r="O15" s="10"/>
      <c r="P15" s="10"/>
      <c r="Q15" s="12">
        <f ca="1">IFERROR(__xludf.DUMMYFUNCTION("""COMPUTED_VALUE"""),46059)</f>
        <v>46059</v>
      </c>
      <c r="R15" s="13">
        <f ca="1">IFERROR(__xludf.DUMMYFUNCTION("""COMPUTED_VALUE"""),0.690277777777777)</f>
        <v>0.69027777777777699</v>
      </c>
      <c r="S15" s="10"/>
      <c r="T15" s="10"/>
      <c r="U15" s="10"/>
      <c r="V15" s="10" t="str">
        <f ca="1">IFERROR(__xludf.DUMMYFUNCTION("""COMPUTED_VALUE"""),". Relacionamento Corretores")</f>
        <v>. Relacionamento Corretores</v>
      </c>
      <c r="W15" s="10"/>
      <c r="X15" s="4" t="str">
        <f ca="1">IFERROR(__xludf.DUMMYFUNCTION("""COMPUTED_VALUE"""),"Suyane Cachoeira")</f>
        <v>Suyane Cachoeira</v>
      </c>
      <c r="Y15" s="10" t="str">
        <f ca="1">IFERROR(__xludf.DUMMYFUNCTION("""COMPUTED_VALUE"""),". Elizabeth II")</f>
        <v>. Elizabeth II</v>
      </c>
      <c r="Z15" s="10"/>
      <c r="AA15" s="10"/>
      <c r="AB15" s="10"/>
      <c r="AC15" s="10"/>
      <c r="AD15" s="10"/>
      <c r="AE15" s="10"/>
      <c r="AF15" s="4" t="str">
        <f ca="1">IFERROR(__xludf.DUMMYFUNCTION("""COMPUTED_VALUE"""),"Carla  Regina Moser")</f>
        <v>Carla  Regina Moser</v>
      </c>
      <c r="AG15" s="10" t="str">
        <f ca="1">IFERROR(__xludf.DUMMYFUNCTION("""COMPUTED_VALUE"""),"Alta Nobreza")</f>
        <v>Alta Nobreza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 t="str">
        <f ca="1">IFERROR(__xludf.DUMMYFUNCTION("""COMPUTED_VALUE"""),"Suyane")</f>
        <v>Suyane</v>
      </c>
      <c r="BA15" s="10"/>
      <c r="BB15" s="10"/>
      <c r="BC15" s="10"/>
      <c r="BD15" s="10"/>
      <c r="BE15" s="10"/>
      <c r="BF15" s="10"/>
      <c r="BG15" s="10" t="str">
        <f ca="1">IFERROR(__xludf.DUMMYFUNCTION("""COMPUTED_VALUE"""),"Elizabeth II")</f>
        <v>Elizabeth II</v>
      </c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8"/>
      <c r="BT15" s="10"/>
      <c r="BU15" s="10"/>
      <c r="BV15" s="10"/>
      <c r="BW15" s="10"/>
      <c r="BX15" s="10"/>
      <c r="BY15" s="10"/>
      <c r="BZ15" s="10"/>
      <c r="CA15" s="10"/>
      <c r="CB15" s="10"/>
      <c r="CC15" s="10" t="str">
        <f ca="1">IFERROR(__xludf.DUMMYFUNCTION("""COMPUTED_VALUE"""),"Corretores")</f>
        <v>Corretores</v>
      </c>
      <c r="CD15" s="10"/>
      <c r="CE15" s="10" t="str">
        <f ca="1">IFERROR(__xludf.DUMMYFUNCTION("""COMPUTED_VALUE"""),"Brasil")</f>
        <v>Brasil</v>
      </c>
      <c r="CF15" s="10" t="str">
        <f ca="1">IFERROR(__xludf.DUMMYFUNCTION("""COMPUTED_VALUE"""),"Maringá")</f>
        <v>Maringá</v>
      </c>
      <c r="CG15" s="10"/>
      <c r="CH15" s="10"/>
      <c r="CI15" s="10"/>
      <c r="CJ15" s="10" t="str">
        <f ca="1">IFERROR(__xludf.DUMMYFUNCTION("""COMPUTED_VALUE"""),"Paraná (PR)")</f>
        <v>Paraná (PR)</v>
      </c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4" t="str">
        <f ca="1">IFERROR(__xludf.DUMMYFUNCTION("""COMPUTED_VALUE"""),"Janeiro")</f>
        <v>Janeiro</v>
      </c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</row>
    <row r="16" spans="1:121">
      <c r="A16" s="4" t="str">
        <f ca="1">IFERROR(__xludf.DUMMYFUNCTION("""COMPUTED_VALUE"""),"Dirceu")</f>
        <v>Dirceu</v>
      </c>
      <c r="B16" s="4" t="str">
        <f ca="1">IFERROR(__xludf.DUMMYFUNCTION("""COMPUTED_VALUE"""),"Sucesso Imóveis")</f>
        <v>Sucesso Imóveis</v>
      </c>
      <c r="C16" s="10">
        <f ca="1">IFERROR(__xludf.DUMMYFUNCTION("""COMPUTED_VALUE"""),2)</f>
        <v>2</v>
      </c>
      <c r="D16" s="10" t="str">
        <f ca="1">IFERROR(__xludf.DUMMYFUNCTION("""COMPUTED_VALUE"""),"Funil de Vendas - Novo")</f>
        <v>Funil de Vendas - Novo</v>
      </c>
      <c r="E16" s="10" t="str">
        <f ca="1">IFERROR(__xludf.DUMMYFUNCTION("""COMPUTED_VALUE"""),"Oportunidades Futuras")</f>
        <v>Oportunidades Futuras</v>
      </c>
      <c r="F16" s="10" t="str">
        <f ca="1">IFERROR(__xludf.DUMMYFUNCTION("""COMPUTED_VALUE"""),"Perdida")</f>
        <v>Perdida</v>
      </c>
      <c r="G16" s="10" t="str">
        <f ca="1">IFERROR(__xludf.DUMMYFUNCTION("""COMPUTED_VALUE"""),". Desistiu do investimento")</f>
        <v>. Desistiu do investimento</v>
      </c>
      <c r="H16" s="11" t="str">
        <f ca="1">IFERROR(__xludf.DUMMYFUNCTION("""COMPUTED_VALUE"""),"5500000.0")</f>
        <v>5500000.0</v>
      </c>
      <c r="I16" s="10" t="str">
        <f ca="1">IFERROR(__xludf.DUMMYFUNCTION("""COMPUTED_VALUE"""),"0.0")</f>
        <v>0.0</v>
      </c>
      <c r="J16" s="10" t="str">
        <f ca="1">IFERROR(__xludf.DUMMYFUNCTION("""COMPUTED_VALUE"""),"Não")</f>
        <v>Não</v>
      </c>
      <c r="K16" s="12">
        <f ca="1">IFERROR(__xludf.DUMMYFUNCTION("""COMPUTED_VALUE"""),45887)</f>
        <v>45887</v>
      </c>
      <c r="L16" s="13">
        <f ca="1">IFERROR(__xludf.DUMMYFUNCTION("""COMPUTED_VALUE"""),0.440277777777777)</f>
        <v>0.44027777777777699</v>
      </c>
      <c r="M16" s="10"/>
      <c r="N16" s="10"/>
      <c r="O16" s="10"/>
      <c r="P16" s="10"/>
      <c r="Q16" s="10"/>
      <c r="R16" s="10"/>
      <c r="S16" s="10"/>
      <c r="T16" s="12">
        <f ca="1">IFERROR(__xludf.DUMMYFUNCTION("""COMPUTED_VALUE"""),46042)</f>
        <v>46042</v>
      </c>
      <c r="U16" s="13">
        <f ca="1">IFERROR(__xludf.DUMMYFUNCTION("""COMPUTED_VALUE"""),0.411805555555555)</f>
        <v>0.41180555555555498</v>
      </c>
      <c r="V16" s="10" t="str">
        <f ca="1">IFERROR(__xludf.DUMMYFUNCTION("""COMPUTED_VALUE"""),". Relacionamento Corretores")</f>
        <v>. Relacionamento Corretores</v>
      </c>
      <c r="W16" s="10"/>
      <c r="X16" s="4" t="str">
        <f ca="1">IFERROR(__xludf.DUMMYFUNCTION("""COMPUTED_VALUE"""),"Suyane Cachoeira")</f>
        <v>Suyane Cachoeira</v>
      </c>
      <c r="Y16" s="10" t="str">
        <f ca="1">IFERROR(__xludf.DUMMYFUNCTION("""COMPUTED_VALUE"""),"Lady Di")</f>
        <v>Lady Di</v>
      </c>
      <c r="Z16" s="10"/>
      <c r="AA16" s="10"/>
      <c r="AB16" s="10"/>
      <c r="AC16" s="10"/>
      <c r="AD16" s="10"/>
      <c r="AE16" s="10"/>
      <c r="AF16" s="4" t="str">
        <f ca="1">IFERROR(__xludf.DUMMYFUNCTION("""COMPUTED_VALUE"""),"Rodolfo")</f>
        <v>Rodolfo</v>
      </c>
      <c r="AG16" s="10" t="str">
        <f ca="1">IFERROR(__xludf.DUMMYFUNCTION("""COMPUTED_VALUE"""),"Alta Nobreza")</f>
        <v>Alta Nobreza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 t="str">
        <f ca="1">IFERROR(__xludf.DUMMYFUNCTION("""COMPUTED_VALUE"""),"A definir")</f>
        <v>A definir</v>
      </c>
      <c r="AT16" s="10"/>
      <c r="AU16" s="10"/>
      <c r="AV16" s="10"/>
      <c r="AW16" s="10"/>
      <c r="AX16" s="10"/>
      <c r="AY16" s="10"/>
      <c r="AZ16" s="10" t="str">
        <f ca="1">IFERROR(__xludf.DUMMYFUNCTION("""COMPUTED_VALUE"""),"Suyane")</f>
        <v>Suyane</v>
      </c>
      <c r="BA16" s="10"/>
      <c r="BB16" s="10"/>
      <c r="BC16" s="10"/>
      <c r="BD16" s="10"/>
      <c r="BE16" s="10"/>
      <c r="BF16" s="10"/>
      <c r="BG16" s="10" t="str">
        <f ca="1">IFERROR(__xludf.DUMMYFUNCTION("""COMPUTED_VALUE"""),"Lady DI")</f>
        <v>Lady DI</v>
      </c>
      <c r="BH16" s="10" t="str">
        <f ca="1">IFERROR(__xludf.DUMMYFUNCTION("""COMPUTED_VALUE"""),"a definir")</f>
        <v>a definir</v>
      </c>
      <c r="BI16" s="10"/>
      <c r="BJ16" s="10"/>
      <c r="BK16" s="10" t="str">
        <f ca="1">IFERROR(__xludf.DUMMYFUNCTION("""COMPUTED_VALUE"""),"A definir")</f>
        <v>A definir</v>
      </c>
      <c r="BL16" s="10"/>
      <c r="BM16" s="10"/>
      <c r="BN16" s="10"/>
      <c r="BO16" s="10"/>
      <c r="BP16" s="10"/>
      <c r="BQ16" s="10"/>
      <c r="BR16" s="10"/>
      <c r="BS16" s="8" t="str">
        <f ca="1">IFERROR(__xludf.DUMMYFUNCTION("""COMPUTED_VALUE"""),"a defnir")</f>
        <v>a defnir</v>
      </c>
      <c r="BT16" s="10"/>
      <c r="BU16" s="10"/>
      <c r="BV16" s="10"/>
      <c r="BW16" s="10"/>
      <c r="BX16" s="10"/>
      <c r="BY16" s="10"/>
      <c r="BZ16" s="10"/>
      <c r="CA16" s="10"/>
      <c r="CB16" s="10"/>
      <c r="CC16" s="10" t="str">
        <f ca="1">IFERROR(__xludf.DUMMYFUNCTION("""COMPUTED_VALUE"""),"Corretores")</f>
        <v>Corretores</v>
      </c>
      <c r="CD16" s="10" t="str">
        <f ca="1">IFERROR(__xludf.DUMMYFUNCTION("""COMPUTED_VALUE"""),"a definir")</f>
        <v>a definir</v>
      </c>
      <c r="CE16" s="10" t="str">
        <f ca="1">IFERROR(__xludf.DUMMYFUNCTION("""COMPUTED_VALUE"""),"Brasil")</f>
        <v>Brasil</v>
      </c>
      <c r="CF16" s="10" t="str">
        <f ca="1">IFERROR(__xludf.DUMMYFUNCTION("""COMPUTED_VALUE"""),"São Miguel do Oeste")</f>
        <v>São Miguel do Oeste</v>
      </c>
      <c r="CG16" s="10"/>
      <c r="CH16" s="10" t="str">
        <f ca="1">IFERROR(__xludf.DUMMYFUNCTION("""COMPUTED_VALUE"""),"A definir")</f>
        <v>A definir</v>
      </c>
      <c r="CI16" s="10"/>
      <c r="CJ16" s="10" t="str">
        <f ca="1">IFERROR(__xludf.DUMMYFUNCTION("""COMPUTED_VALUE"""),"Santa Catarina (SC)")</f>
        <v>Santa Catarina (SC)</v>
      </c>
      <c r="CK16" s="10"/>
      <c r="CL16" s="10"/>
      <c r="CM16" s="10"/>
      <c r="CN16" s="10"/>
      <c r="CO16" s="10" t="str">
        <f ca="1">IFERROR(__xludf.DUMMYFUNCTION("""COMPUTED_VALUE"""),"Janeiro")</f>
        <v>Janeiro</v>
      </c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4" t="str">
        <f ca="1">IFERROR(__xludf.DUMMYFUNCTION("""COMPUTED_VALUE"""),"Janeiro")</f>
        <v>Janeiro</v>
      </c>
      <c r="DG16" s="10"/>
      <c r="DH16" s="10"/>
      <c r="DI16" s="10"/>
      <c r="DJ16" s="10"/>
      <c r="DK16" s="10"/>
      <c r="DL16" s="10" t="str">
        <f ca="1">IFERROR(__xludf.DUMMYFUNCTION("""COMPUTED_VALUE"""),"Rodolfo Marcolino")</f>
        <v>Rodolfo Marcolino</v>
      </c>
      <c r="DM16" s="10" t="str">
        <f ca="1">IFERROR(__xludf.DUMMYFUNCTION("""COMPUTED_VALUE"""),"corretor")</f>
        <v>corretor</v>
      </c>
      <c r="DN16" s="10"/>
      <c r="DO16" s="10">
        <f ca="1">IFERROR(__xludf.DUMMYFUNCTION("""COMPUTED_VALUE"""),47991558144)</f>
        <v>47991558144</v>
      </c>
      <c r="DP16" s="10"/>
      <c r="DQ16" s="10"/>
    </row>
    <row r="17" spans="1:121">
      <c r="A17" s="4" t="str">
        <f ca="1">IFERROR(__xludf.DUMMYFUNCTION("""COMPUTED_VALUE"""),"Dr José")</f>
        <v>Dr José</v>
      </c>
      <c r="B17" s="4"/>
      <c r="C17" s="10">
        <f ca="1">IFERROR(__xludf.DUMMYFUNCTION("""COMPUTED_VALUE"""),1)</f>
        <v>1</v>
      </c>
      <c r="D17" s="10" t="str">
        <f ca="1">IFERROR(__xludf.DUMMYFUNCTION("""COMPUTED_VALUE"""),"Funil de Vendas - Novo")</f>
        <v>Funil de Vendas - Novo</v>
      </c>
      <c r="E17" s="10" t="str">
        <f ca="1">IFERROR(__xludf.DUMMYFUNCTION("""COMPUTED_VALUE"""),"Visita/Reunião")</f>
        <v>Visita/Reunião</v>
      </c>
      <c r="F17" s="10" t="str">
        <f ca="1">IFERROR(__xludf.DUMMYFUNCTION("""COMPUTED_VALUE"""),"Em Andamento")</f>
        <v>Em Andamento</v>
      </c>
      <c r="G17" s="10" t="str">
        <f ca="1">IFERROR(__xludf.DUMMYFUNCTION("""COMPUTED_VALUE"""),"Nada")</f>
        <v>Nada</v>
      </c>
      <c r="H17" s="11" t="str">
        <f ca="1">IFERROR(__xludf.DUMMYFUNCTION("""COMPUTED_VALUE"""),"0.0")</f>
        <v>0.0</v>
      </c>
      <c r="I17" s="10" t="str">
        <f ca="1">IFERROR(__xludf.DUMMYFUNCTION("""COMPUTED_VALUE"""),"0.0")</f>
        <v>0.0</v>
      </c>
      <c r="J17" s="10" t="str">
        <f ca="1">IFERROR(__xludf.DUMMYFUNCTION("""COMPUTED_VALUE"""),"Não")</f>
        <v>Não</v>
      </c>
      <c r="K17" s="12">
        <f ca="1">IFERROR(__xludf.DUMMYFUNCTION("""COMPUTED_VALUE"""),46075)</f>
        <v>46075</v>
      </c>
      <c r="L17" s="13">
        <f ca="1">IFERROR(__xludf.DUMMYFUNCTION("""COMPUTED_VALUE"""),0.970833333333333)</f>
        <v>0.97083333333333299</v>
      </c>
      <c r="M17" s="10"/>
      <c r="N17" s="10"/>
      <c r="O17" s="10"/>
      <c r="P17" s="10"/>
      <c r="Q17" s="12">
        <f ca="1">IFERROR(__xludf.DUMMYFUNCTION("""COMPUTED_VALUE"""),46091)</f>
        <v>46091</v>
      </c>
      <c r="R17" s="13">
        <f ca="1">IFERROR(__xludf.DUMMYFUNCTION("""COMPUTED_VALUE"""),0.678472222222222)</f>
        <v>0.67847222222222203</v>
      </c>
      <c r="S17" s="10"/>
      <c r="T17" s="10"/>
      <c r="U17" s="10"/>
      <c r="V17" s="10"/>
      <c r="W17" s="10"/>
      <c r="X17" s="4" t="str">
        <f ca="1">IFERROR(__xludf.DUMMYFUNCTION("""COMPUTED_VALUE"""),"Ricardo")</f>
        <v>Ricardo</v>
      </c>
      <c r="Y17" s="10"/>
      <c r="Z17" s="10"/>
      <c r="AA17" s="10"/>
      <c r="AB17" s="10"/>
      <c r="AC17" s="10"/>
      <c r="AD17" s="10"/>
      <c r="AE17" s="10"/>
      <c r="AF17" s="4" t="str">
        <f ca="1">IFERROR(__xludf.DUMMYFUNCTION("""COMPUTED_VALUE"""),"Fábio Bulhões")</f>
        <v>Fábio Bulhões</v>
      </c>
      <c r="AG17" s="10" t="str">
        <f ca="1">IFERROR(__xludf.DUMMYFUNCTION("""COMPUTED_VALUE"""),"Nobre")</f>
        <v>Nobre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 t="str">
        <f ca="1">IFERROR(__xludf.DUMMYFUNCTION("""COMPUTED_VALUE"""),"Thiesen 1602")</f>
        <v>Thiesen 1602</v>
      </c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8"/>
      <c r="BT17" s="10"/>
      <c r="BU17" s="10"/>
      <c r="BV17" s="10"/>
      <c r="BW17" s="10"/>
      <c r="BX17" s="10"/>
      <c r="BY17" s="10"/>
      <c r="BZ17" s="10"/>
      <c r="CA17" s="10"/>
      <c r="CB17" s="10"/>
      <c r="CC17" s="10" t="str">
        <f ca="1">IFERROR(__xludf.DUMMYFUNCTION("""COMPUTED_VALUE"""),"Corretores")</f>
        <v>Corretores</v>
      </c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4" t="str">
        <f ca="1">IFERROR(__xludf.DUMMYFUNCTION("""COMPUTED_VALUE"""),"Fevereiro")</f>
        <v>Fevereiro</v>
      </c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</row>
    <row r="18" spans="1:121">
      <c r="A18" s="4" t="str">
        <f ca="1">IFERROR(__xludf.DUMMYFUNCTION("""COMPUTED_VALUE"""),"Dulce")</f>
        <v>Dulce</v>
      </c>
      <c r="B18" s="4"/>
      <c r="C18" s="10">
        <f ca="1">IFERROR(__xludf.DUMMYFUNCTION("""COMPUTED_VALUE"""),1)</f>
        <v>1</v>
      </c>
      <c r="D18" s="10" t="str">
        <f ca="1">IFERROR(__xludf.DUMMYFUNCTION("""COMPUTED_VALUE"""),"Funil de Vendas - Novo")</f>
        <v>Funil de Vendas - Novo</v>
      </c>
      <c r="E18" s="10" t="str">
        <f ca="1">IFERROR(__xludf.DUMMYFUNCTION("""COMPUTED_VALUE"""),"Negociação")</f>
        <v>Negociação</v>
      </c>
      <c r="F18" s="10" t="str">
        <f ca="1">IFERROR(__xludf.DUMMYFUNCTION("""COMPUTED_VALUE"""),"Em Andamento")</f>
        <v>Em Andamento</v>
      </c>
      <c r="G18" s="10" t="str">
        <f ca="1">IFERROR(__xludf.DUMMYFUNCTION("""COMPUTED_VALUE"""),"Nada")</f>
        <v>Nada</v>
      </c>
      <c r="H18" s="11" t="str">
        <f ca="1">IFERROR(__xludf.DUMMYFUNCTION("""COMPUTED_VALUE"""),"7788000.0")</f>
        <v>7788000.0</v>
      </c>
      <c r="I18" s="10" t="str">
        <f ca="1">IFERROR(__xludf.DUMMYFUNCTION("""COMPUTED_VALUE"""),"0.0")</f>
        <v>0.0</v>
      </c>
      <c r="J18" s="10" t="str">
        <f ca="1">IFERROR(__xludf.DUMMYFUNCTION("""COMPUTED_VALUE"""),"Não")</f>
        <v>Não</v>
      </c>
      <c r="K18" s="12">
        <f ca="1">IFERROR(__xludf.DUMMYFUNCTION("""COMPUTED_VALUE"""),46094)</f>
        <v>46094</v>
      </c>
      <c r="L18" s="13">
        <f ca="1">IFERROR(__xludf.DUMMYFUNCTION("""COMPUTED_VALUE"""),0.482638888888888)</f>
        <v>0.48263888888888801</v>
      </c>
      <c r="M18" s="10"/>
      <c r="N18" s="10"/>
      <c r="O18" s="10"/>
      <c r="P18" s="10"/>
      <c r="Q18" s="10"/>
      <c r="R18" s="10"/>
      <c r="S18" s="10"/>
      <c r="T18" s="10"/>
      <c r="U18" s="10"/>
      <c r="V18" s="10" t="str">
        <f ca="1">IFERROR(__xludf.DUMMYFUNCTION("""COMPUTED_VALUE"""),". Prospecção ativa")</f>
        <v>. Prospecção ativa</v>
      </c>
      <c r="W18" s="10"/>
      <c r="X18" s="4" t="str">
        <f ca="1">IFERROR(__xludf.DUMMYFUNCTION("""COMPUTED_VALUE"""),"Mateus Calebi")</f>
        <v>Mateus Calebi</v>
      </c>
      <c r="Y18" s="10" t="str">
        <f ca="1">IFERROR(__xludf.DUMMYFUNCTION("""COMPUTED_VALUE"""),"Francisco I")</f>
        <v>Francisco I</v>
      </c>
      <c r="Z18" s="10"/>
      <c r="AA18" s="10"/>
      <c r="AB18" s="10"/>
      <c r="AC18" s="10"/>
      <c r="AD18" s="10"/>
      <c r="AE18" s="10"/>
      <c r="AF18" s="4" t="str">
        <f ca="1">IFERROR(__xludf.DUMMYFUNCTION("""COMPUTED_VALUE"""),"João Junior")</f>
        <v>João Junior</v>
      </c>
      <c r="AG18" s="10" t="str">
        <f ca="1">IFERROR(__xludf.DUMMYFUNCTION("""COMPUTED_VALUE"""),"Nobre")</f>
        <v>Nobre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 t="str">
        <f ca="1">IFERROR(__xludf.DUMMYFUNCTION("""COMPUTED_VALUE"""),"Francisco I")</f>
        <v>Francisco I</v>
      </c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8" t="str">
        <f ca="1">IFERROR(__xludf.DUMMYFUNCTION("""COMPUTED_VALUE"""),"R$ 7.788.000")</f>
        <v>R$ 7.788.000</v>
      </c>
      <c r="BT18" s="10"/>
      <c r="BU18" s="10"/>
      <c r="BV18" s="10"/>
      <c r="BW18" s="10"/>
      <c r="BX18" s="10"/>
      <c r="BY18" s="10"/>
      <c r="BZ18" s="10"/>
      <c r="CA18" s="10"/>
      <c r="CB18" s="10"/>
      <c r="CC18" s="10" t="str">
        <f ca="1">IFERROR(__xludf.DUMMYFUNCTION("""COMPUTED_VALUE"""),"Corretores")</f>
        <v>Corretores</v>
      </c>
      <c r="CD18" s="10"/>
      <c r="CE18" s="10" t="str">
        <f ca="1">IFERROR(__xludf.DUMMYFUNCTION("""COMPUTED_VALUE"""),"Brasil")</f>
        <v>Brasil</v>
      </c>
      <c r="CF18" s="10" t="str">
        <f ca="1">IFERROR(__xludf.DUMMYFUNCTION("""COMPUTED_VALUE"""),"Santa Rosa")</f>
        <v>Santa Rosa</v>
      </c>
      <c r="CG18" s="10"/>
      <c r="CH18" s="10"/>
      <c r="CI18" s="10"/>
      <c r="CJ18" s="10" t="str">
        <f ca="1">IFERROR(__xludf.DUMMYFUNCTION("""COMPUTED_VALUE"""),"Rio Grande do Sul (RS)")</f>
        <v>Rio Grande do Sul (RS)</v>
      </c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4" t="str">
        <f ca="1">IFERROR(__xludf.DUMMYFUNCTION("""COMPUTED_VALUE"""),"Março")</f>
        <v>Março</v>
      </c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</row>
    <row r="19" spans="1:121">
      <c r="A19" s="4" t="str">
        <f ca="1">IFERROR(__xludf.DUMMYFUNCTION("""COMPUTED_VALUE"""),"Ederson Seubert")</f>
        <v>Ederson Seubert</v>
      </c>
      <c r="B19" s="4" t="str">
        <f ca="1">IFERROR(__xludf.DUMMYFUNCTION("""COMPUTED_VALUE"""),"Buture")</f>
        <v>Buture</v>
      </c>
      <c r="C19" s="10">
        <f ca="1">IFERROR(__xludf.DUMMYFUNCTION("""COMPUTED_VALUE"""),3)</f>
        <v>3</v>
      </c>
      <c r="D19" s="10" t="str">
        <f ca="1">IFERROR(__xludf.DUMMYFUNCTION("""COMPUTED_VALUE"""),"Funil de Vendas - Novo")</f>
        <v>Funil de Vendas - Novo</v>
      </c>
      <c r="E19" s="10" t="str">
        <f ca="1">IFERROR(__xludf.DUMMYFUNCTION("""COMPUTED_VALUE"""),"Proposta")</f>
        <v>Proposta</v>
      </c>
      <c r="F19" s="10" t="str">
        <f ca="1">IFERROR(__xludf.DUMMYFUNCTION("""COMPUTED_VALUE"""),"Em Andamento")</f>
        <v>Em Andamento</v>
      </c>
      <c r="G19" s="10" t="str">
        <f ca="1">IFERROR(__xludf.DUMMYFUNCTION("""COMPUTED_VALUE"""),"Nada")</f>
        <v>Nada</v>
      </c>
      <c r="H19" s="11" t="str">
        <f ca="1">IFERROR(__xludf.DUMMYFUNCTION("""COMPUTED_VALUE"""),"5500000.0")</f>
        <v>5500000.0</v>
      </c>
      <c r="I19" s="10" t="str">
        <f ca="1">IFERROR(__xludf.DUMMYFUNCTION("""COMPUTED_VALUE"""),"0.0")</f>
        <v>0.0</v>
      </c>
      <c r="J19" s="10" t="str">
        <f ca="1">IFERROR(__xludf.DUMMYFUNCTION("""COMPUTED_VALUE"""),"Não")</f>
        <v>Não</v>
      </c>
      <c r="K19" s="12">
        <f ca="1">IFERROR(__xludf.DUMMYFUNCTION("""COMPUTED_VALUE"""),45888)</f>
        <v>45888</v>
      </c>
      <c r="L19" s="13">
        <f ca="1">IFERROR(__xludf.DUMMYFUNCTION("""COMPUTED_VALUE"""),0.406944444444444)</f>
        <v>0.406944444444444</v>
      </c>
      <c r="M19" s="10"/>
      <c r="N19" s="10"/>
      <c r="O19" s="10"/>
      <c r="P19" s="10"/>
      <c r="Q19" s="12">
        <f ca="1">IFERROR(__xludf.DUMMYFUNCTION("""COMPUTED_VALUE"""),46097)</f>
        <v>46097</v>
      </c>
      <c r="R19" s="13">
        <f ca="1">IFERROR(__xludf.DUMMYFUNCTION("""COMPUTED_VALUE"""),0.625)</f>
        <v>0.625</v>
      </c>
      <c r="S19" s="10"/>
      <c r="T19" s="10"/>
      <c r="U19" s="10"/>
      <c r="V19" s="10" t="str">
        <f ca="1">IFERROR(__xludf.DUMMYFUNCTION("""COMPUTED_VALUE"""),". Relacionamento Corretores")</f>
        <v>. Relacionamento Corretores</v>
      </c>
      <c r="W19" s="10"/>
      <c r="X19" s="4" t="str">
        <f ca="1">IFERROR(__xludf.DUMMYFUNCTION("""COMPUTED_VALUE"""),"Suyane Cachoeira")</f>
        <v>Suyane Cachoeira</v>
      </c>
      <c r="Y19" s="10" t="str">
        <f ca="1">IFERROR(__xludf.DUMMYFUNCTION("""COMPUTED_VALUE"""),"Lady Di")</f>
        <v>Lady Di</v>
      </c>
      <c r="Z19" s="10"/>
      <c r="AA19" s="10"/>
      <c r="AB19" s="10"/>
      <c r="AC19" s="10"/>
      <c r="AD19" s="10"/>
      <c r="AE19" s="10"/>
      <c r="AF19" s="4" t="str">
        <f ca="1">IFERROR(__xludf.DUMMYFUNCTION("""COMPUTED_VALUE"""),"Giovana Monteiro")</f>
        <v>Giovana Monteiro</v>
      </c>
      <c r="AG19" s="10" t="str">
        <f ca="1">IFERROR(__xludf.DUMMYFUNCTION("""COMPUTED_VALUE"""),"Alta Nobreza")</f>
        <v>Alta Nobreza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 t="str">
        <f ca="1">IFERROR(__xludf.DUMMYFUNCTION("""COMPUTED_VALUE"""),"A definir")</f>
        <v>A definir</v>
      </c>
      <c r="AT19" s="10"/>
      <c r="AU19" s="10"/>
      <c r="AV19" s="10"/>
      <c r="AW19" s="10"/>
      <c r="AX19" s="10"/>
      <c r="AY19" s="10"/>
      <c r="AZ19" s="10" t="str">
        <f ca="1">IFERROR(__xludf.DUMMYFUNCTION("""COMPUTED_VALUE"""),"Suyane")</f>
        <v>Suyane</v>
      </c>
      <c r="BA19" s="10"/>
      <c r="BB19" s="10"/>
      <c r="BC19" s="10"/>
      <c r="BD19" s="10"/>
      <c r="BE19" s="10"/>
      <c r="BF19" s="10"/>
      <c r="BG19" s="10" t="str">
        <f ca="1">IFERROR(__xludf.DUMMYFUNCTION("""COMPUTED_VALUE"""),"Lady DI")</f>
        <v>Lady DI</v>
      </c>
      <c r="BH19" s="10" t="str">
        <f ca="1">IFERROR(__xludf.DUMMYFUNCTION("""COMPUTED_VALUE"""),"a definir")</f>
        <v>a definir</v>
      </c>
      <c r="BI19" s="10"/>
      <c r="BJ19" s="10"/>
      <c r="BK19" s="10" t="str">
        <f ca="1">IFERROR(__xludf.DUMMYFUNCTION("""COMPUTED_VALUE"""),"A definir")</f>
        <v>A definir</v>
      </c>
      <c r="BL19" s="10"/>
      <c r="BM19" s="10"/>
      <c r="BN19" s="10"/>
      <c r="BO19" s="10"/>
      <c r="BP19" s="10"/>
      <c r="BQ19" s="10"/>
      <c r="BR19" s="10"/>
      <c r="BS19" s="8" t="str">
        <f ca="1">IFERROR(__xludf.DUMMYFUNCTION("""COMPUTED_VALUE"""),"a defnir")</f>
        <v>a defnir</v>
      </c>
      <c r="BT19" s="10"/>
      <c r="BU19" s="10" t="str">
        <f ca="1">IFERROR(__xludf.DUMMYFUNCTION("""COMPUTED_VALUE"""),"Cliente Cota Laje")</f>
        <v>Cliente Cota Laje</v>
      </c>
      <c r="BV19" s="10"/>
      <c r="BW19" s="10"/>
      <c r="BX19" s="10"/>
      <c r="BY19" s="10"/>
      <c r="BZ19" s="10"/>
      <c r="CA19" s="10"/>
      <c r="CB19" s="10"/>
      <c r="CC19" s="10" t="str">
        <f ca="1">IFERROR(__xludf.DUMMYFUNCTION("""COMPUTED_VALUE"""),"Corretores")</f>
        <v>Corretores</v>
      </c>
      <c r="CD19" s="10" t="str">
        <f ca="1">IFERROR(__xludf.DUMMYFUNCTION("""COMPUTED_VALUE"""),"a definir")</f>
        <v>a definir</v>
      </c>
      <c r="CE19" s="10" t="str">
        <f ca="1">IFERROR(__xludf.DUMMYFUNCTION("""COMPUTED_VALUE"""),"Brasil")</f>
        <v>Brasil</v>
      </c>
      <c r="CF19" s="10" t="str">
        <f ca="1">IFERROR(__xludf.DUMMYFUNCTION("""COMPUTED_VALUE"""),"Brusque")</f>
        <v>Brusque</v>
      </c>
      <c r="CG19" s="10"/>
      <c r="CH19" s="10" t="str">
        <f ca="1">IFERROR(__xludf.DUMMYFUNCTION("""COMPUTED_VALUE"""),"A definir")</f>
        <v>A definir</v>
      </c>
      <c r="CI19" s="10"/>
      <c r="CJ19" s="10" t="str">
        <f ca="1">IFERROR(__xludf.DUMMYFUNCTION("""COMPUTED_VALUE"""),"Santa Catarina (SC)")</f>
        <v>Santa Catarina (SC)</v>
      </c>
      <c r="CK19" s="10"/>
      <c r="CL19" s="10"/>
      <c r="CM19" s="10"/>
      <c r="CN19" s="10"/>
      <c r="CO19" s="10" t="str">
        <f ca="1">IFERROR(__xludf.DUMMYFUNCTION("""COMPUTED_VALUE"""),"Janeiro")</f>
        <v>Janeiro</v>
      </c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4" t="str">
        <f ca="1">IFERROR(__xludf.DUMMYFUNCTION("""COMPUTED_VALUE"""),"Janeiro")</f>
        <v>Janeiro</v>
      </c>
      <c r="DG19" s="10"/>
      <c r="DH19" s="10"/>
      <c r="DI19" s="10"/>
      <c r="DJ19" s="10"/>
      <c r="DK19" s="10"/>
      <c r="DL19" s="10" t="str">
        <f ca="1">IFERROR(__xludf.DUMMYFUNCTION("""COMPUTED_VALUE"""),"Giovana Monteiro Martins")</f>
        <v>Giovana Monteiro Martins</v>
      </c>
      <c r="DM19" s="10" t="str">
        <f ca="1">IFERROR(__xludf.DUMMYFUNCTION("""COMPUTED_VALUE"""),"Corretora")</f>
        <v>Corretora</v>
      </c>
      <c r="DN19" s="10" t="str">
        <f ca="1">IFERROR(__xludf.DUMMYFUNCTION("""COMPUTED_VALUE"""),"giobmonteiro@gmail.com")</f>
        <v>giobmonteiro@gmail.com</v>
      </c>
      <c r="DO19" s="10">
        <f ca="1">IFERROR(__xludf.DUMMYFUNCTION("""COMPUTED_VALUE"""),48996053794)</f>
        <v>48996053794</v>
      </c>
      <c r="DP19" s="10"/>
      <c r="DQ19" s="10"/>
    </row>
    <row r="20" spans="1:121">
      <c r="A20" s="4" t="str">
        <f ca="1">IFERROR(__xludf.DUMMYFUNCTION("""COMPUTED_VALUE"""),"Eduardo André Sturmer")</f>
        <v>Eduardo André Sturmer</v>
      </c>
      <c r="B20" s="4" t="str">
        <f ca="1">IFERROR(__xludf.DUMMYFUNCTION("""COMPUTED_VALUE"""),"Autônomo")</f>
        <v>Autônomo</v>
      </c>
      <c r="C20" s="10">
        <f ca="1">IFERROR(__xludf.DUMMYFUNCTION("""COMPUTED_VALUE"""),1)</f>
        <v>1</v>
      </c>
      <c r="D20" s="10" t="str">
        <f ca="1">IFERROR(__xludf.DUMMYFUNCTION("""COMPUTED_VALUE"""),"Funil de Vendas - Novo")</f>
        <v>Funil de Vendas - Novo</v>
      </c>
      <c r="E20" s="10" t="str">
        <f ca="1">IFERROR(__xludf.DUMMYFUNCTION("""COMPUTED_VALUE"""),"Visita/Reunião")</f>
        <v>Visita/Reunião</v>
      </c>
      <c r="F20" s="10" t="str">
        <f ca="1">IFERROR(__xludf.DUMMYFUNCTION("""COMPUTED_VALUE"""),"Em Andamento")</f>
        <v>Em Andamento</v>
      </c>
      <c r="G20" s="10" t="str">
        <f ca="1">IFERROR(__xludf.DUMMYFUNCTION("""COMPUTED_VALUE"""),"Nada")</f>
        <v>Nada</v>
      </c>
      <c r="H20" s="11" t="str">
        <f ca="1">IFERROR(__xludf.DUMMYFUNCTION("""COMPUTED_VALUE"""),"0.0")</f>
        <v>0.0</v>
      </c>
      <c r="I20" s="10" t="str">
        <f ca="1">IFERROR(__xludf.DUMMYFUNCTION("""COMPUTED_VALUE"""),"0.0")</f>
        <v>0.0</v>
      </c>
      <c r="J20" s="10" t="str">
        <f ca="1">IFERROR(__xludf.DUMMYFUNCTION("""COMPUTED_VALUE"""),"Não")</f>
        <v>Não</v>
      </c>
      <c r="K20" s="12">
        <f ca="1">IFERROR(__xludf.DUMMYFUNCTION("""COMPUTED_VALUE"""),46073)</f>
        <v>46073</v>
      </c>
      <c r="L20" s="13">
        <f ca="1">IFERROR(__xludf.DUMMYFUNCTION("""COMPUTED_VALUE"""),0.46875)</f>
        <v>0.46875</v>
      </c>
      <c r="M20" s="10"/>
      <c r="N20" s="10"/>
      <c r="O20" s="10"/>
      <c r="P20" s="10"/>
      <c r="Q20" s="12">
        <f ca="1">IFERROR(__xludf.DUMMYFUNCTION("""COMPUTED_VALUE"""),46147)</f>
        <v>46147</v>
      </c>
      <c r="R20" s="13">
        <f ca="1">IFERROR(__xludf.DUMMYFUNCTION("""COMPUTED_VALUE"""),0.384027777777777)</f>
        <v>0.38402777777777702</v>
      </c>
      <c r="S20" s="10"/>
      <c r="T20" s="10"/>
      <c r="U20" s="10"/>
      <c r="V20" s="10"/>
      <c r="W20" s="10"/>
      <c r="X20" s="4" t="str">
        <f ca="1">IFERROR(__xludf.DUMMYFUNCTION("""COMPUTED_VALUE"""),"Ricardo")</f>
        <v>Ricardo</v>
      </c>
      <c r="Y20" s="10" t="str">
        <f ca="1">IFERROR(__xludf.DUMMYFUNCTION("""COMPUTED_VALUE"""),"Lady Di")</f>
        <v>Lady Di</v>
      </c>
      <c r="Z20" s="10"/>
      <c r="AA20" s="10"/>
      <c r="AB20" s="10"/>
      <c r="AC20" s="10"/>
      <c r="AD20" s="10"/>
      <c r="AE20" s="10"/>
      <c r="AF20" s="4" t="str">
        <f ca="1">IFERROR(__xludf.DUMMYFUNCTION("""COMPUTED_VALUE"""),"Carlos Gamarra")</f>
        <v>Carlos Gamarra</v>
      </c>
      <c r="AG20" s="10" t="str">
        <f ca="1">IFERROR(__xludf.DUMMYFUNCTION("""COMPUTED_VALUE"""),"Alta Nobreza")</f>
        <v>Alta Nobreza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 t="str">
        <f ca="1">IFERROR(__xludf.DUMMYFUNCTION("""COMPUTED_VALUE"""),"Lady Di")</f>
        <v>Lady Di</v>
      </c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8"/>
      <c r="BT20" s="10"/>
      <c r="BU20" s="10" t="str">
        <f ca="1">IFERROR(__xludf.DUMMYFUNCTION("""COMPUTED_VALUE"""),"Cliente Cota Laje")</f>
        <v>Cliente Cota Laje</v>
      </c>
      <c r="BV20" s="10"/>
      <c r="BW20" s="10"/>
      <c r="BX20" s="10"/>
      <c r="BY20" s="10"/>
      <c r="BZ20" s="10"/>
      <c r="CA20" s="10"/>
      <c r="CB20" s="10"/>
      <c r="CC20" s="10" t="str">
        <f ca="1">IFERROR(__xludf.DUMMYFUNCTION("""COMPUTED_VALUE"""),"Corretores")</f>
        <v>Corretores</v>
      </c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4" t="str">
        <f ca="1">IFERROR(__xludf.DUMMYFUNCTION("""COMPUTED_VALUE"""),"Fevereiro")</f>
        <v>Fevereiro</v>
      </c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</row>
    <row r="21" spans="1:121">
      <c r="A21" s="4" t="str">
        <f ca="1">IFERROR(__xludf.DUMMYFUNCTION("""COMPUTED_VALUE"""),"Eduardo Polverelli (Sunset)")</f>
        <v>Eduardo Polverelli (Sunset)</v>
      </c>
      <c r="B21" s="4" t="str">
        <f ca="1">IFERROR(__xludf.DUMMYFUNCTION("""COMPUTED_VALUE"""),"Potencial")</f>
        <v>Potencial</v>
      </c>
      <c r="C21" s="10">
        <f ca="1">IFERROR(__xludf.DUMMYFUNCTION("""COMPUTED_VALUE"""),4)</f>
        <v>4</v>
      </c>
      <c r="D21" s="10" t="str">
        <f ca="1">IFERROR(__xludf.DUMMYFUNCTION("""COMPUTED_VALUE"""),"Funil de Vendas - Novo")</f>
        <v>Funil de Vendas - Novo</v>
      </c>
      <c r="E21" s="10" t="str">
        <f ca="1">IFERROR(__xludf.DUMMYFUNCTION("""COMPUTED_VALUE"""),"Proposta")</f>
        <v>Proposta</v>
      </c>
      <c r="F21" s="10" t="str">
        <f ca="1">IFERROR(__xludf.DUMMYFUNCTION("""COMPUTED_VALUE"""),"Em Andamento")</f>
        <v>Em Andamento</v>
      </c>
      <c r="G21" s="10" t="str">
        <f ca="1">IFERROR(__xludf.DUMMYFUNCTION("""COMPUTED_VALUE"""),"Nada")</f>
        <v>Nada</v>
      </c>
      <c r="H21" s="11" t="str">
        <f ca="1">IFERROR(__xludf.DUMMYFUNCTION("""COMPUTED_VALUE"""),"6213200.0")</f>
        <v>6213200.0</v>
      </c>
      <c r="I21" s="10" t="str">
        <f ca="1">IFERROR(__xludf.DUMMYFUNCTION("""COMPUTED_VALUE"""),"0.0")</f>
        <v>0.0</v>
      </c>
      <c r="J21" s="10" t="str">
        <f ca="1">IFERROR(__xludf.DUMMYFUNCTION("""COMPUTED_VALUE"""),"Não")</f>
        <v>Não</v>
      </c>
      <c r="K21" s="12">
        <f ca="1">IFERROR(__xludf.DUMMYFUNCTION("""COMPUTED_VALUE"""),46036)</f>
        <v>46036</v>
      </c>
      <c r="L21" s="13">
        <f ca="1">IFERROR(__xludf.DUMMYFUNCTION("""COMPUTED_VALUE"""),0.630555555555555)</f>
        <v>0.63055555555555498</v>
      </c>
      <c r="M21" s="10"/>
      <c r="N21" s="10"/>
      <c r="O21" s="10"/>
      <c r="P21" s="10"/>
      <c r="Q21" s="12">
        <f ca="1">IFERROR(__xludf.DUMMYFUNCTION("""COMPUTED_VALUE"""),46083)</f>
        <v>46083</v>
      </c>
      <c r="R21" s="13">
        <f ca="1">IFERROR(__xludf.DUMMYFUNCTION("""COMPUTED_VALUE"""),0.631944444444444)</f>
        <v>0.63194444444444398</v>
      </c>
      <c r="S21" s="10"/>
      <c r="T21" s="10"/>
      <c r="U21" s="10"/>
      <c r="V21" s="10" t="str">
        <f ca="1">IFERROR(__xludf.DUMMYFUNCTION("""COMPUTED_VALUE"""),". Relacionamento Corretores")</f>
        <v>. Relacionamento Corretores</v>
      </c>
      <c r="W21" s="10"/>
      <c r="X21" s="4" t="str">
        <f ca="1">IFERROR(__xludf.DUMMYFUNCTION("""COMPUTED_VALUE"""),"Suyane Cachoeira")</f>
        <v>Suyane Cachoeira</v>
      </c>
      <c r="Y21" s="10" t="str">
        <f ca="1">IFERROR(__xludf.DUMMYFUNCTION("""COMPUTED_VALUE"""),"Lady Di")</f>
        <v>Lady Di</v>
      </c>
      <c r="Z21" s="10"/>
      <c r="AA21" s="10"/>
      <c r="AB21" s="10"/>
      <c r="AC21" s="10"/>
      <c r="AD21" s="10"/>
      <c r="AE21" s="10"/>
      <c r="AF21" s="4" t="str">
        <f ca="1">IFERROR(__xludf.DUMMYFUNCTION("""COMPUTED_VALUE"""),"Carine Bottene")</f>
        <v>Carine Bottene</v>
      </c>
      <c r="AG21" s="10" t="str">
        <f ca="1">IFERROR(__xludf.DUMMYFUNCTION("""COMPUTED_VALUE"""),"Alta Nobreza")</f>
        <v>Alta Nobreza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 t="str">
        <f ca="1">IFERROR(__xludf.DUMMYFUNCTION("""COMPUTED_VALUE"""),"Vai comprar o Lady Di quando tivermos tabela")</f>
        <v>Vai comprar o Lady Di quando tivermos tabela</v>
      </c>
      <c r="AT21" s="10"/>
      <c r="AU21" s="10"/>
      <c r="AV21" s="10"/>
      <c r="AW21" s="10"/>
      <c r="AX21" s="10"/>
      <c r="AY21" s="10"/>
      <c r="AZ21" s="10" t="str">
        <f ca="1">IFERROR(__xludf.DUMMYFUNCTION("""COMPUTED_VALUE"""),"Suyane")</f>
        <v>Suyane</v>
      </c>
      <c r="BA21" s="10"/>
      <c r="BB21" s="10"/>
      <c r="BC21" s="10"/>
      <c r="BD21" s="10"/>
      <c r="BE21" s="10"/>
      <c r="BF21" s="10"/>
      <c r="BG21" s="10" t="str">
        <f ca="1">IFERROR(__xludf.DUMMYFUNCTION("""COMPUTED_VALUE"""),"Lady Di")</f>
        <v>Lady Di</v>
      </c>
      <c r="BH21" s="10" t="str">
        <f ca="1">IFERROR(__xludf.DUMMYFUNCTION("""COMPUTED_VALUE"""),"A definir")</f>
        <v>A definir</v>
      </c>
      <c r="BI21" s="10"/>
      <c r="BJ21" s="10"/>
      <c r="BK21" s="10" t="str">
        <f ca="1">IFERROR(__xludf.DUMMYFUNCTION("""COMPUTED_VALUE"""),"A definir")</f>
        <v>A definir</v>
      </c>
      <c r="BL21" s="10"/>
      <c r="BM21" s="10"/>
      <c r="BN21" s="10"/>
      <c r="BO21" s="10"/>
      <c r="BP21" s="10"/>
      <c r="BQ21" s="10"/>
      <c r="BR21" s="10"/>
      <c r="BS21" s="8" t="str">
        <f ca="1">IFERROR(__xludf.DUMMYFUNCTION("""COMPUTED_VALUE"""),"A definir")</f>
        <v>A definir</v>
      </c>
      <c r="BT21" s="10"/>
      <c r="BU21" s="10" t="str">
        <f ca="1">IFERROR(__xludf.DUMMYFUNCTION("""COMPUTED_VALUE"""),"Cliente Cota Laje")</f>
        <v>Cliente Cota Laje</v>
      </c>
      <c r="BV21" s="10"/>
      <c r="BW21" s="10"/>
      <c r="BX21" s="10"/>
      <c r="BY21" s="10"/>
      <c r="BZ21" s="10"/>
      <c r="CA21" s="10"/>
      <c r="CB21" s="10"/>
      <c r="CC21" s="10" t="str">
        <f ca="1">IFERROR(__xludf.DUMMYFUNCTION("""COMPUTED_VALUE"""),"Corretores")</f>
        <v>Corretores</v>
      </c>
      <c r="CD21" s="10" t="str">
        <f ca="1">IFERROR(__xludf.DUMMYFUNCTION("""COMPUTED_VALUE"""),"a definir")</f>
        <v>a definir</v>
      </c>
      <c r="CE21" s="10" t="str">
        <f ca="1">IFERROR(__xludf.DUMMYFUNCTION("""COMPUTED_VALUE"""),"Argentina")</f>
        <v>Argentina</v>
      </c>
      <c r="CF21" s="10" t="str">
        <f ca="1">IFERROR(__xludf.DUMMYFUNCTION("""COMPUTED_VALUE"""),"Buenos Aires")</f>
        <v>Buenos Aires</v>
      </c>
      <c r="CG21" s="10"/>
      <c r="CH21" s="10" t="str">
        <f ca="1">IFERROR(__xludf.DUMMYFUNCTION("""COMPUTED_VALUE"""),"A definir")</f>
        <v>A definir</v>
      </c>
      <c r="CI21" s="10"/>
      <c r="CJ21" s="10" t="str">
        <f ca="1">IFERROR(__xludf.DUMMYFUNCTION("""COMPUTED_VALUE"""),"Santa Catarina (SC)")</f>
        <v>Santa Catarina (SC)</v>
      </c>
      <c r="CK21" s="10"/>
      <c r="CL21" s="10"/>
      <c r="CM21" s="10"/>
      <c r="CN21" s="10"/>
      <c r="CO21" s="10" t="str">
        <f ca="1">IFERROR(__xludf.DUMMYFUNCTION("""COMPUTED_VALUE"""),"Março")</f>
        <v>Março</v>
      </c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4" t="str">
        <f ca="1">IFERROR(__xludf.DUMMYFUNCTION("""COMPUTED_VALUE"""),"Janeiro")</f>
        <v>Janeiro</v>
      </c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</row>
    <row r="22" spans="1:121">
      <c r="A22" s="4" t="str">
        <f ca="1">IFERROR(__xludf.DUMMYFUNCTION("""COMPUTED_VALUE"""),"Evandro")</f>
        <v>Evandro</v>
      </c>
      <c r="B22" s="4"/>
      <c r="C22" s="10">
        <f ca="1">IFERROR(__xludf.DUMMYFUNCTION("""COMPUTED_VALUE"""),3)</f>
        <v>3</v>
      </c>
      <c r="D22" s="10" t="str">
        <f ca="1">IFERROR(__xludf.DUMMYFUNCTION("""COMPUTED_VALUE"""),"Funil de Vendas - Novo")</f>
        <v>Funil de Vendas - Novo</v>
      </c>
      <c r="E22" s="10" t="str">
        <f ca="1">IFERROR(__xludf.DUMMYFUNCTION("""COMPUTED_VALUE"""),"Proposta")</f>
        <v>Proposta</v>
      </c>
      <c r="F22" s="10" t="str">
        <f ca="1">IFERROR(__xludf.DUMMYFUNCTION("""COMPUTED_VALUE"""),"Em Andamento")</f>
        <v>Em Andamento</v>
      </c>
      <c r="G22" s="10" t="str">
        <f ca="1">IFERROR(__xludf.DUMMYFUNCTION("""COMPUTED_VALUE"""),"Nada")</f>
        <v>Nada</v>
      </c>
      <c r="H22" s="11" t="str">
        <f ca="1">IFERROR(__xludf.DUMMYFUNCTION("""COMPUTED_VALUE"""),"6628000.0")</f>
        <v>6628000.0</v>
      </c>
      <c r="I22" s="10" t="str">
        <f ca="1">IFERROR(__xludf.DUMMYFUNCTION("""COMPUTED_VALUE"""),"0.0")</f>
        <v>0.0</v>
      </c>
      <c r="J22" s="10" t="str">
        <f ca="1">IFERROR(__xludf.DUMMYFUNCTION("""COMPUTED_VALUE"""),"Não")</f>
        <v>Não</v>
      </c>
      <c r="K22" s="12">
        <f ca="1">IFERROR(__xludf.DUMMYFUNCTION("""COMPUTED_VALUE"""),46075)</f>
        <v>46075</v>
      </c>
      <c r="L22" s="13">
        <f ca="1">IFERROR(__xludf.DUMMYFUNCTION("""COMPUTED_VALUE"""),0.964583333333333)</f>
        <v>0.96458333333333302</v>
      </c>
      <c r="M22" s="10"/>
      <c r="N22" s="10"/>
      <c r="O22" s="10"/>
      <c r="P22" s="10"/>
      <c r="Q22" s="12">
        <f ca="1">IFERROR(__xludf.DUMMYFUNCTION("""COMPUTED_VALUE"""),46095)</f>
        <v>46095</v>
      </c>
      <c r="R22" s="13">
        <f ca="1">IFERROR(__xludf.DUMMYFUNCTION("""COMPUTED_VALUE"""),0.416666666666666)</f>
        <v>0.41666666666666602</v>
      </c>
      <c r="S22" s="10"/>
      <c r="T22" s="10"/>
      <c r="U22" s="10"/>
      <c r="V22" s="10" t="str">
        <f ca="1">IFERROR(__xludf.DUMMYFUNCTION("""COMPUTED_VALUE"""),". Relacionamento Corretores")</f>
        <v>. Relacionamento Corretores</v>
      </c>
      <c r="W22" s="10"/>
      <c r="X22" s="4" t="str">
        <f ca="1">IFERROR(__xludf.DUMMYFUNCTION("""COMPUTED_VALUE"""),"Ricardo")</f>
        <v>Ricardo</v>
      </c>
      <c r="Y22" s="10" t="str">
        <f ca="1">IFERROR(__xludf.DUMMYFUNCTION("""COMPUTED_VALUE"""),"Charles II")</f>
        <v>Charles II</v>
      </c>
      <c r="Z22" s="10"/>
      <c r="AA22" s="10"/>
      <c r="AB22" s="10"/>
      <c r="AC22" s="10"/>
      <c r="AD22" s="10"/>
      <c r="AE22" s="10"/>
      <c r="AF22" s="4" t="str">
        <f ca="1">IFERROR(__xludf.DUMMYFUNCTION("""COMPUTED_VALUE"""),"Henrique Silveira")</f>
        <v>Henrique Silveira</v>
      </c>
      <c r="AG22" s="10" t="str">
        <f ca="1">IFERROR(__xludf.DUMMYFUNCTION("""COMPUTED_VALUE"""),"Alta Nobreza")</f>
        <v>Alta Nobreza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 t="str">
        <f ca="1">IFERROR(__xludf.DUMMYFUNCTION("""COMPUTED_VALUE"""),"Charles II")</f>
        <v>Charles II</v>
      </c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8"/>
      <c r="BT22" s="10"/>
      <c r="BU22" s="10"/>
      <c r="BV22" s="10"/>
      <c r="BW22" s="10"/>
      <c r="BX22" s="10"/>
      <c r="BY22" s="10"/>
      <c r="BZ22" s="10"/>
      <c r="CA22" s="10"/>
      <c r="CB22" s="10"/>
      <c r="CC22" s="10" t="str">
        <f ca="1">IFERROR(__xludf.DUMMYFUNCTION("""COMPUTED_VALUE"""),"Corretores")</f>
        <v>Corretores</v>
      </c>
      <c r="CD22" s="10"/>
      <c r="CE22" s="10" t="str">
        <f ca="1">IFERROR(__xludf.DUMMYFUNCTION("""COMPUTED_VALUE"""),"Brasil")</f>
        <v>Brasil</v>
      </c>
      <c r="CF22" s="10" t="str">
        <f ca="1">IFERROR(__xludf.DUMMYFUNCTION("""COMPUTED_VALUE"""),"Modelo")</f>
        <v>Modelo</v>
      </c>
      <c r="CG22" s="10"/>
      <c r="CH22" s="10"/>
      <c r="CI22" s="10"/>
      <c r="CJ22" s="10" t="str">
        <f ca="1">IFERROR(__xludf.DUMMYFUNCTION("""COMPUTED_VALUE"""),"Santa Catarina (SC)")</f>
        <v>Santa Catarina (SC)</v>
      </c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4" t="str">
        <f ca="1">IFERROR(__xludf.DUMMYFUNCTION("""COMPUTED_VALUE"""),"Fevereiro")</f>
        <v>Fevereiro</v>
      </c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</row>
    <row r="23" spans="1:121">
      <c r="A23" s="4" t="str">
        <f ca="1">IFERROR(__xludf.DUMMYFUNCTION("""COMPUTED_VALUE"""),"Falcão")</f>
        <v>Falcão</v>
      </c>
      <c r="B23" s="4"/>
      <c r="C23" s="10">
        <f ca="1">IFERROR(__xludf.DUMMYFUNCTION("""COMPUTED_VALUE"""),1)</f>
        <v>1</v>
      </c>
      <c r="D23" s="10" t="str">
        <f ca="1">IFERROR(__xludf.DUMMYFUNCTION("""COMPUTED_VALUE"""),"Funil de Vendas - Novo")</f>
        <v>Funil de Vendas - Novo</v>
      </c>
      <c r="E23" s="10" t="str">
        <f ca="1">IFERROR(__xludf.DUMMYFUNCTION("""COMPUTED_VALUE"""),"Oportunidades Futuras")</f>
        <v>Oportunidades Futuras</v>
      </c>
      <c r="F23" s="10" t="str">
        <f ca="1">IFERROR(__xludf.DUMMYFUNCTION("""COMPUTED_VALUE"""),"Em Andamento")</f>
        <v>Em Andamento</v>
      </c>
      <c r="G23" s="10" t="str">
        <f ca="1">IFERROR(__xludf.DUMMYFUNCTION("""COMPUTED_VALUE"""),"Nada")</f>
        <v>Nada</v>
      </c>
      <c r="H23" s="11" t="str">
        <f ca="1">IFERROR(__xludf.DUMMYFUNCTION("""COMPUTED_VALUE"""),"7888000.0")</f>
        <v>7888000.0</v>
      </c>
      <c r="I23" s="10" t="str">
        <f ca="1">IFERROR(__xludf.DUMMYFUNCTION("""COMPUTED_VALUE"""),"0.0")</f>
        <v>0.0</v>
      </c>
      <c r="J23" s="10" t="str">
        <f ca="1">IFERROR(__xludf.DUMMYFUNCTION("""COMPUTED_VALUE"""),"Não")</f>
        <v>Não</v>
      </c>
      <c r="K23" s="12">
        <f ca="1">IFERROR(__xludf.DUMMYFUNCTION("""COMPUTED_VALUE"""),46042)</f>
        <v>46042</v>
      </c>
      <c r="L23" s="13">
        <f ca="1">IFERROR(__xludf.DUMMYFUNCTION("""COMPUTED_VALUE"""),0.485416666666666)</f>
        <v>0.485416666666666</v>
      </c>
      <c r="M23" s="10"/>
      <c r="N23" s="10"/>
      <c r="O23" s="10"/>
      <c r="P23" s="10"/>
      <c r="Q23" s="12">
        <f ca="1">IFERROR(__xludf.DUMMYFUNCTION("""COMPUTED_VALUE"""),46127)</f>
        <v>46127</v>
      </c>
      <c r="R23" s="13">
        <f ca="1">IFERROR(__xludf.DUMMYFUNCTION("""COMPUTED_VALUE"""),0.46875)</f>
        <v>0.46875</v>
      </c>
      <c r="S23" s="10"/>
      <c r="T23" s="10"/>
      <c r="U23" s="10"/>
      <c r="V23" s="10" t="str">
        <f ca="1">IFERROR(__xludf.DUMMYFUNCTION("""COMPUTED_VALUE"""),". Relacionamento Corretores")</f>
        <v>. Relacionamento Corretores</v>
      </c>
      <c r="W23" s="10"/>
      <c r="X23" s="4" t="str">
        <f ca="1">IFERROR(__xludf.DUMMYFUNCTION("""COMPUTED_VALUE"""),"Mateus Calebi")</f>
        <v>Mateus Calebi</v>
      </c>
      <c r="Y23" s="10" t="str">
        <f ca="1">IFERROR(__xludf.DUMMYFUNCTION("""COMPUTED_VALUE"""),"Francisco I")</f>
        <v>Francisco I</v>
      </c>
      <c r="Z23" s="10"/>
      <c r="AA23" s="10"/>
      <c r="AB23" s="10"/>
      <c r="AC23" s="10"/>
      <c r="AD23" s="10"/>
      <c r="AE23" s="10"/>
      <c r="AF23" s="4" t="str">
        <f ca="1">IFERROR(__xludf.DUMMYFUNCTION("""COMPUTED_VALUE"""),"Vinícius Imperial")</f>
        <v>Vinícius Imperial</v>
      </c>
      <c r="AG23" s="10" t="str">
        <f ca="1">IFERROR(__xludf.DUMMYFUNCTION("""COMPUTED_VALUE"""),"Alta Nobreza")</f>
        <v>Alta Nobreza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 t="str">
        <f ca="1">IFERROR(__xludf.DUMMYFUNCTION("""COMPUTED_VALUE"""),"A definir")</f>
        <v>A definir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 t="str">
        <f ca="1">IFERROR(__xludf.DUMMYFUNCTION("""COMPUTED_VALUE"""),"Francisco I")</f>
        <v>Francisco I</v>
      </c>
      <c r="BH23" s="10" t="str">
        <f ca="1">IFERROR(__xludf.DUMMYFUNCTION("""COMPUTED_VALUE"""),"A definir")</f>
        <v>A definir</v>
      </c>
      <c r="BI23" s="10"/>
      <c r="BJ23" s="10"/>
      <c r="BK23" s="10" t="str">
        <f ca="1">IFERROR(__xludf.DUMMYFUNCTION("""COMPUTED_VALUE"""),"Viagens")</f>
        <v>Viagens</v>
      </c>
      <c r="BL23" s="10"/>
      <c r="BM23" s="10"/>
      <c r="BN23" s="10"/>
      <c r="BO23" s="10"/>
      <c r="BP23" s="10"/>
      <c r="BQ23" s="10"/>
      <c r="BR23" s="10"/>
      <c r="BS23" s="8">
        <f ca="1">IFERROR(__xludf.DUMMYFUNCTION("""COMPUTED_VALUE"""),7888000)</f>
        <v>7888000</v>
      </c>
      <c r="BT23" s="10"/>
      <c r="BU23" s="10"/>
      <c r="BV23" s="10"/>
      <c r="BW23" s="10"/>
      <c r="BX23" s="10"/>
      <c r="BY23" s="10"/>
      <c r="BZ23" s="10"/>
      <c r="CA23" s="10"/>
      <c r="CB23" s="10"/>
      <c r="CC23" s="10" t="str">
        <f ca="1">IFERROR(__xludf.DUMMYFUNCTION("""COMPUTED_VALUE"""),"Corretores")</f>
        <v>Corretores</v>
      </c>
      <c r="CD23" s="10" t="str">
        <f ca="1">IFERROR(__xludf.DUMMYFUNCTION("""COMPUTED_VALUE"""),"A definir")</f>
        <v>A definir</v>
      </c>
      <c r="CE23" s="10" t="str">
        <f ca="1">IFERROR(__xludf.DUMMYFUNCTION("""COMPUTED_VALUE"""),"Brasil")</f>
        <v>Brasil</v>
      </c>
      <c r="CF23" s="10" t="str">
        <f ca="1">IFERROR(__xludf.DUMMYFUNCTION("""COMPUTED_VALUE"""),"Tocantins")</f>
        <v>Tocantins</v>
      </c>
      <c r="CG23" s="10"/>
      <c r="CH23" s="10" t="str">
        <f ca="1">IFERROR(__xludf.DUMMYFUNCTION("""COMPUTED_VALUE"""),"A definir")</f>
        <v>A definir</v>
      </c>
      <c r="CI23" s="10"/>
      <c r="CJ23" s="10" t="str">
        <f ca="1">IFERROR(__xludf.DUMMYFUNCTION("""COMPUTED_VALUE"""),"Tocantins (TO)")</f>
        <v>Tocantins (TO)</v>
      </c>
      <c r="CK23" s="10"/>
      <c r="CL23" s="10"/>
      <c r="CM23" s="10"/>
      <c r="CN23" s="10"/>
      <c r="CO23" s="10" t="str">
        <f ca="1">IFERROR(__xludf.DUMMYFUNCTION("""COMPUTED_VALUE"""),"Janeiro")</f>
        <v>Janeiro</v>
      </c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4" t="str">
        <f ca="1">IFERROR(__xludf.DUMMYFUNCTION("""COMPUTED_VALUE"""),"Janeiro")</f>
        <v>Janeiro</v>
      </c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</row>
    <row r="24" spans="1:121">
      <c r="A24" s="4" t="str">
        <f ca="1">IFERROR(__xludf.DUMMYFUNCTION("""COMPUTED_VALUE"""),"Fatima e Luciano")</f>
        <v>Fatima e Luciano</v>
      </c>
      <c r="B24" s="4" t="str">
        <f ca="1">IFERROR(__xludf.DUMMYFUNCTION("""COMPUTED_VALUE"""),"Esmeralda")</f>
        <v>Esmeralda</v>
      </c>
      <c r="C24" s="10">
        <f ca="1">IFERROR(__xludf.DUMMYFUNCTION("""COMPUTED_VALUE"""),3)</f>
        <v>3</v>
      </c>
      <c r="D24" s="10" t="str">
        <f ca="1">IFERROR(__xludf.DUMMYFUNCTION("""COMPUTED_VALUE"""),"Funil de Vendas - Novo")</f>
        <v>Funil de Vendas - Novo</v>
      </c>
      <c r="E24" s="10" t="str">
        <f ca="1">IFERROR(__xludf.DUMMYFUNCTION("""COMPUTED_VALUE"""),"Visita/Reunião")</f>
        <v>Visita/Reunião</v>
      </c>
      <c r="F24" s="10" t="str">
        <f ca="1">IFERROR(__xludf.DUMMYFUNCTION("""COMPUTED_VALUE"""),"Perdida")</f>
        <v>Perdida</v>
      </c>
      <c r="G24" s="10" t="str">
        <f ca="1">IFERROR(__xludf.DUMMYFUNCTION("""COMPUTED_VALUE"""),". Desistiu do investimento")</f>
        <v>. Desistiu do investimento</v>
      </c>
      <c r="H24" s="11" t="str">
        <f ca="1">IFERROR(__xludf.DUMMYFUNCTION("""COMPUTED_VALUE"""),"8400000.0")</f>
        <v>8400000.0</v>
      </c>
      <c r="I24" s="10" t="str">
        <f ca="1">IFERROR(__xludf.DUMMYFUNCTION("""COMPUTED_VALUE"""),"0.0")</f>
        <v>0.0</v>
      </c>
      <c r="J24" s="10" t="str">
        <f ca="1">IFERROR(__xludf.DUMMYFUNCTION("""COMPUTED_VALUE"""),"Não")</f>
        <v>Não</v>
      </c>
      <c r="K24" s="12">
        <f ca="1">IFERROR(__xludf.DUMMYFUNCTION("""COMPUTED_VALUE"""),46065)</f>
        <v>46065</v>
      </c>
      <c r="L24" s="13">
        <f ca="1">IFERROR(__xludf.DUMMYFUNCTION("""COMPUTED_VALUE"""),0.59375)</f>
        <v>0.59375</v>
      </c>
      <c r="M24" s="10"/>
      <c r="N24" s="10"/>
      <c r="O24" s="10"/>
      <c r="P24" s="10"/>
      <c r="Q24" s="12"/>
      <c r="R24" s="13"/>
      <c r="S24" s="10"/>
      <c r="T24" s="12">
        <f ca="1">IFERROR(__xludf.DUMMYFUNCTION("""COMPUTED_VALUE"""),46075)</f>
        <v>46075</v>
      </c>
      <c r="U24" s="13">
        <f ca="1">IFERROR(__xludf.DUMMYFUNCTION("""COMPUTED_VALUE"""),0.586111111111111)</f>
        <v>0.58611111111111103</v>
      </c>
      <c r="V24" s="10" t="str">
        <f ca="1">IFERROR(__xludf.DUMMYFUNCTION("""COMPUTED_VALUE"""),". Relacionamento Corretores")</f>
        <v>. Relacionamento Corretores</v>
      </c>
      <c r="W24" s="10"/>
      <c r="X24" s="4" t="str">
        <f ca="1">IFERROR(__xludf.DUMMYFUNCTION("""COMPUTED_VALUE"""),"Suyane Cachoeira")</f>
        <v>Suyane Cachoeira</v>
      </c>
      <c r="Y24" s="10" t="str">
        <f ca="1">IFERROR(__xludf.DUMMYFUNCTION("""COMPUTED_VALUE"""),". Elizabeth II")</f>
        <v>. Elizabeth II</v>
      </c>
      <c r="Z24" s="10"/>
      <c r="AA24" s="10" t="str">
        <f ca="1">IFERROR(__xludf.DUMMYFUNCTION("""COMPUTED_VALUE"""),"Clientes queriam um frente mar mesmo, então Elizabeth e Lady Di não faziam sentido pra eles.")</f>
        <v>Clientes queriam um frente mar mesmo, então Elizabeth e Lady Di não faziam sentido pra eles.</v>
      </c>
      <c r="AB24" s="10"/>
      <c r="AC24" s="10"/>
      <c r="AD24" s="10"/>
      <c r="AE24" s="10"/>
      <c r="AF24" s="4" t="str">
        <f ca="1">IFERROR(__xludf.DUMMYFUNCTION("""COMPUTED_VALUE"""),"Marcel Campos")</f>
        <v>Marcel Campos</v>
      </c>
      <c r="AG24" s="10" t="str">
        <f ca="1">IFERROR(__xludf.DUMMYFUNCTION("""COMPUTED_VALUE"""),"Alta Nobreza")</f>
        <v>Alta Nobreza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 t="str">
        <f ca="1">IFERROR(__xludf.DUMMYFUNCTION("""COMPUTED_VALUE"""),"Suyane")</f>
        <v>Suyane</v>
      </c>
      <c r="BA24" s="10"/>
      <c r="BB24" s="10"/>
      <c r="BC24" s="10"/>
      <c r="BD24" s="10"/>
      <c r="BE24" s="10"/>
      <c r="BF24" s="10"/>
      <c r="BG24" s="10" t="str">
        <f ca="1">IFERROR(__xludf.DUMMYFUNCTION("""COMPUTED_VALUE"""),"Elizabeth II")</f>
        <v>Elizabeth II</v>
      </c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8"/>
      <c r="BT24" s="10"/>
      <c r="BU24" s="10"/>
      <c r="BV24" s="10"/>
      <c r="BW24" s="10"/>
      <c r="BX24" s="10"/>
      <c r="BY24" s="10"/>
      <c r="BZ24" s="10"/>
      <c r="CA24" s="10"/>
      <c r="CB24" s="10"/>
      <c r="CC24" s="10" t="str">
        <f ca="1">IFERROR(__xludf.DUMMYFUNCTION("""COMPUTED_VALUE"""),"Corretores")</f>
        <v>Corretores</v>
      </c>
      <c r="CD24" s="10"/>
      <c r="CE24" s="10" t="str">
        <f ca="1">IFERROR(__xludf.DUMMYFUNCTION("""COMPUTED_VALUE"""),"Brasil")</f>
        <v>Brasil</v>
      </c>
      <c r="CF24" s="10" t="str">
        <f ca="1">IFERROR(__xludf.DUMMYFUNCTION("""COMPUTED_VALUE"""),"Araranguá")</f>
        <v>Araranguá</v>
      </c>
      <c r="CG24" s="10"/>
      <c r="CH24" s="10"/>
      <c r="CI24" s="10"/>
      <c r="CJ24" s="10" t="str">
        <f ca="1">IFERROR(__xludf.DUMMYFUNCTION("""COMPUTED_VALUE"""),"Santa Catarina (SC)")</f>
        <v>Santa Catarina (SC)</v>
      </c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 t="str">
        <f ca="1">IFERROR(__xludf.DUMMYFUNCTION("""COMPUTED_VALUE"""),"Fevereiro")</f>
        <v>Fevereiro</v>
      </c>
      <c r="DD24" s="10"/>
      <c r="DE24" s="10"/>
      <c r="DF24" s="4" t="str">
        <f ca="1">IFERROR(__xludf.DUMMYFUNCTION("""COMPUTED_VALUE"""),"Fevereiro")</f>
        <v>Fevereiro</v>
      </c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</row>
    <row r="25" spans="1:121">
      <c r="A25" s="4" t="str">
        <f ca="1">IFERROR(__xludf.DUMMYFUNCTION("""COMPUTED_VALUE"""),"Flavio")</f>
        <v>Flavio</v>
      </c>
      <c r="B25" s="4" t="str">
        <f ca="1">IFERROR(__xludf.DUMMYFUNCTION("""COMPUTED_VALUE"""),"Ohmega")</f>
        <v>Ohmega</v>
      </c>
      <c r="C25" s="10">
        <f ca="1">IFERROR(__xludf.DUMMYFUNCTION("""COMPUTED_VALUE"""),1)</f>
        <v>1</v>
      </c>
      <c r="D25" s="10" t="str">
        <f ca="1">IFERROR(__xludf.DUMMYFUNCTION("""COMPUTED_VALUE"""),"Funil de Vendas - Novo")</f>
        <v>Funil de Vendas - Novo</v>
      </c>
      <c r="E25" s="10" t="str">
        <f ca="1">IFERROR(__xludf.DUMMYFUNCTION("""COMPUTED_VALUE"""),"Negociação")</f>
        <v>Negociação</v>
      </c>
      <c r="F25" s="10" t="str">
        <f ca="1">IFERROR(__xludf.DUMMYFUNCTION("""COMPUTED_VALUE"""),"Perdida")</f>
        <v>Perdida</v>
      </c>
      <c r="G25" s="10" t="str">
        <f ca="1">IFERROR(__xludf.DUMMYFUNCTION("""COMPUTED_VALUE"""),". Desistiu do investimento")</f>
        <v>. Desistiu do investimento</v>
      </c>
      <c r="H25" s="11" t="str">
        <f ca="1">IFERROR(__xludf.DUMMYFUNCTION("""COMPUTED_VALUE"""),"7578000.0")</f>
        <v>7578000.0</v>
      </c>
      <c r="I25" s="10" t="str">
        <f ca="1">IFERROR(__xludf.DUMMYFUNCTION("""COMPUTED_VALUE"""),"0.0")</f>
        <v>0.0</v>
      </c>
      <c r="J25" s="10" t="str">
        <f ca="1">IFERROR(__xludf.DUMMYFUNCTION("""COMPUTED_VALUE"""),"Não")</f>
        <v>Não</v>
      </c>
      <c r="K25" s="12">
        <f ca="1">IFERROR(__xludf.DUMMYFUNCTION("""COMPUTED_VALUE"""),46026)</f>
        <v>46026</v>
      </c>
      <c r="L25" s="13">
        <f ca="1">IFERROR(__xludf.DUMMYFUNCTION("""COMPUTED_VALUE"""),0.964583333333333)</f>
        <v>0.96458333333333302</v>
      </c>
      <c r="M25" s="10"/>
      <c r="N25" s="10"/>
      <c r="O25" s="10"/>
      <c r="P25" s="10"/>
      <c r="Q25" s="10"/>
      <c r="R25" s="10"/>
      <c r="S25" s="10"/>
      <c r="T25" s="12">
        <f ca="1">IFERROR(__xludf.DUMMYFUNCTION("""COMPUTED_VALUE"""),46057)</f>
        <v>46057</v>
      </c>
      <c r="U25" s="13">
        <f ca="1">IFERROR(__xludf.DUMMYFUNCTION("""COMPUTED_VALUE"""),0.468055555555555)</f>
        <v>0.468055555555555</v>
      </c>
      <c r="V25" s="10" t="str">
        <f ca="1">IFERROR(__xludf.DUMMYFUNCTION("""COMPUTED_VALUE"""),". Maison Corretores")</f>
        <v>. Maison Corretores</v>
      </c>
      <c r="W25" s="10"/>
      <c r="X25" s="4" t="str">
        <f ca="1">IFERROR(__xludf.DUMMYFUNCTION("""COMPUTED_VALUE"""),"Mateus Calebi")</f>
        <v>Mateus Calebi</v>
      </c>
      <c r="Y25" s="10" t="str">
        <f ca="1">IFERROR(__xludf.DUMMYFUNCTION("""COMPUTED_VALUE"""),"Charles II")</f>
        <v>Charles II</v>
      </c>
      <c r="Z25" s="10"/>
      <c r="AA25" s="10" t="str">
        <f ca="1">IFERROR(__xludf.DUMMYFUNCTION("""COMPUTED_VALUE"""),"Cliente não deu mais retorno para o corretor. Entrei em contato com o Fernando diversas vezes e ele não me retornou")</f>
        <v>Cliente não deu mais retorno para o corretor. Entrei em contato com o Fernando diversas vezes e ele não me retornou</v>
      </c>
      <c r="AB25" s="10"/>
      <c r="AC25" s="10"/>
      <c r="AD25" s="10"/>
      <c r="AE25" s="10"/>
      <c r="AF25" s="4" t="str">
        <f ca="1">IFERROR(__xludf.DUMMYFUNCTION("""COMPUTED_VALUE"""),"Fernando")</f>
        <v>Fernando</v>
      </c>
      <c r="AG25" s="10" t="str">
        <f ca="1">IFERROR(__xludf.DUMMYFUNCTION("""COMPUTED_VALUE"""),"Alta Nobreza")</f>
        <v>Alta Nobreza</v>
      </c>
      <c r="AH25" s="10"/>
      <c r="AI25" s="10"/>
      <c r="AJ25" s="10"/>
      <c r="AK25" s="10"/>
      <c r="AL25" s="10"/>
      <c r="AM25" s="10" t="str">
        <f ca="1">IFERROR(__xludf.DUMMYFUNCTION("""COMPUTED_VALUE"""),"Negociação pós almoço de relacionamento")</f>
        <v>Negociação pós almoço de relacionamento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 t="str">
        <f ca="1">IFERROR(__xludf.DUMMYFUNCTION("""COMPUTED_VALUE"""),"Lady Di")</f>
        <v>Lady Di</v>
      </c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8">
        <f ca="1">IFERROR(__xludf.DUMMYFUNCTION("""COMPUTED_VALUE"""),7578000)</f>
        <v>7578000</v>
      </c>
      <c r="BT25" s="10"/>
      <c r="BU25" s="10" t="str">
        <f ca="1">IFERROR(__xludf.DUMMYFUNCTION("""COMPUTED_VALUE"""),"Cliente Fluxo")</f>
        <v>Cliente Fluxo</v>
      </c>
      <c r="BV25" s="10"/>
      <c r="BW25" s="10"/>
      <c r="BX25" s="10"/>
      <c r="BY25" s="10"/>
      <c r="BZ25" s="10"/>
      <c r="CA25" s="10"/>
      <c r="CB25" s="10"/>
      <c r="CC25" s="10" t="str">
        <f ca="1">IFERROR(__xludf.DUMMYFUNCTION("""COMPUTED_VALUE"""),"Corretores")</f>
        <v>Corretores</v>
      </c>
      <c r="CD25" s="10">
        <f ca="1">IFERROR(__xludf.DUMMYFUNCTION("""COMPUTED_VALUE"""),5702)</f>
        <v>5702</v>
      </c>
      <c r="CE25" s="10" t="str">
        <f ca="1">IFERROR(__xludf.DUMMYFUNCTION("""COMPUTED_VALUE"""),"Brasil")</f>
        <v>Brasil</v>
      </c>
      <c r="CF25" s="10" t="str">
        <f ca="1">IFERROR(__xludf.DUMMYFUNCTION("""COMPUTED_VALUE"""),"Foz do Iguaçu")</f>
        <v>Foz do Iguaçu</v>
      </c>
      <c r="CG25" s="10"/>
      <c r="CH25" s="10"/>
      <c r="CI25" s="10"/>
      <c r="CJ25" s="10" t="str">
        <f ca="1">IFERROR(__xludf.DUMMYFUNCTION("""COMPUTED_VALUE"""),"Paraná (PR)")</f>
        <v>Paraná (PR)</v>
      </c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 t="str">
        <f ca="1">IFERROR(__xludf.DUMMYFUNCTION("""COMPUTED_VALUE"""),"Janeiro")</f>
        <v>Janeiro</v>
      </c>
      <c r="DD25" s="10"/>
      <c r="DE25" s="10"/>
      <c r="DF25" s="4" t="str">
        <f ca="1">IFERROR(__xludf.DUMMYFUNCTION("""COMPUTED_VALUE"""),"Janeiro")</f>
        <v>Janeiro</v>
      </c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</row>
    <row r="26" spans="1:121">
      <c r="A26" s="4" t="str">
        <f ca="1">IFERROR(__xludf.DUMMYFUNCTION("""COMPUTED_VALUE"""),"Genezio")</f>
        <v>Genezio</v>
      </c>
      <c r="B26" s="4" t="str">
        <f ca="1">IFERROR(__xludf.DUMMYFUNCTION("""COMPUTED_VALUE"""),"Esmeralda")</f>
        <v>Esmeralda</v>
      </c>
      <c r="C26" s="10">
        <f ca="1">IFERROR(__xludf.DUMMYFUNCTION("""COMPUTED_VALUE"""),2)</f>
        <v>2</v>
      </c>
      <c r="D26" s="10" t="str">
        <f ca="1">IFERROR(__xludf.DUMMYFUNCTION("""COMPUTED_VALUE"""),"Funil de Vendas - Novo")</f>
        <v>Funil de Vendas - Novo</v>
      </c>
      <c r="E26" s="10" t="str">
        <f ca="1">IFERROR(__xludf.DUMMYFUNCTION("""COMPUTED_VALUE"""),"Negociação")</f>
        <v>Negociação</v>
      </c>
      <c r="F26" s="10" t="str">
        <f ca="1">IFERROR(__xludf.DUMMYFUNCTION("""COMPUTED_VALUE"""),"Em Andamento")</f>
        <v>Em Andamento</v>
      </c>
      <c r="G26" s="10" t="str">
        <f ca="1">IFERROR(__xludf.DUMMYFUNCTION("""COMPUTED_VALUE"""),"Nada")</f>
        <v>Nada</v>
      </c>
      <c r="H26" s="11" t="str">
        <f ca="1">IFERROR(__xludf.DUMMYFUNCTION("""COMPUTED_VALUE"""),"8138000.0")</f>
        <v>8138000.0</v>
      </c>
      <c r="I26" s="10" t="str">
        <f ca="1">IFERROR(__xludf.DUMMYFUNCTION("""COMPUTED_VALUE"""),"0.0")</f>
        <v>0.0</v>
      </c>
      <c r="J26" s="10" t="str">
        <f ca="1">IFERROR(__xludf.DUMMYFUNCTION("""COMPUTED_VALUE"""),"Não")</f>
        <v>Não</v>
      </c>
      <c r="K26" s="12">
        <f ca="1">IFERROR(__xludf.DUMMYFUNCTION("""COMPUTED_VALUE"""),46024)</f>
        <v>46024</v>
      </c>
      <c r="L26" s="13">
        <f ca="1">IFERROR(__xludf.DUMMYFUNCTION("""COMPUTED_VALUE"""),0.861111111111111)</f>
        <v>0.86111111111111105</v>
      </c>
      <c r="M26" s="10"/>
      <c r="N26" s="10"/>
      <c r="O26" s="10"/>
      <c r="P26" s="10"/>
      <c r="Q26" s="12">
        <f ca="1">IFERROR(__xludf.DUMMYFUNCTION("""COMPUTED_VALUE"""),46063)</f>
        <v>46063</v>
      </c>
      <c r="R26" s="13">
        <f ca="1">IFERROR(__xludf.DUMMYFUNCTION("""COMPUTED_VALUE"""),0.949305555555555)</f>
        <v>0.94930555555555496</v>
      </c>
      <c r="S26" s="10"/>
      <c r="T26" s="10"/>
      <c r="U26" s="10"/>
      <c r="V26" s="10" t="str">
        <f ca="1">IFERROR(__xludf.DUMMYFUNCTION("""COMPUTED_VALUE"""),". Maison Cliente")</f>
        <v>. Maison Cliente</v>
      </c>
      <c r="W26" s="10"/>
      <c r="X26" s="4" t="str">
        <f ca="1">IFERROR(__xludf.DUMMYFUNCTION("""COMPUTED_VALUE"""),"Mateus Calebi")</f>
        <v>Mateus Calebi</v>
      </c>
      <c r="Y26" s="10" t="str">
        <f ca="1">IFERROR(__xludf.DUMMYFUNCTION("""COMPUTED_VALUE"""),"Charles II")</f>
        <v>Charles II</v>
      </c>
      <c r="Z26" s="10"/>
      <c r="AA26" s="10"/>
      <c r="AB26" s="10"/>
      <c r="AC26" s="10"/>
      <c r="AD26" s="10"/>
      <c r="AE26" s="10"/>
      <c r="AF26" s="4" t="str">
        <f ca="1">IFERROR(__xludf.DUMMYFUNCTION("""COMPUTED_VALUE"""),"Ocsandro")</f>
        <v>Ocsandro</v>
      </c>
      <c r="AG26" s="10" t="str">
        <f ca="1">IFERROR(__xludf.DUMMYFUNCTION("""COMPUTED_VALUE"""),"Alta Nobreza")</f>
        <v>Alta Nobreza</v>
      </c>
      <c r="AH26" s="10"/>
      <c r="AI26" s="10"/>
      <c r="AJ26" s="10"/>
      <c r="AK26" s="10"/>
      <c r="AL26" s="10"/>
      <c r="AM26" s="10" t="str">
        <f ca="1">IFERROR(__xludf.DUMMYFUNCTION("""COMPUTED_VALUE"""),"Negociação pós almoço de relacionamento")</f>
        <v>Negociação pós almoço de relacionamento</v>
      </c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 t="str">
        <f ca="1">IFERROR(__xludf.DUMMYFUNCTION("""COMPUTED_VALUE"""),"Mateus")</f>
        <v>Mateus</v>
      </c>
      <c r="BA26" s="10"/>
      <c r="BB26" s="10"/>
      <c r="BC26" s="10"/>
      <c r="BD26" s="10"/>
      <c r="BE26" s="10"/>
      <c r="BF26" s="10"/>
      <c r="BG26" s="10" t="str">
        <f ca="1">IFERROR(__xludf.DUMMYFUNCTION("""COMPUTED_VALUE"""),"Charles II")</f>
        <v>Charles II</v>
      </c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8">
        <f ca="1">IFERROR(__xludf.DUMMYFUNCTION("""COMPUTED_VALUE"""),8138000)</f>
        <v>8138000</v>
      </c>
      <c r="BT26" s="10"/>
      <c r="BU26" s="10"/>
      <c r="BV26" s="10"/>
      <c r="BW26" s="10"/>
      <c r="BX26" s="10"/>
      <c r="BY26" s="10"/>
      <c r="BZ26" s="10"/>
      <c r="CA26" s="10"/>
      <c r="CB26" s="10"/>
      <c r="CC26" s="10" t="str">
        <f ca="1">IFERROR(__xludf.DUMMYFUNCTION("""COMPUTED_VALUE"""),"Corretores")</f>
        <v>Corretores</v>
      </c>
      <c r="CD26" s="10">
        <f ca="1">IFERROR(__xludf.DUMMYFUNCTION("""COMPUTED_VALUE"""),3101)</f>
        <v>3101</v>
      </c>
      <c r="CE26" s="10" t="str">
        <f ca="1">IFERROR(__xludf.DUMMYFUNCTION("""COMPUTED_VALUE"""),"Brasil")</f>
        <v>Brasil</v>
      </c>
      <c r="CF26" s="10" t="str">
        <f ca="1">IFERROR(__xludf.DUMMYFUNCTION("""COMPUTED_VALUE"""),"Corbelio")</f>
        <v>Corbelio</v>
      </c>
      <c r="CG26" s="10"/>
      <c r="CH26" s="10"/>
      <c r="CI26" s="10"/>
      <c r="CJ26" s="10" t="str">
        <f ca="1">IFERROR(__xludf.DUMMYFUNCTION("""COMPUTED_VALUE"""),"Paraná (PR)")</f>
        <v>Paraná (PR)</v>
      </c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 t="str">
        <f ca="1">IFERROR(__xludf.DUMMYFUNCTION("""COMPUTED_VALUE"""),"Janeiro")</f>
        <v>Janeiro</v>
      </c>
      <c r="DD26" s="10"/>
      <c r="DE26" s="10"/>
      <c r="DF26" s="4" t="str">
        <f ca="1">IFERROR(__xludf.DUMMYFUNCTION("""COMPUTED_VALUE"""),"Janeiro")</f>
        <v>Janeiro</v>
      </c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</row>
    <row r="27" spans="1:121">
      <c r="A27" s="4" t="str">
        <f ca="1">IFERROR(__xludf.DUMMYFUNCTION("""COMPUTED_VALUE"""),"Gerônimo")</f>
        <v>Gerônimo</v>
      </c>
      <c r="B27" s="4" t="str">
        <f ca="1">IFERROR(__xludf.DUMMYFUNCTION("""COMPUTED_VALUE"""),"Ranquer Imóveis")</f>
        <v>Ranquer Imóveis</v>
      </c>
      <c r="C27" s="10">
        <f ca="1">IFERROR(__xludf.DUMMYFUNCTION("""COMPUTED_VALUE"""),2)</f>
        <v>2</v>
      </c>
      <c r="D27" s="10" t="str">
        <f ca="1">IFERROR(__xludf.DUMMYFUNCTION("""COMPUTED_VALUE"""),"Funil de Vendas - Novo")</f>
        <v>Funil de Vendas - Novo</v>
      </c>
      <c r="E27" s="10" t="str">
        <f ca="1">IFERROR(__xludf.DUMMYFUNCTION("""COMPUTED_VALUE"""),"Proposta")</f>
        <v>Proposta</v>
      </c>
      <c r="F27" s="10" t="str">
        <f ca="1">IFERROR(__xludf.DUMMYFUNCTION("""COMPUTED_VALUE"""),"Em Andamento")</f>
        <v>Em Andamento</v>
      </c>
      <c r="G27" s="10" t="str">
        <f ca="1">IFERROR(__xludf.DUMMYFUNCTION("""COMPUTED_VALUE"""),"Nada")</f>
        <v>Nada</v>
      </c>
      <c r="H27" s="11" t="str">
        <f ca="1">IFERROR(__xludf.DUMMYFUNCTION("""COMPUTED_VALUE"""),"4938000.0")</f>
        <v>4938000.0</v>
      </c>
      <c r="I27" s="10" t="str">
        <f ca="1">IFERROR(__xludf.DUMMYFUNCTION("""COMPUTED_VALUE"""),"0.0")</f>
        <v>0.0</v>
      </c>
      <c r="J27" s="10" t="str">
        <f ca="1">IFERROR(__xludf.DUMMYFUNCTION("""COMPUTED_VALUE"""),"Não")</f>
        <v>Não</v>
      </c>
      <c r="K27" s="12">
        <f ca="1">IFERROR(__xludf.DUMMYFUNCTION("""COMPUTED_VALUE"""),46034)</f>
        <v>46034</v>
      </c>
      <c r="L27" s="13">
        <f ca="1">IFERROR(__xludf.DUMMYFUNCTION("""COMPUTED_VALUE"""),0.416666666666666)</f>
        <v>0.41666666666666602</v>
      </c>
      <c r="M27" s="10"/>
      <c r="N27" s="10"/>
      <c r="O27" s="10"/>
      <c r="P27" s="10"/>
      <c r="Q27" s="12">
        <f ca="1">IFERROR(__xludf.DUMMYFUNCTION("""COMPUTED_VALUE"""),46094)</f>
        <v>46094</v>
      </c>
      <c r="R27" s="13">
        <f ca="1">IFERROR(__xludf.DUMMYFUNCTION("""COMPUTED_VALUE"""),0.604166666666666)</f>
        <v>0.60416666666666596</v>
      </c>
      <c r="S27" s="10"/>
      <c r="T27" s="10"/>
      <c r="U27" s="10"/>
      <c r="V27" s="10" t="str">
        <f ca="1">IFERROR(__xludf.DUMMYFUNCTION("""COMPUTED_VALUE"""),". Relacionamento Corretores")</f>
        <v>. Relacionamento Corretores</v>
      </c>
      <c r="W27" s="10"/>
      <c r="X27" s="4" t="str">
        <f ca="1">IFERROR(__xludf.DUMMYFUNCTION("""COMPUTED_VALUE"""),"Ricardo")</f>
        <v>Ricardo</v>
      </c>
      <c r="Y27" s="10" t="str">
        <f ca="1">IFERROR(__xludf.DUMMYFUNCTION("""COMPUTED_VALUE"""),". Elizabeth II")</f>
        <v>. Elizabeth II</v>
      </c>
      <c r="Z27" s="10"/>
      <c r="AA27" s="10"/>
      <c r="AB27" s="10"/>
      <c r="AC27" s="10"/>
      <c r="AD27" s="10"/>
      <c r="AE27" s="10"/>
      <c r="AF27" s="4" t="str">
        <f ca="1">IFERROR(__xludf.DUMMYFUNCTION("""COMPUTED_VALUE"""),"Bruno Teixeira")</f>
        <v>Bruno Teixeira</v>
      </c>
      <c r="AG27" s="10" t="str">
        <f ca="1">IFERROR(__xludf.DUMMYFUNCTION("""COMPUTED_VALUE"""),"Nobre")</f>
        <v>Nobre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 t="str">
        <f ca="1">IFERROR(__xludf.DUMMYFUNCTION("""COMPUTED_VALUE"""),"Ricardo")</f>
        <v>Ricardo</v>
      </c>
      <c r="BA27" s="10"/>
      <c r="BB27" s="10"/>
      <c r="BC27" s="10"/>
      <c r="BD27" s="10"/>
      <c r="BE27" s="10"/>
      <c r="BF27" s="10"/>
      <c r="BG27" s="10" t="str">
        <f ca="1">IFERROR(__xludf.DUMMYFUNCTION("""COMPUTED_VALUE"""),"Elizabeth II")</f>
        <v>Elizabeth II</v>
      </c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8" t="str">
        <f ca="1">IFERROR(__xludf.DUMMYFUNCTION("""COMPUTED_VALUE"""),"R$8.438.000,00")</f>
        <v>R$8.438.000,00</v>
      </c>
      <c r="BT27" s="10"/>
      <c r="BU27" s="10"/>
      <c r="BV27" s="10"/>
      <c r="BW27" s="10"/>
      <c r="BX27" s="10"/>
      <c r="BY27" s="10"/>
      <c r="BZ27" s="10"/>
      <c r="CA27" s="10"/>
      <c r="CB27" s="10"/>
      <c r="CC27" s="10" t="str">
        <f ca="1">IFERROR(__xludf.DUMMYFUNCTION("""COMPUTED_VALUE"""),"Corretores")</f>
        <v>Corretores</v>
      </c>
      <c r="CD27" s="10"/>
      <c r="CE27" s="10" t="str">
        <f ca="1">IFERROR(__xludf.DUMMYFUNCTION("""COMPUTED_VALUE"""),"Brasil")</f>
        <v>Brasil</v>
      </c>
      <c r="CF27" s="10" t="str">
        <f ca="1">IFERROR(__xludf.DUMMYFUNCTION("""COMPUTED_VALUE"""),"Curitiba")</f>
        <v>Curitiba</v>
      </c>
      <c r="CG27" s="10"/>
      <c r="CH27" s="10"/>
      <c r="CI27" s="10"/>
      <c r="CJ27" s="10" t="str">
        <f ca="1">IFERROR(__xludf.DUMMYFUNCTION("""COMPUTED_VALUE"""),"Paraná (PR)")</f>
        <v>Paraná (PR)</v>
      </c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4" t="str">
        <f ca="1">IFERROR(__xludf.DUMMYFUNCTION("""COMPUTED_VALUE"""),"Fevereiro")</f>
        <v>Fevereiro</v>
      </c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</row>
    <row r="28" spans="1:121">
      <c r="A28" s="4" t="str">
        <f ca="1">IFERROR(__xludf.DUMMYFUNCTION("""COMPUTED_VALUE"""),"Gilson e Ivete")</f>
        <v>Gilson e Ivete</v>
      </c>
      <c r="B28" s="4" t="str">
        <f ca="1">IFERROR(__xludf.DUMMYFUNCTION("""COMPUTED_VALUE"""),"Natalie Ribas")</f>
        <v>Natalie Ribas</v>
      </c>
      <c r="C28" s="10">
        <f ca="1">IFERROR(__xludf.DUMMYFUNCTION("""COMPUTED_VALUE"""),3)</f>
        <v>3</v>
      </c>
      <c r="D28" s="10" t="str">
        <f ca="1">IFERROR(__xludf.DUMMYFUNCTION("""COMPUTED_VALUE"""),"Funil de Vendas - Novo")</f>
        <v>Funil de Vendas - Novo</v>
      </c>
      <c r="E28" s="10" t="str">
        <f ca="1">IFERROR(__xludf.DUMMYFUNCTION("""COMPUTED_VALUE"""),"Proposta")</f>
        <v>Proposta</v>
      </c>
      <c r="F28" s="10" t="str">
        <f ca="1">IFERROR(__xludf.DUMMYFUNCTION("""COMPUTED_VALUE"""),"Perdida")</f>
        <v>Perdida</v>
      </c>
      <c r="G28" s="10" t="str">
        <f ca="1">IFERROR(__xludf.DUMMYFUNCTION("""COMPUTED_VALUE"""),". Baixo valor de Entrada")</f>
        <v>. Baixo valor de Entrada</v>
      </c>
      <c r="H28" s="11" t="str">
        <f ca="1">IFERROR(__xludf.DUMMYFUNCTION("""COMPUTED_VALUE"""),"3388000.0")</f>
        <v>3388000.0</v>
      </c>
      <c r="I28" s="10" t="str">
        <f ca="1">IFERROR(__xludf.DUMMYFUNCTION("""COMPUTED_VALUE"""),"0.0")</f>
        <v>0.0</v>
      </c>
      <c r="J28" s="10" t="str">
        <f ca="1">IFERROR(__xludf.DUMMYFUNCTION("""COMPUTED_VALUE"""),"Não")</f>
        <v>Não</v>
      </c>
      <c r="K28" s="12">
        <f ca="1">IFERROR(__xludf.DUMMYFUNCTION("""COMPUTED_VALUE"""),46046)</f>
        <v>46046</v>
      </c>
      <c r="L28" s="13">
        <f ca="1">IFERROR(__xludf.DUMMYFUNCTION("""COMPUTED_VALUE"""),0.384027777777777)</f>
        <v>0.38402777777777702</v>
      </c>
      <c r="M28" s="10"/>
      <c r="N28" s="10"/>
      <c r="O28" s="10"/>
      <c r="P28" s="10"/>
      <c r="Q28" s="10"/>
      <c r="R28" s="10"/>
      <c r="S28" s="10"/>
      <c r="T28" s="12">
        <f ca="1">IFERROR(__xludf.DUMMYFUNCTION("""COMPUTED_VALUE"""),46050)</f>
        <v>46050</v>
      </c>
      <c r="U28" s="13">
        <f ca="1">IFERROR(__xludf.DUMMYFUNCTION("""COMPUTED_VALUE"""),0.683333333333333)</f>
        <v>0.68333333333333302</v>
      </c>
      <c r="V28" s="10" t="str">
        <f ca="1">IFERROR(__xludf.DUMMYFUNCTION("""COMPUTED_VALUE"""),". Relacionamento Corretores")</f>
        <v>. Relacionamento Corretores</v>
      </c>
      <c r="W28" s="10"/>
      <c r="X28" s="4" t="str">
        <f ca="1">IFERROR(__xludf.DUMMYFUNCTION("""COMPUTED_VALUE"""),"Suyane Cachoeira")</f>
        <v>Suyane Cachoeira</v>
      </c>
      <c r="Y28" s="10" t="str">
        <f ca="1">IFERROR(__xludf.DUMMYFUNCTION("""COMPUTED_VALUE"""),"Residencial Zimmermann 602-B")</f>
        <v>Residencial Zimmermann 602-B</v>
      </c>
      <c r="Z28" s="10"/>
      <c r="AA28" s="10" t="str">
        <f ca="1">IFERROR(__xludf.DUMMYFUNCTION("""COMPUTED_VALUE"""),"Cliente fez proposta querendo dar apenas R$300 mil de entrada e colocando permuta, fica fora dos nossos parâmetros.")</f>
        <v>Cliente fez proposta querendo dar apenas R$300 mil de entrada e colocando permuta, fica fora dos nossos parâmetros.</v>
      </c>
      <c r="AB28" s="10"/>
      <c r="AC28" s="10"/>
      <c r="AD28" s="10"/>
      <c r="AE28" s="10"/>
      <c r="AF28" s="4" t="str">
        <f ca="1">IFERROR(__xludf.DUMMYFUNCTION("""COMPUTED_VALUE"""),"Natalie Ribas")</f>
        <v>Natalie Ribas</v>
      </c>
      <c r="AG28" s="10" t="str">
        <f ca="1">IFERROR(__xludf.DUMMYFUNCTION("""COMPUTED_VALUE"""),"Alta Nobreza")</f>
        <v>Alta Nobreza</v>
      </c>
      <c r="AH28" s="10"/>
      <c r="AI28" s="10"/>
      <c r="AJ28" s="10"/>
      <c r="AK28" s="10"/>
      <c r="AL28" s="10"/>
      <c r="AM28" s="10" t="str">
        <f ca="1">IFERROR(__xludf.DUMMYFUNCTION("""COMPUTED_VALUE"""),"Negociação pós visita imobiliária;Negociação pós campanha de terceiros")</f>
        <v>Negociação pós visita imobiliária;Negociação pós campanha de terceiros</v>
      </c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 t="str">
        <f ca="1">IFERROR(__xludf.DUMMYFUNCTION("""COMPUTED_VALUE"""),"Suyane")</f>
        <v>Suyane</v>
      </c>
      <c r="BA28" s="10"/>
      <c r="BB28" s="10"/>
      <c r="BC28" s="10"/>
      <c r="BD28" s="10"/>
      <c r="BE28" s="10"/>
      <c r="BF28" s="10"/>
      <c r="BG28" s="10" t="str">
        <f ca="1">IFERROR(__xludf.DUMMYFUNCTION("""COMPUTED_VALUE"""),"Zimmermann - 602-B")</f>
        <v>Zimmermann - 602-B</v>
      </c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8"/>
      <c r="BT28" s="10"/>
      <c r="BU28" s="10"/>
      <c r="BV28" s="10"/>
      <c r="BW28" s="10"/>
      <c r="BX28" s="10"/>
      <c r="BY28" s="10"/>
      <c r="BZ28" s="10"/>
      <c r="CA28" s="10"/>
      <c r="CB28" s="10"/>
      <c r="CC28" s="10" t="str">
        <f ca="1">IFERROR(__xludf.DUMMYFUNCTION("""COMPUTED_VALUE"""),"Corretores")</f>
        <v>Corretores</v>
      </c>
      <c r="CD28" s="10" t="str">
        <f ca="1">IFERROR(__xludf.DUMMYFUNCTION("""COMPUTED_VALUE"""),"602B")</f>
        <v>602B</v>
      </c>
      <c r="CE28" s="10" t="str">
        <f ca="1">IFERROR(__xludf.DUMMYFUNCTION("""COMPUTED_VALUE"""),"Brasil")</f>
        <v>Brasil</v>
      </c>
      <c r="CF28" s="10" t="str">
        <f ca="1">IFERROR(__xludf.DUMMYFUNCTION("""COMPUTED_VALUE"""),"Itapema")</f>
        <v>Itapema</v>
      </c>
      <c r="CG28" s="10" t="str">
        <f ca="1">IFERROR(__xludf.DUMMYFUNCTION("""COMPUTED_VALUE"""),"Meia Praia")</f>
        <v>Meia Praia</v>
      </c>
      <c r="CH28" s="10"/>
      <c r="CI28" s="10"/>
      <c r="CJ28" s="10" t="str">
        <f ca="1">IFERROR(__xludf.DUMMYFUNCTION("""COMPUTED_VALUE"""),"Santa Catarina (SC)")</f>
        <v>Santa Catarina (SC)</v>
      </c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 t="str">
        <f ca="1">IFERROR(__xludf.DUMMYFUNCTION("""COMPUTED_VALUE"""),"Janeiro")</f>
        <v>Janeiro</v>
      </c>
      <c r="DD28" s="10"/>
      <c r="DE28" s="10"/>
      <c r="DF28" s="4" t="str">
        <f ca="1">IFERROR(__xludf.DUMMYFUNCTION("""COMPUTED_VALUE"""),"Janeiro")</f>
        <v>Janeiro</v>
      </c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</row>
    <row r="29" spans="1:121">
      <c r="A29" s="4" t="str">
        <f ca="1">IFERROR(__xludf.DUMMYFUNCTION("""COMPUTED_VALUE"""),"Granero")</f>
        <v>Granero</v>
      </c>
      <c r="B29" s="4"/>
      <c r="C29" s="10">
        <f ca="1">IFERROR(__xludf.DUMMYFUNCTION("""COMPUTED_VALUE"""),5)</f>
        <v>5</v>
      </c>
      <c r="D29" s="10" t="str">
        <f ca="1">IFERROR(__xludf.DUMMYFUNCTION("""COMPUTED_VALUE"""),"Funil de Vendas - Novo")</f>
        <v>Funil de Vendas - Novo</v>
      </c>
      <c r="E29" s="10" t="str">
        <f ca="1">IFERROR(__xludf.DUMMYFUNCTION("""COMPUTED_VALUE"""),"Venda Finalizada")</f>
        <v>Venda Finalizada</v>
      </c>
      <c r="F29" s="10" t="str">
        <f ca="1">IFERROR(__xludf.DUMMYFUNCTION("""COMPUTED_VALUE"""),"Vendida")</f>
        <v>Vendida</v>
      </c>
      <c r="G29" s="10" t="str">
        <f ca="1">IFERROR(__xludf.DUMMYFUNCTION("""COMPUTED_VALUE"""),"Nada")</f>
        <v>Nada</v>
      </c>
      <c r="H29" s="11" t="str">
        <f ca="1">IFERROR(__xludf.DUMMYFUNCTION("""COMPUTED_VALUE"""),"6899000.0")</f>
        <v>6899000.0</v>
      </c>
      <c r="I29" s="10" t="str">
        <f ca="1">IFERROR(__xludf.DUMMYFUNCTION("""COMPUTED_VALUE"""),"0.0")</f>
        <v>0.0</v>
      </c>
      <c r="J29" s="10" t="str">
        <f ca="1">IFERROR(__xludf.DUMMYFUNCTION("""COMPUTED_VALUE"""),"Não")</f>
        <v>Não</v>
      </c>
      <c r="K29" s="12">
        <f ca="1">IFERROR(__xludf.DUMMYFUNCTION("""COMPUTED_VALUE"""),46061)</f>
        <v>46061</v>
      </c>
      <c r="L29" s="13">
        <f ca="1">IFERROR(__xludf.DUMMYFUNCTION("""COMPUTED_VALUE"""),0.694444444444444)</f>
        <v>0.69444444444444398</v>
      </c>
      <c r="M29" s="10"/>
      <c r="N29" s="10"/>
      <c r="O29" s="10"/>
      <c r="P29" s="10"/>
      <c r="Q29" s="12"/>
      <c r="R29" s="13"/>
      <c r="S29" s="10"/>
      <c r="T29" s="12">
        <f ca="1">IFERROR(__xludf.DUMMYFUNCTION("""COMPUTED_VALUE"""),46063)</f>
        <v>46063</v>
      </c>
      <c r="U29" s="13">
        <f ca="1">IFERROR(__xludf.DUMMYFUNCTION("""COMPUTED_VALUE"""),0.759027777777777)</f>
        <v>0.75902777777777697</v>
      </c>
      <c r="V29" s="10" t="str">
        <f ca="1">IFERROR(__xludf.DUMMYFUNCTION("""COMPUTED_VALUE"""),". Relacionamento Corretores")</f>
        <v>. Relacionamento Corretores</v>
      </c>
      <c r="W29" s="10"/>
      <c r="X29" s="4" t="str">
        <f ca="1">IFERROR(__xludf.DUMMYFUNCTION("""COMPUTED_VALUE"""),"Ricardo")</f>
        <v>Ricardo</v>
      </c>
      <c r="Y29" s="10" t="str">
        <f ca="1">IFERROR(__xludf.DUMMYFUNCTION("""COMPUTED_VALUE"""),"Lady Di, Lady Di")</f>
        <v>Lady Di, Lady Di</v>
      </c>
      <c r="Z29" s="10"/>
      <c r="AA29" s="10"/>
      <c r="AB29" s="10"/>
      <c r="AC29" s="10"/>
      <c r="AD29" s="10"/>
      <c r="AE29" s="10"/>
      <c r="AF29" s="4" t="str">
        <f ca="1">IFERROR(__xludf.DUMMYFUNCTION("""COMPUTED_VALUE"""),"Junior Leão")</f>
        <v>Junior Leão</v>
      </c>
      <c r="AG29" s="10" t="str">
        <f ca="1">IFERROR(__xludf.DUMMYFUNCTION("""COMPUTED_VALUE"""),"Alta Nobreza")</f>
        <v>Alta Nobreza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 t="str">
        <f ca="1">IFERROR(__xludf.DUMMYFUNCTION("""COMPUTED_VALUE"""),"-")</f>
        <v>-</v>
      </c>
      <c r="AT29" s="10"/>
      <c r="AU29" s="10"/>
      <c r="AV29" s="10"/>
      <c r="AW29" s="10"/>
      <c r="AX29" s="10"/>
      <c r="AY29" s="10"/>
      <c r="AZ29" s="10" t="str">
        <f ca="1">IFERROR(__xludf.DUMMYFUNCTION("""COMPUTED_VALUE"""),"Ricardo")</f>
        <v>Ricardo</v>
      </c>
      <c r="BA29" s="10"/>
      <c r="BB29" s="10"/>
      <c r="BC29" s="10"/>
      <c r="BD29" s="10"/>
      <c r="BE29" s="10"/>
      <c r="BF29" s="10"/>
      <c r="BG29" s="10" t="str">
        <f ca="1">IFERROR(__xludf.DUMMYFUNCTION("""COMPUTED_VALUE"""),"Lady Di")</f>
        <v>Lady Di</v>
      </c>
      <c r="BH29" s="10" t="str">
        <f ca="1">IFERROR(__xludf.DUMMYFUNCTION("""COMPUTED_VALUE"""),"-")</f>
        <v>-</v>
      </c>
      <c r="BI29" s="10"/>
      <c r="BJ29" s="10"/>
      <c r="BK29" s="10" t="str">
        <f ca="1">IFERROR(__xludf.DUMMYFUNCTION("""COMPUTED_VALUE"""),"-")</f>
        <v>-</v>
      </c>
      <c r="BL29" s="10"/>
      <c r="BM29" s="10"/>
      <c r="BN29" s="10"/>
      <c r="BO29" s="10"/>
      <c r="BP29" s="10"/>
      <c r="BQ29" s="10"/>
      <c r="BR29" s="10"/>
      <c r="BS29" s="8" t="str">
        <f ca="1">IFERROR(__xludf.DUMMYFUNCTION("""COMPUTED_VALUE"""),"R$6.899.000,00")</f>
        <v>R$6.899.000,00</v>
      </c>
      <c r="BT29" s="10"/>
      <c r="BU29" s="10" t="str">
        <f ca="1">IFERROR(__xludf.DUMMYFUNCTION("""COMPUTED_VALUE"""),"Cliente Cota Laje")</f>
        <v>Cliente Cota Laje</v>
      </c>
      <c r="BV29" s="10"/>
      <c r="BW29" s="10"/>
      <c r="BX29" s="10"/>
      <c r="BY29" s="10"/>
      <c r="BZ29" s="10"/>
      <c r="CA29" s="10"/>
      <c r="CB29" s="10"/>
      <c r="CC29" s="10" t="str">
        <f ca="1">IFERROR(__xludf.DUMMYFUNCTION("""COMPUTED_VALUE"""),"Corretores")</f>
        <v>Corretores</v>
      </c>
      <c r="CD29" s="10" t="str">
        <f ca="1">IFERROR(__xludf.DUMMYFUNCTION("""COMPUTED_VALUE"""),"2101 / 2102")</f>
        <v>2101 / 2102</v>
      </c>
      <c r="CE29" s="10" t="str">
        <f ca="1">IFERROR(__xludf.DUMMYFUNCTION("""COMPUTED_VALUE"""),"Brasil")</f>
        <v>Brasil</v>
      </c>
      <c r="CF29" s="10" t="str">
        <f ca="1">IFERROR(__xludf.DUMMYFUNCTION("""COMPUTED_VALUE"""),"Curitiba")</f>
        <v>Curitiba</v>
      </c>
      <c r="CG29" s="10" t="str">
        <f ca="1">IFERROR(__xludf.DUMMYFUNCTION("""COMPUTED_VALUE"""),"Batel")</f>
        <v>Batel</v>
      </c>
      <c r="CH29" s="10" t="str">
        <f ca="1">IFERROR(__xludf.DUMMYFUNCTION("""COMPUTED_VALUE"""),"-")</f>
        <v>-</v>
      </c>
      <c r="CI29" s="10"/>
      <c r="CJ29" s="10" t="str">
        <f ca="1">IFERROR(__xludf.DUMMYFUNCTION("""COMPUTED_VALUE"""),"Paraná (PR)")</f>
        <v>Paraná (PR)</v>
      </c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4" t="str">
        <f ca="1">IFERROR(__xludf.DUMMYFUNCTION("""COMPUTED_VALUE"""),"Fevereiro")</f>
        <v>Fevereiro</v>
      </c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</row>
    <row r="30" spans="1:121">
      <c r="A30" s="4" t="str">
        <f ca="1">IFERROR(__xludf.DUMMYFUNCTION("""COMPUTED_VALUE"""),"Hamilton Ferreira e Aline")</f>
        <v>Hamilton Ferreira e Aline</v>
      </c>
      <c r="B30" s="4" t="str">
        <f ca="1">IFERROR(__xludf.DUMMYFUNCTION("""COMPUTED_VALUE"""),"Ohmega")</f>
        <v>Ohmega</v>
      </c>
      <c r="C30" s="10">
        <f ca="1">IFERROR(__xludf.DUMMYFUNCTION("""COMPUTED_VALUE"""),3)</f>
        <v>3</v>
      </c>
      <c r="D30" s="10" t="str">
        <f ca="1">IFERROR(__xludf.DUMMYFUNCTION("""COMPUTED_VALUE"""),"Funil de Vendas - Novo")</f>
        <v>Funil de Vendas - Novo</v>
      </c>
      <c r="E30" s="10" t="str">
        <f ca="1">IFERROR(__xludf.DUMMYFUNCTION("""COMPUTED_VALUE"""),"Proposta")</f>
        <v>Proposta</v>
      </c>
      <c r="F30" s="10" t="str">
        <f ca="1">IFERROR(__xludf.DUMMYFUNCTION("""COMPUTED_VALUE"""),"Em Andamento")</f>
        <v>Em Andamento</v>
      </c>
      <c r="G30" s="10" t="str">
        <f ca="1">IFERROR(__xludf.DUMMYFUNCTION("""COMPUTED_VALUE"""),"Nada")</f>
        <v>Nada</v>
      </c>
      <c r="H30" s="11" t="str">
        <f ca="1">IFERROR(__xludf.DUMMYFUNCTION("""COMPUTED_VALUE"""),"6591000.0")</f>
        <v>6591000.0</v>
      </c>
      <c r="I30" s="10" t="str">
        <f ca="1">IFERROR(__xludf.DUMMYFUNCTION("""COMPUTED_VALUE"""),"0.0")</f>
        <v>0.0</v>
      </c>
      <c r="J30" s="10" t="str">
        <f ca="1">IFERROR(__xludf.DUMMYFUNCTION("""COMPUTED_VALUE"""),"Não")</f>
        <v>Não</v>
      </c>
      <c r="K30" s="12">
        <f ca="1">IFERROR(__xludf.DUMMYFUNCTION("""COMPUTED_VALUE"""),46051)</f>
        <v>46051</v>
      </c>
      <c r="L30" s="13">
        <f ca="1">IFERROR(__xludf.DUMMYFUNCTION("""COMPUTED_VALUE"""),0.725694444444444)</f>
        <v>0.72569444444444398</v>
      </c>
      <c r="M30" s="10"/>
      <c r="N30" s="10"/>
      <c r="O30" s="10"/>
      <c r="P30" s="10"/>
      <c r="Q30" s="12">
        <f ca="1">IFERROR(__xludf.DUMMYFUNCTION("""COMPUTED_VALUE"""),46055)</f>
        <v>46055</v>
      </c>
      <c r="R30" s="13">
        <f ca="1">IFERROR(__xludf.DUMMYFUNCTION("""COMPUTED_VALUE"""),0.726388888888888)</f>
        <v>0.72638888888888797</v>
      </c>
      <c r="S30" s="10"/>
      <c r="T30" s="10"/>
      <c r="U30" s="10"/>
      <c r="V30" s="10" t="str">
        <f ca="1">IFERROR(__xludf.DUMMYFUNCTION("""COMPUTED_VALUE"""),". Relacionamento Corretores")</f>
        <v>. Relacionamento Corretores</v>
      </c>
      <c r="W30" s="10"/>
      <c r="X30" s="4" t="str">
        <f ca="1">IFERROR(__xludf.DUMMYFUNCTION("""COMPUTED_VALUE"""),"Ricardo")</f>
        <v>Ricardo</v>
      </c>
      <c r="Y30" s="10" t="str">
        <f ca="1">IFERROR(__xludf.DUMMYFUNCTION("""COMPUTED_VALUE"""),"Lady Di")</f>
        <v>Lady Di</v>
      </c>
      <c r="Z30" s="10"/>
      <c r="AA30" s="10"/>
      <c r="AB30" s="10"/>
      <c r="AC30" s="10"/>
      <c r="AD30" s="10"/>
      <c r="AE30" s="10"/>
      <c r="AF30" s="4" t="str">
        <f ca="1">IFERROR(__xludf.DUMMYFUNCTION("""COMPUTED_VALUE"""),"Diego Farensena")</f>
        <v>Diego Farensena</v>
      </c>
      <c r="AG30" s="10" t="str">
        <f ca="1">IFERROR(__xludf.DUMMYFUNCTION("""COMPUTED_VALUE"""),"Alta Nobreza")</f>
        <v>Alta Nobreza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 t="str">
        <f ca="1">IFERROR(__xludf.DUMMYFUNCTION("""COMPUTED_VALUE"""),"Lady Di")</f>
        <v>Lady Di</v>
      </c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8">
        <f ca="1">IFERROR(__xludf.DUMMYFUNCTION("""COMPUTED_VALUE"""),6591000)</f>
        <v>6591000</v>
      </c>
      <c r="BT30" s="10"/>
      <c r="BU30" s="10" t="str">
        <f ca="1">IFERROR(__xludf.DUMMYFUNCTION("""COMPUTED_VALUE"""),"Cliente Cota Laje")</f>
        <v>Cliente Cota Laje</v>
      </c>
      <c r="BV30" s="10"/>
      <c r="BW30" s="10"/>
      <c r="BX30" s="10"/>
      <c r="BY30" s="10"/>
      <c r="BZ30" s="10"/>
      <c r="CA30" s="10"/>
      <c r="CB30" s="10"/>
      <c r="CC30" s="10" t="str">
        <f ca="1">IFERROR(__xludf.DUMMYFUNCTION("""COMPUTED_VALUE"""),"Corretores")</f>
        <v>Corretores</v>
      </c>
      <c r="CD30" s="10"/>
      <c r="CE30" s="10" t="str">
        <f ca="1">IFERROR(__xludf.DUMMYFUNCTION("""COMPUTED_VALUE"""),"Brasil")</f>
        <v>Brasil</v>
      </c>
      <c r="CF30" s="10" t="str">
        <f ca="1">IFERROR(__xludf.DUMMYFUNCTION("""COMPUTED_VALUE"""),"Cuiabá")</f>
        <v>Cuiabá</v>
      </c>
      <c r="CG30" s="10"/>
      <c r="CH30" s="10"/>
      <c r="CI30" s="10"/>
      <c r="CJ30" s="10" t="str">
        <f ca="1">IFERROR(__xludf.DUMMYFUNCTION("""COMPUTED_VALUE"""),"Mato Grosso (MT)")</f>
        <v>Mato Grosso (MT)</v>
      </c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4" t="str">
        <f ca="1">IFERROR(__xludf.DUMMYFUNCTION("""COMPUTED_VALUE"""),"Janeiro")</f>
        <v>Janeiro</v>
      </c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</row>
    <row r="31" spans="1:121">
      <c r="A31" s="4" t="str">
        <f ca="1">IFERROR(__xludf.DUMMYFUNCTION("""COMPUTED_VALUE"""),"Henrique Mathias")</f>
        <v>Henrique Mathias</v>
      </c>
      <c r="B31" s="4" t="str">
        <f ca="1">IFERROR(__xludf.DUMMYFUNCTION("""COMPUTED_VALUE"""),"Otimizza Imóveis")</f>
        <v>Otimizza Imóveis</v>
      </c>
      <c r="C31" s="10">
        <f ca="1">IFERROR(__xludf.DUMMYFUNCTION("""COMPUTED_VALUE"""),3)</f>
        <v>3</v>
      </c>
      <c r="D31" s="10" t="str">
        <f ca="1">IFERROR(__xludf.DUMMYFUNCTION("""COMPUTED_VALUE"""),"Funil de Vendas - Novo")</f>
        <v>Funil de Vendas - Novo</v>
      </c>
      <c r="E31" s="10" t="str">
        <f ca="1">IFERROR(__xludf.DUMMYFUNCTION("""COMPUTED_VALUE"""),"Negociação")</f>
        <v>Negociação</v>
      </c>
      <c r="F31" s="10" t="str">
        <f ca="1">IFERROR(__xludf.DUMMYFUNCTION("""COMPUTED_VALUE"""),"Em Andamento")</f>
        <v>Em Andamento</v>
      </c>
      <c r="G31" s="10" t="str">
        <f ca="1">IFERROR(__xludf.DUMMYFUNCTION("""COMPUTED_VALUE"""),"Nada")</f>
        <v>Nada</v>
      </c>
      <c r="H31" s="11" t="str">
        <f ca="1">IFERROR(__xludf.DUMMYFUNCTION("""COMPUTED_VALUE"""),"5906600.0")</f>
        <v>5906600.0</v>
      </c>
      <c r="I31" s="10" t="str">
        <f ca="1">IFERROR(__xludf.DUMMYFUNCTION("""COMPUTED_VALUE"""),"0.0")</f>
        <v>0.0</v>
      </c>
      <c r="J31" s="10" t="str">
        <f ca="1">IFERROR(__xludf.DUMMYFUNCTION("""COMPUTED_VALUE"""),"Não")</f>
        <v>Não</v>
      </c>
      <c r="K31" s="12">
        <f ca="1">IFERROR(__xludf.DUMMYFUNCTION("""COMPUTED_VALUE"""),46034)</f>
        <v>46034</v>
      </c>
      <c r="L31" s="13">
        <f ca="1">IFERROR(__xludf.DUMMYFUNCTION("""COMPUTED_VALUE"""),0.426388888888888)</f>
        <v>0.42638888888888798</v>
      </c>
      <c r="M31" s="10"/>
      <c r="N31" s="10"/>
      <c r="O31" s="10"/>
      <c r="P31" s="10"/>
      <c r="Q31" s="12">
        <f ca="1">IFERROR(__xludf.DUMMYFUNCTION("""COMPUTED_VALUE"""),46053)</f>
        <v>46053</v>
      </c>
      <c r="R31" s="13">
        <f ca="1">IFERROR(__xludf.DUMMYFUNCTION("""COMPUTED_VALUE"""),0.436805555555555)</f>
        <v>0.436805555555555</v>
      </c>
      <c r="S31" s="10"/>
      <c r="T31" s="10"/>
      <c r="U31" s="10"/>
      <c r="V31" s="10" t="str">
        <f ca="1">IFERROR(__xludf.DUMMYFUNCTION("""COMPUTED_VALUE"""),". Relacionamento Corretores")</f>
        <v>. Relacionamento Corretores</v>
      </c>
      <c r="W31" s="10"/>
      <c r="X31" s="4" t="str">
        <f ca="1">IFERROR(__xludf.DUMMYFUNCTION("""COMPUTED_VALUE"""),"Ricardo")</f>
        <v>Ricardo</v>
      </c>
      <c r="Y31" s="10" t="str">
        <f ca="1">IFERROR(__xludf.DUMMYFUNCTION("""COMPUTED_VALUE"""),"Charles II")</f>
        <v>Charles II</v>
      </c>
      <c r="Z31" s="10"/>
      <c r="AA31" s="10"/>
      <c r="AB31" s="10"/>
      <c r="AC31" s="10"/>
      <c r="AD31" s="10"/>
      <c r="AE31" s="10"/>
      <c r="AF31" s="4" t="str">
        <f ca="1">IFERROR(__xludf.DUMMYFUNCTION("""COMPUTED_VALUE"""),"Pablo Ramires")</f>
        <v>Pablo Ramires</v>
      </c>
      <c r="AG31" s="10" t="str">
        <f ca="1">IFERROR(__xludf.DUMMYFUNCTION("""COMPUTED_VALUE"""),"Nobre")</f>
        <v>Nobre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 t="str">
        <f ca="1">IFERROR(__xludf.DUMMYFUNCTION("""COMPUTED_VALUE"""),"Charles II")</f>
        <v>Charles II</v>
      </c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8">
        <f ca="1">IFERROR(__xludf.DUMMYFUNCTION("""COMPUTED_VALUE"""),8438000)</f>
        <v>8438000</v>
      </c>
      <c r="BT31" s="10"/>
      <c r="BU31" s="10"/>
      <c r="BV31" s="10"/>
      <c r="BW31" s="10"/>
      <c r="BX31" s="10"/>
      <c r="BY31" s="10"/>
      <c r="BZ31" s="10"/>
      <c r="CA31" s="10"/>
      <c r="CB31" s="10"/>
      <c r="CC31" s="10" t="str">
        <f ca="1">IFERROR(__xludf.DUMMYFUNCTION("""COMPUTED_VALUE"""),"Corretores")</f>
        <v>Corretores</v>
      </c>
      <c r="CD31" s="10"/>
      <c r="CE31" s="10" t="str">
        <f ca="1">IFERROR(__xludf.DUMMYFUNCTION("""COMPUTED_VALUE"""),"Brasil")</f>
        <v>Brasil</v>
      </c>
      <c r="CF31" s="10" t="str">
        <f ca="1">IFERROR(__xludf.DUMMYFUNCTION("""COMPUTED_VALUE"""),"Curitiba")</f>
        <v>Curitiba</v>
      </c>
      <c r="CG31" s="10"/>
      <c r="CH31" s="10"/>
      <c r="CI31" s="10"/>
      <c r="CJ31" s="10" t="str">
        <f ca="1">IFERROR(__xludf.DUMMYFUNCTION("""COMPUTED_VALUE"""),"Paraná (PR)")</f>
        <v>Paraná (PR)</v>
      </c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4" t="str">
        <f ca="1">IFERROR(__xludf.DUMMYFUNCTION("""COMPUTED_VALUE"""),"Janeiro")</f>
        <v>Janeiro</v>
      </c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</row>
    <row r="32" spans="1:121">
      <c r="A32" s="4" t="str">
        <f ca="1">IFERROR(__xludf.DUMMYFUNCTION("""COMPUTED_VALUE"""),"Hideki")</f>
        <v>Hideki</v>
      </c>
      <c r="B32" s="4"/>
      <c r="C32" s="10">
        <f ca="1">IFERROR(__xludf.DUMMYFUNCTION("""COMPUTED_VALUE"""),3)</f>
        <v>3</v>
      </c>
      <c r="D32" s="10" t="str">
        <f ca="1">IFERROR(__xludf.DUMMYFUNCTION("""COMPUTED_VALUE"""),"Funil de Vendas - Novo")</f>
        <v>Funil de Vendas - Novo</v>
      </c>
      <c r="E32" s="10" t="str">
        <f ca="1">IFERROR(__xludf.DUMMYFUNCTION("""COMPUTED_VALUE"""),"Negociação")</f>
        <v>Negociação</v>
      </c>
      <c r="F32" s="10" t="str">
        <f ca="1">IFERROR(__xludf.DUMMYFUNCTION("""COMPUTED_VALUE"""),"Perdida")</f>
        <v>Perdida</v>
      </c>
      <c r="G32" s="10" t="str">
        <f ca="1">IFERROR(__xludf.DUMMYFUNCTION("""COMPUTED_VALUE"""),". Desistiu do investimento")</f>
        <v>. Desistiu do investimento</v>
      </c>
      <c r="H32" s="11" t="str">
        <f ca="1">IFERROR(__xludf.DUMMYFUNCTION("""COMPUTED_VALUE"""),"6500000.0")</f>
        <v>6500000.0</v>
      </c>
      <c r="I32" s="10" t="str">
        <f ca="1">IFERROR(__xludf.DUMMYFUNCTION("""COMPUTED_VALUE"""),"0.0")</f>
        <v>0.0</v>
      </c>
      <c r="J32" s="10" t="str">
        <f ca="1">IFERROR(__xludf.DUMMYFUNCTION("""COMPUTED_VALUE"""),"Não")</f>
        <v>Não</v>
      </c>
      <c r="K32" s="12">
        <f ca="1">IFERROR(__xludf.DUMMYFUNCTION("""COMPUTED_VALUE"""),46059)</f>
        <v>46059</v>
      </c>
      <c r="L32" s="13">
        <f ca="1">IFERROR(__xludf.DUMMYFUNCTION("""COMPUTED_VALUE"""),0.475694444444444)</f>
        <v>0.47569444444444398</v>
      </c>
      <c r="M32" s="10"/>
      <c r="N32" s="10"/>
      <c r="O32" s="10"/>
      <c r="P32" s="10"/>
      <c r="Q32" s="12"/>
      <c r="R32" s="13"/>
      <c r="S32" s="10"/>
      <c r="T32" s="12">
        <f ca="1">IFERROR(__xludf.DUMMYFUNCTION("""COMPUTED_VALUE"""),46069)</f>
        <v>46069</v>
      </c>
      <c r="U32" s="13">
        <f ca="1">IFERROR(__xludf.DUMMYFUNCTION("""COMPUTED_VALUE"""),0.419444444444444)</f>
        <v>0.41944444444444401</v>
      </c>
      <c r="V32" s="10" t="str">
        <f ca="1">IFERROR(__xludf.DUMMYFUNCTION("""COMPUTED_VALUE"""),". Prospecção ativa")</f>
        <v>. Prospecção ativa</v>
      </c>
      <c r="W32" s="10"/>
      <c r="X32" s="4" t="str">
        <f ca="1">IFERROR(__xludf.DUMMYFUNCTION("""COMPUTED_VALUE"""),"Mateus Calebi")</f>
        <v>Mateus Calebi</v>
      </c>
      <c r="Y32" s="10" t="str">
        <f ca="1">IFERROR(__xludf.DUMMYFUNCTION("""COMPUTED_VALUE"""),"Lady Di")</f>
        <v>Lady Di</v>
      </c>
      <c r="Z32" s="10"/>
      <c r="AA32" s="10" t="str">
        <f ca="1">IFERROR(__xludf.DUMMYFUNCTION("""COMPUTED_VALUE"""),"Cliente tem uma idade mais avançada e optou por fazer outros tipos de investimentos, comprar imóveis prontos com valor abaixo de mercado.")</f>
        <v>Cliente tem uma idade mais avançada e optou por fazer outros tipos de investimentos, comprar imóveis prontos com valor abaixo de mercado.</v>
      </c>
      <c r="AB32" s="10"/>
      <c r="AC32" s="10"/>
      <c r="AD32" s="10"/>
      <c r="AE32" s="10"/>
      <c r="AF32" s="4" t="str">
        <f ca="1">IFERROR(__xludf.DUMMYFUNCTION("""COMPUTED_VALUE"""),"Daniel Oliveira")</f>
        <v>Daniel Oliveira</v>
      </c>
      <c r="AG32" s="10" t="str">
        <f ca="1">IFERROR(__xludf.DUMMYFUNCTION("""COMPUTED_VALUE"""),"Alta Nobreza")</f>
        <v>Alta Nobreza</v>
      </c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 t="str">
        <f ca="1">IFERROR(__xludf.DUMMYFUNCTION("""COMPUTED_VALUE"""),"Lady Di")</f>
        <v>Lady Di</v>
      </c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8" t="str">
        <f ca="1">IFERROR(__xludf.DUMMYFUNCTION("""COMPUTED_VALUE"""),"R$ 6.500.000")</f>
        <v>R$ 6.500.000</v>
      </c>
      <c r="BT32" s="10"/>
      <c r="BU32" s="10"/>
      <c r="BV32" s="10"/>
      <c r="BW32" s="10"/>
      <c r="BX32" s="10"/>
      <c r="BY32" s="10"/>
      <c r="BZ32" s="10"/>
      <c r="CA32" s="10"/>
      <c r="CB32" s="10"/>
      <c r="CC32" s="10" t="str">
        <f ca="1">IFERROR(__xludf.DUMMYFUNCTION("""COMPUTED_VALUE"""),"Corretores")</f>
        <v>Corretores</v>
      </c>
      <c r="CD32" s="10"/>
      <c r="CE32" s="10" t="str">
        <f ca="1">IFERROR(__xludf.DUMMYFUNCTION("""COMPUTED_VALUE"""),"Brasil")</f>
        <v>Brasil</v>
      </c>
      <c r="CF32" s="10" t="str">
        <f ca="1">IFERROR(__xludf.DUMMYFUNCTION("""COMPUTED_VALUE"""),"Curitiba")</f>
        <v>Curitiba</v>
      </c>
      <c r="CG32" s="10"/>
      <c r="CH32" s="10"/>
      <c r="CI32" s="10"/>
      <c r="CJ32" s="10" t="str">
        <f ca="1">IFERROR(__xludf.DUMMYFUNCTION("""COMPUTED_VALUE"""),"Paraná (PR)")</f>
        <v>Paraná (PR)</v>
      </c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4" t="str">
        <f ca="1">IFERROR(__xludf.DUMMYFUNCTION("""COMPUTED_VALUE"""),"Fevereiro")</f>
        <v>Fevereiro</v>
      </c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</row>
    <row r="33" spans="1:121">
      <c r="A33" s="4" t="str">
        <f ca="1">IFERROR(__xludf.DUMMYFUNCTION("""COMPUTED_VALUE"""),"Hugo")</f>
        <v>Hugo</v>
      </c>
      <c r="B33" s="4" t="str">
        <f ca="1">IFERROR(__xludf.DUMMYFUNCTION("""COMPUTED_VALUE"""),"Ohmega")</f>
        <v>Ohmega</v>
      </c>
      <c r="C33" s="10">
        <f ca="1">IFERROR(__xludf.DUMMYFUNCTION("""COMPUTED_VALUE"""),1)</f>
        <v>1</v>
      </c>
      <c r="D33" s="10" t="str">
        <f ca="1">IFERROR(__xludf.DUMMYFUNCTION("""COMPUTED_VALUE"""),"Funil de Vendas - Novo")</f>
        <v>Funil de Vendas - Novo</v>
      </c>
      <c r="E33" s="10" t="str">
        <f ca="1">IFERROR(__xludf.DUMMYFUNCTION("""COMPUTED_VALUE"""),"Visita/Reunião")</f>
        <v>Visita/Reunião</v>
      </c>
      <c r="F33" s="10" t="str">
        <f ca="1">IFERROR(__xludf.DUMMYFUNCTION("""COMPUTED_VALUE"""),"Em Andamento")</f>
        <v>Em Andamento</v>
      </c>
      <c r="G33" s="10" t="str">
        <f ca="1">IFERROR(__xludf.DUMMYFUNCTION("""COMPUTED_VALUE"""),"Nada")</f>
        <v>Nada</v>
      </c>
      <c r="H33" s="11" t="str">
        <f ca="1">IFERROR(__xludf.DUMMYFUNCTION("""COMPUTED_VALUE"""),"0.0")</f>
        <v>0.0</v>
      </c>
      <c r="I33" s="10" t="str">
        <f ca="1">IFERROR(__xludf.DUMMYFUNCTION("""COMPUTED_VALUE"""),"0.0")</f>
        <v>0.0</v>
      </c>
      <c r="J33" s="10" t="str">
        <f ca="1">IFERROR(__xludf.DUMMYFUNCTION("""COMPUTED_VALUE"""),"Não")</f>
        <v>Não</v>
      </c>
      <c r="K33" s="12">
        <f ca="1">IFERROR(__xludf.DUMMYFUNCTION("""COMPUTED_VALUE"""),46080)</f>
        <v>46080</v>
      </c>
      <c r="L33" s="13">
        <f ca="1">IFERROR(__xludf.DUMMYFUNCTION("""COMPUTED_VALUE"""),0.446527777777777)</f>
        <v>0.44652777777777702</v>
      </c>
      <c r="M33" s="10"/>
      <c r="N33" s="10"/>
      <c r="O33" s="10"/>
      <c r="P33" s="10"/>
      <c r="Q33" s="12">
        <f ca="1">IFERROR(__xludf.DUMMYFUNCTION("""COMPUTED_VALUE"""),46091)</f>
        <v>46091</v>
      </c>
      <c r="R33" s="13">
        <f ca="1">IFERROR(__xludf.DUMMYFUNCTION("""COMPUTED_VALUE"""),0.642361111111111)</f>
        <v>0.64236111111111105</v>
      </c>
      <c r="S33" s="10"/>
      <c r="T33" s="10"/>
      <c r="U33" s="10"/>
      <c r="V33" s="10" t="str">
        <f ca="1">IFERROR(__xludf.DUMMYFUNCTION("""COMPUTED_VALUE"""),". Relacionamento Corretores")</f>
        <v>. Relacionamento Corretores</v>
      </c>
      <c r="W33" s="10"/>
      <c r="X33" s="4" t="str">
        <f ca="1">IFERROR(__xludf.DUMMYFUNCTION("""COMPUTED_VALUE"""),"Ricardo")</f>
        <v>Ricardo</v>
      </c>
      <c r="Y33" s="10" t="str">
        <f ca="1">IFERROR(__xludf.DUMMYFUNCTION("""COMPUTED_VALUE"""),"Thiesen Residence 2302")</f>
        <v>Thiesen Residence 2302</v>
      </c>
      <c r="Z33" s="10"/>
      <c r="AA33" s="10"/>
      <c r="AB33" s="10"/>
      <c r="AC33" s="10"/>
      <c r="AD33" s="10"/>
      <c r="AE33" s="10"/>
      <c r="AF33" s="4" t="str">
        <f ca="1">IFERROR(__xludf.DUMMYFUNCTION("""COMPUTED_VALUE"""),"Vinicius Amorin")</f>
        <v>Vinicius Amorin</v>
      </c>
      <c r="AG33" s="10" t="str">
        <f ca="1">IFERROR(__xludf.DUMMYFUNCTION("""COMPUTED_VALUE"""),"Nobre")</f>
        <v>Nobre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 t="str">
        <f ca="1">IFERROR(__xludf.DUMMYFUNCTION("""COMPUTED_VALUE"""),"Thiesen 2302")</f>
        <v>Thiesen 2302</v>
      </c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8"/>
      <c r="BT33" s="10"/>
      <c r="BU33" s="10"/>
      <c r="BV33" s="10"/>
      <c r="BW33" s="10"/>
      <c r="BX33" s="10"/>
      <c r="BY33" s="10"/>
      <c r="BZ33" s="10"/>
      <c r="CA33" s="10"/>
      <c r="CB33" s="10"/>
      <c r="CC33" s="10" t="str">
        <f ca="1">IFERROR(__xludf.DUMMYFUNCTION("""COMPUTED_VALUE"""),"Corretores")</f>
        <v>Corretores</v>
      </c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4" t="str">
        <f ca="1">IFERROR(__xludf.DUMMYFUNCTION("""COMPUTED_VALUE"""),"Fevereiro")</f>
        <v>Fevereiro</v>
      </c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</row>
    <row r="34" spans="1:121">
      <c r="A34" s="4" t="str">
        <f ca="1">IFERROR(__xludf.DUMMYFUNCTION("""COMPUTED_VALUE"""),"Ivar Saraiva")</f>
        <v>Ivar Saraiva</v>
      </c>
      <c r="B34" s="4" t="str">
        <f ca="1">IFERROR(__xludf.DUMMYFUNCTION("""COMPUTED_VALUE"""),"Oppo Imóveis")</f>
        <v>Oppo Imóveis</v>
      </c>
      <c r="C34" s="10">
        <f ca="1">IFERROR(__xludf.DUMMYFUNCTION("""COMPUTED_VALUE"""),2)</f>
        <v>2</v>
      </c>
      <c r="D34" s="10" t="str">
        <f ca="1">IFERROR(__xludf.DUMMYFUNCTION("""COMPUTED_VALUE"""),"Funil de Vendas - Novo")</f>
        <v>Funil de Vendas - Novo</v>
      </c>
      <c r="E34" s="10" t="str">
        <f ca="1">IFERROR(__xludf.DUMMYFUNCTION("""COMPUTED_VALUE"""),"Proposta")</f>
        <v>Proposta</v>
      </c>
      <c r="F34" s="10" t="str">
        <f ca="1">IFERROR(__xludf.DUMMYFUNCTION("""COMPUTED_VALUE"""),"Em Andamento")</f>
        <v>Em Andamento</v>
      </c>
      <c r="G34" s="10" t="str">
        <f ca="1">IFERROR(__xludf.DUMMYFUNCTION("""COMPUTED_VALUE"""),"Nada")</f>
        <v>Nada</v>
      </c>
      <c r="H34" s="11" t="str">
        <f ca="1">IFERROR(__xludf.DUMMYFUNCTION("""COMPUTED_VALUE"""),"6778000.0")</f>
        <v>6778000.0</v>
      </c>
      <c r="I34" s="10" t="str">
        <f ca="1">IFERROR(__xludf.DUMMYFUNCTION("""COMPUTED_VALUE"""),"0.0")</f>
        <v>0.0</v>
      </c>
      <c r="J34" s="10" t="str">
        <f ca="1">IFERROR(__xludf.DUMMYFUNCTION("""COMPUTED_VALUE"""),"Não")</f>
        <v>Não</v>
      </c>
      <c r="K34" s="12">
        <f ca="1">IFERROR(__xludf.DUMMYFUNCTION("""COMPUTED_VALUE"""),46059)</f>
        <v>46059</v>
      </c>
      <c r="L34" s="13">
        <f ca="1">IFERROR(__xludf.DUMMYFUNCTION("""COMPUTED_VALUE"""),0.761805555555555)</f>
        <v>0.76180555555555496</v>
      </c>
      <c r="M34" s="10"/>
      <c r="N34" s="10"/>
      <c r="O34" s="10"/>
      <c r="P34" s="10"/>
      <c r="Q34" s="12">
        <f ca="1">IFERROR(__xludf.DUMMYFUNCTION("""COMPUTED_VALUE"""),46095)</f>
        <v>46095</v>
      </c>
      <c r="R34" s="13">
        <f ca="1">IFERROR(__xludf.DUMMYFUNCTION("""COMPUTED_VALUE"""),0.579861111111111)</f>
        <v>0.57986111111111105</v>
      </c>
      <c r="S34" s="10"/>
      <c r="T34" s="10"/>
      <c r="U34" s="10"/>
      <c r="V34" s="10" t="str">
        <f ca="1">IFERROR(__xludf.DUMMYFUNCTION("""COMPUTED_VALUE"""),". Relacionamento Corretores")</f>
        <v>. Relacionamento Corretores</v>
      </c>
      <c r="W34" s="10"/>
      <c r="X34" s="4" t="str">
        <f ca="1">IFERROR(__xludf.DUMMYFUNCTION("""COMPUTED_VALUE"""),"Suyane Cachoeira")</f>
        <v>Suyane Cachoeira</v>
      </c>
      <c r="Y34" s="10" t="str">
        <f ca="1">IFERROR(__xludf.DUMMYFUNCTION("""COMPUTED_VALUE"""),"Charles II")</f>
        <v>Charles II</v>
      </c>
      <c r="Z34" s="10"/>
      <c r="AA34" s="10"/>
      <c r="AB34" s="10"/>
      <c r="AC34" s="10"/>
      <c r="AD34" s="10"/>
      <c r="AE34" s="10"/>
      <c r="AF34" s="4" t="str">
        <f ca="1">IFERROR(__xludf.DUMMYFUNCTION("""COMPUTED_VALUE"""),"Barbara Goettems")</f>
        <v>Barbara Goettems</v>
      </c>
      <c r="AG34" s="10" t="str">
        <f ca="1">IFERROR(__xludf.DUMMYFUNCTION("""COMPUTED_VALUE"""),"Alta Nobreza")</f>
        <v>Alta Nobreza</v>
      </c>
      <c r="AH34" s="10"/>
      <c r="AI34" s="10"/>
      <c r="AJ34" s="10"/>
      <c r="AK34" s="10"/>
      <c r="AL34" s="10"/>
      <c r="AM34" s="10" t="str">
        <f ca="1">IFERROR(__xludf.DUMMYFUNCTION("""COMPUTED_VALUE"""),"Negociação pós prospecção ativa coordenadores")</f>
        <v>Negociação pós prospecção ativa coordenadores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 t="str">
        <f ca="1">IFERROR(__xludf.DUMMYFUNCTION("""COMPUTED_VALUE"""),"Suyane")</f>
        <v>Suyane</v>
      </c>
      <c r="BA34" s="10"/>
      <c r="BB34" s="10"/>
      <c r="BC34" s="10"/>
      <c r="BD34" s="10"/>
      <c r="BE34" s="10"/>
      <c r="BF34" s="10"/>
      <c r="BG34" s="10" t="str">
        <f ca="1">IFERROR(__xludf.DUMMYFUNCTION("""COMPUTED_VALUE"""),"Charles II")</f>
        <v>Charles II</v>
      </c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8"/>
      <c r="BT34" s="10"/>
      <c r="BU34" s="10"/>
      <c r="BV34" s="10"/>
      <c r="BW34" s="10"/>
      <c r="BX34" s="10"/>
      <c r="BY34" s="10"/>
      <c r="BZ34" s="10"/>
      <c r="CA34" s="10"/>
      <c r="CB34" s="10"/>
      <c r="CC34" s="10" t="str">
        <f ca="1">IFERROR(__xludf.DUMMYFUNCTION("""COMPUTED_VALUE"""),"Corretores")</f>
        <v>Corretores</v>
      </c>
      <c r="CD34" s="10"/>
      <c r="CE34" s="10" t="str">
        <f ca="1">IFERROR(__xludf.DUMMYFUNCTION("""COMPUTED_VALUE"""),"Brasil")</f>
        <v>Brasil</v>
      </c>
      <c r="CF34" s="10" t="str">
        <f ca="1">IFERROR(__xludf.DUMMYFUNCTION("""COMPUTED_VALUE"""),"Vacaria")</f>
        <v>Vacaria</v>
      </c>
      <c r="CG34" s="10"/>
      <c r="CH34" s="10"/>
      <c r="CI34" s="10"/>
      <c r="CJ34" s="10" t="str">
        <f ca="1">IFERROR(__xludf.DUMMYFUNCTION("""COMPUTED_VALUE"""),"Rio Grande do Sul (RS)")</f>
        <v>Rio Grande do Sul (RS)</v>
      </c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4" t="str">
        <f ca="1">IFERROR(__xludf.DUMMYFUNCTION("""COMPUTED_VALUE"""),"Fevereiro")</f>
        <v>Fevereiro</v>
      </c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</row>
    <row r="35" spans="1:121">
      <c r="A35" s="4" t="str">
        <f ca="1">IFERROR(__xludf.DUMMYFUNCTION("""COMPUTED_VALUE"""),"Jailson Buzzi")</f>
        <v>Jailson Buzzi</v>
      </c>
      <c r="B35" s="4" t="str">
        <f ca="1">IFERROR(__xludf.DUMMYFUNCTION("""COMPUTED_VALUE"""),"Potencial")</f>
        <v>Potencial</v>
      </c>
      <c r="C35" s="10">
        <f ca="1">IFERROR(__xludf.DUMMYFUNCTION("""COMPUTED_VALUE"""),2)</f>
        <v>2</v>
      </c>
      <c r="D35" s="10" t="str">
        <f ca="1">IFERROR(__xludf.DUMMYFUNCTION("""COMPUTED_VALUE"""),"Funil de Vendas - Novo")</f>
        <v>Funil de Vendas - Novo</v>
      </c>
      <c r="E35" s="10" t="str">
        <f ca="1">IFERROR(__xludf.DUMMYFUNCTION("""COMPUTED_VALUE"""),"Negociação")</f>
        <v>Negociação</v>
      </c>
      <c r="F35" s="10" t="str">
        <f ca="1">IFERROR(__xludf.DUMMYFUNCTION("""COMPUTED_VALUE"""),"Em Andamento")</f>
        <v>Em Andamento</v>
      </c>
      <c r="G35" s="10" t="str">
        <f ca="1">IFERROR(__xludf.DUMMYFUNCTION("""COMPUTED_VALUE"""),"Nada")</f>
        <v>Nada</v>
      </c>
      <c r="H35" s="11" t="str">
        <f ca="1">IFERROR(__xludf.DUMMYFUNCTION("""COMPUTED_VALUE"""),"6248000.0")</f>
        <v>6248000.0</v>
      </c>
      <c r="I35" s="10" t="str">
        <f ca="1">IFERROR(__xludf.DUMMYFUNCTION("""COMPUTED_VALUE"""),"0.0")</f>
        <v>0.0</v>
      </c>
      <c r="J35" s="10" t="str">
        <f ca="1">IFERROR(__xludf.DUMMYFUNCTION("""COMPUTED_VALUE"""),"Não")</f>
        <v>Não</v>
      </c>
      <c r="K35" s="12">
        <f ca="1">IFERROR(__xludf.DUMMYFUNCTION("""COMPUTED_VALUE"""),46031)</f>
        <v>46031</v>
      </c>
      <c r="L35" s="13">
        <f ca="1">IFERROR(__xludf.DUMMYFUNCTION("""COMPUTED_VALUE"""),0.46875)</f>
        <v>0.46875</v>
      </c>
      <c r="M35" s="10"/>
      <c r="N35" s="10"/>
      <c r="O35" s="10"/>
      <c r="P35" s="10"/>
      <c r="Q35" s="12">
        <f ca="1">IFERROR(__xludf.DUMMYFUNCTION("""COMPUTED_VALUE"""),46059)</f>
        <v>46059</v>
      </c>
      <c r="R35" s="13">
        <f ca="1">IFERROR(__xludf.DUMMYFUNCTION("""COMPUTED_VALUE"""),0.750694444444444)</f>
        <v>0.750694444444444</v>
      </c>
      <c r="S35" s="10"/>
      <c r="T35" s="10"/>
      <c r="U35" s="10"/>
      <c r="V35" s="10" t="str">
        <f ca="1">IFERROR(__xludf.DUMMYFUNCTION("""COMPUTED_VALUE"""),". Relacionamento Corretores")</f>
        <v>. Relacionamento Corretores</v>
      </c>
      <c r="W35" s="10"/>
      <c r="X35" s="4" t="str">
        <f ca="1">IFERROR(__xludf.DUMMYFUNCTION("""COMPUTED_VALUE"""),"Suyane Cachoeira")</f>
        <v>Suyane Cachoeira</v>
      </c>
      <c r="Y35" s="10" t="str">
        <f ca="1">IFERROR(__xludf.DUMMYFUNCTION("""COMPUTED_VALUE"""),"Charles II")</f>
        <v>Charles II</v>
      </c>
      <c r="Z35" s="10"/>
      <c r="AA35" s="10"/>
      <c r="AB35" s="10"/>
      <c r="AC35" s="10"/>
      <c r="AD35" s="10"/>
      <c r="AE35" s="10"/>
      <c r="AF35" s="4" t="str">
        <f ca="1">IFERROR(__xludf.DUMMYFUNCTION("""COMPUTED_VALUE"""),"Carla  Regina Moser")</f>
        <v>Carla  Regina Moser</v>
      </c>
      <c r="AG35" s="10" t="str">
        <f ca="1">IFERROR(__xludf.DUMMYFUNCTION("""COMPUTED_VALUE"""),"Alta Nobreza")</f>
        <v>Alta Nobreza</v>
      </c>
      <c r="AH35" s="10"/>
      <c r="AI35" s="10"/>
      <c r="AJ35" s="10"/>
      <c r="AK35" s="10"/>
      <c r="AL35" s="10"/>
      <c r="AM35" s="10" t="str">
        <f ca="1">IFERROR(__xludf.DUMMYFUNCTION("""COMPUTED_VALUE"""),"Negociação pós almoço de relacionamento")</f>
        <v>Negociação pós almoço de relacionamento</v>
      </c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 t="str">
        <f ca="1">IFERROR(__xludf.DUMMYFUNCTION("""COMPUTED_VALUE"""),"Suyane")</f>
        <v>Suyane</v>
      </c>
      <c r="BA35" s="10"/>
      <c r="BB35" s="10"/>
      <c r="BC35" s="10"/>
      <c r="BD35" s="10"/>
      <c r="BE35" s="10"/>
      <c r="BF35" s="10"/>
      <c r="BG35" s="10" t="str">
        <f ca="1">IFERROR(__xludf.DUMMYFUNCTION("""COMPUTED_VALUE"""),"Charles II")</f>
        <v>Charles II</v>
      </c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8"/>
      <c r="BT35" s="10"/>
      <c r="BU35" s="10"/>
      <c r="BV35" s="10"/>
      <c r="BW35" s="10"/>
      <c r="BX35" s="10"/>
      <c r="BY35" s="10"/>
      <c r="BZ35" s="10"/>
      <c r="CA35" s="10"/>
      <c r="CB35" s="10"/>
      <c r="CC35" s="10" t="str">
        <f ca="1">IFERROR(__xludf.DUMMYFUNCTION("""COMPUTED_VALUE"""),"Corretores")</f>
        <v>Corretores</v>
      </c>
      <c r="CD35" s="10"/>
      <c r="CE35" s="10" t="str">
        <f ca="1">IFERROR(__xludf.DUMMYFUNCTION("""COMPUTED_VALUE"""),"brasil")</f>
        <v>brasil</v>
      </c>
      <c r="CF35" s="10" t="str">
        <f ca="1">IFERROR(__xludf.DUMMYFUNCTION("""COMPUTED_VALUE"""),"Ascurra")</f>
        <v>Ascurra</v>
      </c>
      <c r="CG35" s="10"/>
      <c r="CH35" s="10"/>
      <c r="CI35" s="10"/>
      <c r="CJ35" s="10" t="str">
        <f ca="1">IFERROR(__xludf.DUMMYFUNCTION("""COMPUTED_VALUE"""),"Santa Catarina (SC)")</f>
        <v>Santa Catarina (SC)</v>
      </c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 t="str">
        <f ca="1">IFERROR(__xludf.DUMMYFUNCTION("""COMPUTED_VALUE"""),"Janeiro")</f>
        <v>Janeiro</v>
      </c>
      <c r="DD35" s="10"/>
      <c r="DE35" s="10"/>
      <c r="DF35" s="4" t="str">
        <f ca="1">IFERROR(__xludf.DUMMYFUNCTION("""COMPUTED_VALUE"""),"Janeiro")</f>
        <v>Janeiro</v>
      </c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</row>
    <row r="36" spans="1:121">
      <c r="A36" s="4" t="str">
        <f ca="1">IFERROR(__xludf.DUMMYFUNCTION("""COMPUTED_VALUE"""),"Jean Rauwers")</f>
        <v>Jean Rauwers</v>
      </c>
      <c r="B36" s="4" t="str">
        <f ca="1">IFERROR(__xludf.DUMMYFUNCTION("""COMPUTED_VALUE"""),"Ohmega")</f>
        <v>Ohmega</v>
      </c>
      <c r="C36" s="10">
        <f ca="1">IFERROR(__xludf.DUMMYFUNCTION("""COMPUTED_VALUE"""),2)</f>
        <v>2</v>
      </c>
      <c r="D36" s="10" t="str">
        <f ca="1">IFERROR(__xludf.DUMMYFUNCTION("""COMPUTED_VALUE"""),"Funil de Vendas - Novo")</f>
        <v>Funil de Vendas - Novo</v>
      </c>
      <c r="E36" s="10" t="str">
        <f ca="1">IFERROR(__xludf.DUMMYFUNCTION("""COMPUTED_VALUE"""),"Negociação")</f>
        <v>Negociação</v>
      </c>
      <c r="F36" s="10" t="str">
        <f ca="1">IFERROR(__xludf.DUMMYFUNCTION("""COMPUTED_VALUE"""),"Em Andamento")</f>
        <v>Em Andamento</v>
      </c>
      <c r="G36" s="10" t="str">
        <f ca="1">IFERROR(__xludf.DUMMYFUNCTION("""COMPUTED_VALUE"""),"Nada")</f>
        <v>Nada</v>
      </c>
      <c r="H36" s="11" t="str">
        <f ca="1">IFERROR(__xludf.DUMMYFUNCTION("""COMPUTED_VALUE"""),"9338000.0")</f>
        <v>9338000.0</v>
      </c>
      <c r="I36" s="10" t="str">
        <f ca="1">IFERROR(__xludf.DUMMYFUNCTION("""COMPUTED_VALUE"""),"0.0")</f>
        <v>0.0</v>
      </c>
      <c r="J36" s="10" t="str">
        <f ca="1">IFERROR(__xludf.DUMMYFUNCTION("""COMPUTED_VALUE"""),"Não")</f>
        <v>Não</v>
      </c>
      <c r="K36" s="12">
        <f ca="1">IFERROR(__xludf.DUMMYFUNCTION("""COMPUTED_VALUE"""),46091)</f>
        <v>46091</v>
      </c>
      <c r="L36" s="13">
        <f ca="1">IFERROR(__xludf.DUMMYFUNCTION("""COMPUTED_VALUE"""),0.766666666666666)</f>
        <v>0.76666666666666605</v>
      </c>
      <c r="M36" s="10"/>
      <c r="N36" s="10"/>
      <c r="O36" s="10"/>
      <c r="P36" s="10"/>
      <c r="Q36" s="12">
        <f ca="1">IFERROR(__xludf.DUMMYFUNCTION("""COMPUTED_VALUE"""),46095)</f>
        <v>46095</v>
      </c>
      <c r="R36" s="13">
        <f ca="1">IFERROR(__xludf.DUMMYFUNCTION("""COMPUTED_VALUE"""),0.395833333333333)</f>
        <v>0.39583333333333298</v>
      </c>
      <c r="S36" s="10"/>
      <c r="T36" s="10"/>
      <c r="U36" s="10"/>
      <c r="V36" s="10" t="str">
        <f ca="1">IFERROR(__xludf.DUMMYFUNCTION("""COMPUTED_VALUE"""),". Relacionamento Corretores")</f>
        <v>. Relacionamento Corretores</v>
      </c>
      <c r="W36" s="10"/>
      <c r="X36" s="4" t="str">
        <f ca="1">IFERROR(__xludf.DUMMYFUNCTION("""COMPUTED_VALUE"""),"Ricardo")</f>
        <v>Ricardo</v>
      </c>
      <c r="Y36" s="10" t="str">
        <f ca="1">IFERROR(__xludf.DUMMYFUNCTION("""COMPUTED_VALUE"""),"Charles II")</f>
        <v>Charles II</v>
      </c>
      <c r="Z36" s="10"/>
      <c r="AA36" s="10"/>
      <c r="AB36" s="10"/>
      <c r="AC36" s="10"/>
      <c r="AD36" s="10"/>
      <c r="AE36" s="10"/>
      <c r="AF36" s="4" t="str">
        <f ca="1">IFERROR(__xludf.DUMMYFUNCTION("""COMPUTED_VALUE"""),"Wagner")</f>
        <v>Wagner</v>
      </c>
      <c r="AG36" s="10" t="str">
        <f ca="1">IFERROR(__xludf.DUMMYFUNCTION("""COMPUTED_VALUE"""),"Alta Nobreza")</f>
        <v>Alta Nobreza</v>
      </c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 t="str">
        <f ca="1">IFERROR(__xludf.DUMMYFUNCTION("""COMPUTED_VALUE"""),"Charles II")</f>
        <v>Charles II</v>
      </c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8"/>
      <c r="BT36" s="10"/>
      <c r="BU36" s="10"/>
      <c r="BV36" s="10"/>
      <c r="BW36" s="10"/>
      <c r="BX36" s="10"/>
      <c r="BY36" s="10"/>
      <c r="BZ36" s="10"/>
      <c r="CA36" s="10"/>
      <c r="CB36" s="10"/>
      <c r="CC36" s="10" t="str">
        <f ca="1">IFERROR(__xludf.DUMMYFUNCTION("""COMPUTED_VALUE"""),"Corretores")</f>
        <v>Corretores</v>
      </c>
      <c r="CD36" s="10">
        <f ca="1">IFERROR(__xludf.DUMMYFUNCTION("""COMPUTED_VALUE"""),5501)</f>
        <v>5501</v>
      </c>
      <c r="CE36" s="10" t="str">
        <f ca="1">IFERROR(__xludf.DUMMYFUNCTION("""COMPUTED_VALUE"""),"Suiça")</f>
        <v>Suiça</v>
      </c>
      <c r="CF36" s="10" t="str">
        <f ca="1">IFERROR(__xludf.DUMMYFUNCTION("""COMPUTED_VALUE"""),"Zurique")</f>
        <v>Zurique</v>
      </c>
      <c r="CG36" s="10"/>
      <c r="CH36" s="10"/>
      <c r="CI36" s="10"/>
      <c r="CJ36" s="10" t="str">
        <f ca="1">IFERROR(__xludf.DUMMYFUNCTION("""COMPUTED_VALUE"""),"A definir")</f>
        <v>A definir</v>
      </c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4" t="str">
        <f ca="1">IFERROR(__xludf.DUMMYFUNCTION("""COMPUTED_VALUE"""),"Março")</f>
        <v>Março</v>
      </c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</row>
    <row r="37" spans="1:121">
      <c r="A37" s="4" t="str">
        <f ca="1">IFERROR(__xludf.DUMMYFUNCTION("""COMPUTED_VALUE"""),"Kinho e Lucas")</f>
        <v>Kinho e Lucas</v>
      </c>
      <c r="B37" s="4" t="str">
        <f ca="1">IFERROR(__xludf.DUMMYFUNCTION("""COMPUTED_VALUE"""),"Esmeralda")</f>
        <v>Esmeralda</v>
      </c>
      <c r="C37" s="10">
        <f ca="1">IFERROR(__xludf.DUMMYFUNCTION("""COMPUTED_VALUE"""),2)</f>
        <v>2</v>
      </c>
      <c r="D37" s="10" t="str">
        <f ca="1">IFERROR(__xludf.DUMMYFUNCTION("""COMPUTED_VALUE"""),"Funil de Vendas - Novo")</f>
        <v>Funil de Vendas - Novo</v>
      </c>
      <c r="E37" s="10" t="str">
        <f ca="1">IFERROR(__xludf.DUMMYFUNCTION("""COMPUTED_VALUE"""),"Visita/Reunião")</f>
        <v>Visita/Reunião</v>
      </c>
      <c r="F37" s="10" t="str">
        <f ca="1">IFERROR(__xludf.DUMMYFUNCTION("""COMPUTED_VALUE"""),"Em Andamento")</f>
        <v>Em Andamento</v>
      </c>
      <c r="G37" s="10" t="str">
        <f ca="1">IFERROR(__xludf.DUMMYFUNCTION("""COMPUTED_VALUE"""),"Nada")</f>
        <v>Nada</v>
      </c>
      <c r="H37" s="11" t="str">
        <f ca="1">IFERROR(__xludf.DUMMYFUNCTION("""COMPUTED_VALUE"""),"0.0")</f>
        <v>0.0</v>
      </c>
      <c r="I37" s="10" t="str">
        <f ca="1">IFERROR(__xludf.DUMMYFUNCTION("""COMPUTED_VALUE"""),"0.0")</f>
        <v>0.0</v>
      </c>
      <c r="J37" s="10" t="str">
        <f ca="1">IFERROR(__xludf.DUMMYFUNCTION("""COMPUTED_VALUE"""),"Não")</f>
        <v>Não</v>
      </c>
      <c r="K37" s="12">
        <f ca="1">IFERROR(__xludf.DUMMYFUNCTION("""COMPUTED_VALUE"""),46056)</f>
        <v>46056</v>
      </c>
      <c r="L37" s="13">
        <f ca="1">IFERROR(__xludf.DUMMYFUNCTION("""COMPUTED_VALUE"""),0.8)</f>
        <v>0.8</v>
      </c>
      <c r="M37" s="10"/>
      <c r="N37" s="10"/>
      <c r="O37" s="10"/>
      <c r="P37" s="10"/>
      <c r="Q37" s="12">
        <f ca="1">IFERROR(__xludf.DUMMYFUNCTION("""COMPUTED_VALUE"""),46093)</f>
        <v>46093</v>
      </c>
      <c r="R37" s="13">
        <f ca="1">IFERROR(__xludf.DUMMYFUNCTION("""COMPUTED_VALUE"""),0.383333333333333)</f>
        <v>0.38333333333333303</v>
      </c>
      <c r="S37" s="10"/>
      <c r="T37" s="10"/>
      <c r="U37" s="10"/>
      <c r="V37" s="10" t="str">
        <f ca="1">IFERROR(__xludf.DUMMYFUNCTION("""COMPUTED_VALUE"""),". Relacionamento Corretores")</f>
        <v>. Relacionamento Corretores</v>
      </c>
      <c r="W37" s="10"/>
      <c r="X37" s="4" t="str">
        <f ca="1">IFERROR(__xludf.DUMMYFUNCTION("""COMPUTED_VALUE"""),"Ricardo")</f>
        <v>Ricardo</v>
      </c>
      <c r="Y37" s="10" t="str">
        <f ca="1">IFERROR(__xludf.DUMMYFUNCTION("""COMPUTED_VALUE"""),"Charles II")</f>
        <v>Charles II</v>
      </c>
      <c r="Z37" s="10"/>
      <c r="AA37" s="10"/>
      <c r="AB37" s="10"/>
      <c r="AC37" s="10"/>
      <c r="AD37" s="10"/>
      <c r="AE37" s="10"/>
      <c r="AF37" s="4" t="str">
        <f ca="1">IFERROR(__xludf.DUMMYFUNCTION("""COMPUTED_VALUE"""),"Angelo")</f>
        <v>Angelo</v>
      </c>
      <c r="AG37" s="10" t="str">
        <f ca="1">IFERROR(__xludf.DUMMYFUNCTION("""COMPUTED_VALUE"""),"Alta Nobreza")</f>
        <v>Alta Nobreza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 t="str">
        <f ca="1">IFERROR(__xludf.DUMMYFUNCTION("""COMPUTED_VALUE"""),"Charles II")</f>
        <v>Charles II</v>
      </c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8"/>
      <c r="BT37" s="10"/>
      <c r="BU37" s="10" t="str">
        <f ca="1">IFERROR(__xludf.DUMMYFUNCTION("""COMPUTED_VALUE"""),"Venda pós almoço de negócios")</f>
        <v>Venda pós almoço de negócios</v>
      </c>
      <c r="BV37" s="10"/>
      <c r="BW37" s="10"/>
      <c r="BX37" s="10"/>
      <c r="BY37" s="10"/>
      <c r="BZ37" s="10"/>
      <c r="CA37" s="10"/>
      <c r="CB37" s="10"/>
      <c r="CC37" s="10" t="str">
        <f ca="1">IFERROR(__xludf.DUMMYFUNCTION("""COMPUTED_VALUE"""),"Corretores")</f>
        <v>Corretores</v>
      </c>
      <c r="CD37" s="10"/>
      <c r="CE37" s="10" t="str">
        <f ca="1">IFERROR(__xludf.DUMMYFUNCTION("""COMPUTED_VALUE"""),"Brasil")</f>
        <v>Brasil</v>
      </c>
      <c r="CF37" s="10" t="str">
        <f ca="1">IFERROR(__xludf.DUMMYFUNCTION("""COMPUTED_VALUE"""),"Rio do Sul")</f>
        <v>Rio do Sul</v>
      </c>
      <c r="CG37" s="10"/>
      <c r="CH37" s="10"/>
      <c r="CI37" s="10"/>
      <c r="CJ37" s="10" t="str">
        <f ca="1">IFERROR(__xludf.DUMMYFUNCTION("""COMPUTED_VALUE"""),"Santa Catarina (SC)")</f>
        <v>Santa Catarina (SC)</v>
      </c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4" t="str">
        <f ca="1">IFERROR(__xludf.DUMMYFUNCTION("""COMPUTED_VALUE"""),"Fevereiro")</f>
        <v>Fevereiro</v>
      </c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</row>
    <row r="38" spans="1:121">
      <c r="A38" s="4" t="str">
        <f ca="1">IFERROR(__xludf.DUMMYFUNCTION("""COMPUTED_VALUE"""),"Leandro")</f>
        <v>Leandro</v>
      </c>
      <c r="B38" s="4"/>
      <c r="C38" s="10">
        <f ca="1">IFERROR(__xludf.DUMMYFUNCTION("""COMPUTED_VALUE"""),1)</f>
        <v>1</v>
      </c>
      <c r="D38" s="10" t="str">
        <f ca="1">IFERROR(__xludf.DUMMYFUNCTION("""COMPUTED_VALUE"""),"Funil de Vendas - Novo")</f>
        <v>Funil de Vendas - Novo</v>
      </c>
      <c r="E38" s="10" t="str">
        <f ca="1">IFERROR(__xludf.DUMMYFUNCTION("""COMPUTED_VALUE"""),"Visita/Reunião")</f>
        <v>Visita/Reunião</v>
      </c>
      <c r="F38" s="10" t="str">
        <f ca="1">IFERROR(__xludf.DUMMYFUNCTION("""COMPUTED_VALUE"""),"Perdida")</f>
        <v>Perdida</v>
      </c>
      <c r="G38" s="10" t="str">
        <f ca="1">IFERROR(__xludf.DUMMYFUNCTION("""COMPUTED_VALUE"""),". Comprou com o concorrente")</f>
        <v>. Comprou com o concorrente</v>
      </c>
      <c r="H38" s="11" t="str">
        <f ca="1">IFERROR(__xludf.DUMMYFUNCTION("""COMPUTED_VALUE"""),"3588000.0")</f>
        <v>3588000.0</v>
      </c>
      <c r="I38" s="10" t="str">
        <f ca="1">IFERROR(__xludf.DUMMYFUNCTION("""COMPUTED_VALUE"""),"0.0")</f>
        <v>0.0</v>
      </c>
      <c r="J38" s="10" t="str">
        <f ca="1">IFERROR(__xludf.DUMMYFUNCTION("""COMPUTED_VALUE"""),"Não")</f>
        <v>Não</v>
      </c>
      <c r="K38" s="12">
        <f ca="1">IFERROR(__xludf.DUMMYFUNCTION("""COMPUTED_VALUE"""),46051)</f>
        <v>46051</v>
      </c>
      <c r="L38" s="13">
        <f ca="1">IFERROR(__xludf.DUMMYFUNCTION("""COMPUTED_VALUE"""),0.416666666666666)</f>
        <v>0.41666666666666602</v>
      </c>
      <c r="M38" s="10"/>
      <c r="N38" s="10"/>
      <c r="O38" s="10"/>
      <c r="P38" s="10"/>
      <c r="Q38" s="10"/>
      <c r="R38" s="10"/>
      <c r="S38" s="10"/>
      <c r="T38" s="12">
        <f ca="1">IFERROR(__xludf.DUMMYFUNCTION("""COMPUTED_VALUE"""),46055)</f>
        <v>46055</v>
      </c>
      <c r="U38" s="13">
        <f ca="1">IFERROR(__xludf.DUMMYFUNCTION("""COMPUTED_VALUE"""),0.418055555555555)</f>
        <v>0.41805555555555501</v>
      </c>
      <c r="V38" s="10" t="str">
        <f ca="1">IFERROR(__xludf.DUMMYFUNCTION("""COMPUTED_VALUE"""),". Prospecção ativa")</f>
        <v>. Prospecção ativa</v>
      </c>
      <c r="W38" s="10"/>
      <c r="X38" s="4" t="str">
        <f ca="1">IFERROR(__xludf.DUMMYFUNCTION("""COMPUTED_VALUE"""),"Mateus Calebi")</f>
        <v>Mateus Calebi</v>
      </c>
      <c r="Y38" s="10" t="str">
        <f ca="1">IFERROR(__xludf.DUMMYFUNCTION("""COMPUTED_VALUE"""),". Horizon Residence")</f>
        <v>. Horizon Residence</v>
      </c>
      <c r="Z38" s="10"/>
      <c r="AA38" s="10" t="str">
        <f ca="1">IFERROR(__xludf.DUMMYFUNCTION("""COMPUTED_VALUE"""),"Cliente optou por comprar outra unidade do Horizon Tipo 01 04 suítes.")</f>
        <v>Cliente optou por comprar outra unidade do Horizon Tipo 01 04 suítes.</v>
      </c>
      <c r="AB38" s="10"/>
      <c r="AC38" s="10"/>
      <c r="AD38" s="10"/>
      <c r="AE38" s="10"/>
      <c r="AF38" s="4" t="str">
        <f ca="1">IFERROR(__xludf.DUMMYFUNCTION("""COMPUTED_VALUE"""),"Gustavo Dal Piva")</f>
        <v>Gustavo Dal Piva</v>
      </c>
      <c r="AG38" s="10" t="str">
        <f ca="1">IFERROR(__xludf.DUMMYFUNCTION("""COMPUTED_VALUE"""),"Alta Nobreza")</f>
        <v>Alta Nobreza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 t="str">
        <f ca="1">IFERROR(__xludf.DUMMYFUNCTION("""COMPUTED_VALUE"""),"Mateus")</f>
        <v>Mateus</v>
      </c>
      <c r="BA38" s="10"/>
      <c r="BB38" s="10"/>
      <c r="BC38" s="10"/>
      <c r="BD38" s="10"/>
      <c r="BE38" s="10"/>
      <c r="BF38" s="10"/>
      <c r="BG38" s="10" t="str">
        <f ca="1">IFERROR(__xludf.DUMMYFUNCTION("""COMPUTED_VALUE"""),"Horizon Residence")</f>
        <v>Horizon Residence</v>
      </c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8">
        <f ca="1">IFERROR(__xludf.DUMMYFUNCTION("""COMPUTED_VALUE"""),3588000)</f>
        <v>3588000</v>
      </c>
      <c r="BT38" s="10"/>
      <c r="BU38" s="10"/>
      <c r="BV38" s="10"/>
      <c r="BW38" s="10"/>
      <c r="BX38" s="10"/>
      <c r="BY38" s="10"/>
      <c r="BZ38" s="10"/>
      <c r="CA38" s="10"/>
      <c r="CB38" s="10"/>
      <c r="CC38" s="10" t="str">
        <f ca="1">IFERROR(__xludf.DUMMYFUNCTION("""COMPUTED_VALUE"""),"Corretores")</f>
        <v>Corretores</v>
      </c>
      <c r="CD38" s="10"/>
      <c r="CE38" s="10" t="str">
        <f ca="1">IFERROR(__xludf.DUMMYFUNCTION("""COMPUTED_VALUE"""),"Brasil")</f>
        <v>Brasil</v>
      </c>
      <c r="CF38" s="10" t="str">
        <f ca="1">IFERROR(__xludf.DUMMYFUNCTION("""COMPUTED_VALUE"""),"Itajai")</f>
        <v>Itajai</v>
      </c>
      <c r="CG38" s="10"/>
      <c r="CH38" s="10"/>
      <c r="CI38" s="10"/>
      <c r="CJ38" s="10" t="str">
        <f ca="1">IFERROR(__xludf.DUMMYFUNCTION("""COMPUTED_VALUE"""),"Santa Catarina (SC)")</f>
        <v>Santa Catarina (SC)</v>
      </c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 t="str">
        <f ca="1">IFERROR(__xludf.DUMMYFUNCTION("""COMPUTED_VALUE"""),"Janeiro")</f>
        <v>Janeiro</v>
      </c>
      <c r="DD38" s="10"/>
      <c r="DE38" s="10"/>
      <c r="DF38" s="4" t="str">
        <f ca="1">IFERROR(__xludf.DUMMYFUNCTION("""COMPUTED_VALUE"""),"Janeiro")</f>
        <v>Janeiro</v>
      </c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</row>
    <row r="39" spans="1:121">
      <c r="A39" s="4" t="str">
        <f ca="1">IFERROR(__xludf.DUMMYFUNCTION("""COMPUTED_VALUE"""),"Leide")</f>
        <v>Leide</v>
      </c>
      <c r="B39" s="4" t="str">
        <f ca="1">IFERROR(__xludf.DUMMYFUNCTION("""COMPUTED_VALUE"""),"Cleiton Farias")</f>
        <v>Cleiton Farias</v>
      </c>
      <c r="C39" s="10">
        <f ca="1">IFERROR(__xludf.DUMMYFUNCTION("""COMPUTED_VALUE"""),1)</f>
        <v>1</v>
      </c>
      <c r="D39" s="10" t="str">
        <f ca="1">IFERROR(__xludf.DUMMYFUNCTION("""COMPUTED_VALUE"""),"Funil de Vendas - Novo")</f>
        <v>Funil de Vendas - Novo</v>
      </c>
      <c r="E39" s="10" t="str">
        <f ca="1">IFERROR(__xludf.DUMMYFUNCTION("""COMPUTED_VALUE"""),"Negociação")</f>
        <v>Negociação</v>
      </c>
      <c r="F39" s="10" t="str">
        <f ca="1">IFERROR(__xludf.DUMMYFUNCTION("""COMPUTED_VALUE"""),"Perdida")</f>
        <v>Perdida</v>
      </c>
      <c r="G39" s="10" t="str">
        <f ca="1">IFERROR(__xludf.DUMMYFUNCTION("""COMPUTED_VALUE"""),"Sem poder de compra")</f>
        <v>Sem poder de compra</v>
      </c>
      <c r="H39" s="11" t="str">
        <f ca="1">IFERROR(__xludf.DUMMYFUNCTION("""COMPUTED_VALUE"""),"6200000.0")</f>
        <v>6200000.0</v>
      </c>
      <c r="I39" s="10" t="str">
        <f ca="1">IFERROR(__xludf.DUMMYFUNCTION("""COMPUTED_VALUE"""),"0.0")</f>
        <v>0.0</v>
      </c>
      <c r="J39" s="10" t="str">
        <f ca="1">IFERROR(__xludf.DUMMYFUNCTION("""COMPUTED_VALUE"""),"Não")</f>
        <v>Não</v>
      </c>
      <c r="K39" s="12">
        <f ca="1">IFERROR(__xludf.DUMMYFUNCTION("""COMPUTED_VALUE"""),46058)</f>
        <v>46058</v>
      </c>
      <c r="L39" s="13">
        <f ca="1">IFERROR(__xludf.DUMMYFUNCTION("""COMPUTED_VALUE"""),0.401388888888888)</f>
        <v>0.40138888888888802</v>
      </c>
      <c r="M39" s="10"/>
      <c r="N39" s="10"/>
      <c r="O39" s="10"/>
      <c r="P39" s="10"/>
      <c r="Q39" s="12"/>
      <c r="R39" s="13"/>
      <c r="S39" s="10"/>
      <c r="T39" s="12">
        <f ca="1">IFERROR(__xludf.DUMMYFUNCTION("""COMPUTED_VALUE"""),46058)</f>
        <v>46058</v>
      </c>
      <c r="U39" s="13">
        <f ca="1">IFERROR(__xludf.DUMMYFUNCTION("""COMPUTED_VALUE"""),0.404861111111111)</f>
        <v>0.40486111111111101</v>
      </c>
      <c r="V39" s="10" t="str">
        <f ca="1">IFERROR(__xludf.DUMMYFUNCTION("""COMPUTED_VALUE"""),". Relacionamento Corretores")</f>
        <v>. Relacionamento Corretores</v>
      </c>
      <c r="W39" s="10"/>
      <c r="X39" s="4" t="str">
        <f ca="1">IFERROR(__xludf.DUMMYFUNCTION("""COMPUTED_VALUE"""),"Suyane Cachoeira")</f>
        <v>Suyane Cachoeira</v>
      </c>
      <c r="Y39" s="10" t="str">
        <f ca="1">IFERROR(__xludf.DUMMYFUNCTION("""COMPUTED_VALUE"""),"Lady Di")</f>
        <v>Lady Di</v>
      </c>
      <c r="Z39" s="10"/>
      <c r="AA39" s="10" t="str">
        <f ca="1">IFERROR(__xludf.DUMMYFUNCTION("""COMPUTED_VALUE"""),"Está descapitalizada no momento para fazer o investimento, precisa vender dois imóveis para reinvestir.")</f>
        <v>Está descapitalizada no momento para fazer o investimento, precisa vender dois imóveis para reinvestir.</v>
      </c>
      <c r="AB39" s="10"/>
      <c r="AC39" s="10"/>
      <c r="AD39" s="10"/>
      <c r="AE39" s="10"/>
      <c r="AF39" s="4" t="str">
        <f ca="1">IFERROR(__xludf.DUMMYFUNCTION("""COMPUTED_VALUE"""),"Cleiton Farias")</f>
        <v>Cleiton Farias</v>
      </c>
      <c r="AG39" s="10" t="str">
        <f ca="1">IFERROR(__xludf.DUMMYFUNCTION("""COMPUTED_VALUE"""),"Nobre")</f>
        <v>Nobre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 t="str">
        <f ca="1">IFERROR(__xludf.DUMMYFUNCTION("""COMPUTED_VALUE"""),"Suyane")</f>
        <v>Suyane</v>
      </c>
      <c r="BA39" s="10"/>
      <c r="BB39" s="10"/>
      <c r="BC39" s="10"/>
      <c r="BD39" s="10"/>
      <c r="BE39" s="10"/>
      <c r="BF39" s="10"/>
      <c r="BG39" s="10" t="str">
        <f ca="1">IFERROR(__xludf.DUMMYFUNCTION("""COMPUTED_VALUE"""),"Lady Di")</f>
        <v>Lady Di</v>
      </c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8"/>
      <c r="BT39" s="10"/>
      <c r="BU39" s="10" t="str">
        <f ca="1">IFERROR(__xludf.DUMMYFUNCTION("""COMPUTED_VALUE"""),"Cliente Fluxo")</f>
        <v>Cliente Fluxo</v>
      </c>
      <c r="BV39" s="10"/>
      <c r="BW39" s="10"/>
      <c r="BX39" s="10"/>
      <c r="BY39" s="10"/>
      <c r="BZ39" s="10"/>
      <c r="CA39" s="10"/>
      <c r="CB39" s="10"/>
      <c r="CC39" s="10" t="str">
        <f ca="1">IFERROR(__xludf.DUMMYFUNCTION("""COMPUTED_VALUE"""),"Corretores")</f>
        <v>Corretores</v>
      </c>
      <c r="CD39" s="10"/>
      <c r="CE39" s="10" t="str">
        <f ca="1">IFERROR(__xludf.DUMMYFUNCTION("""COMPUTED_VALUE"""),"Brasil")</f>
        <v>Brasil</v>
      </c>
      <c r="CF39" s="10" t="str">
        <f ca="1">IFERROR(__xludf.DUMMYFUNCTION("""COMPUTED_VALUE"""),"Rio de Janeiro")</f>
        <v>Rio de Janeiro</v>
      </c>
      <c r="CG39" s="10"/>
      <c r="CH39" s="10"/>
      <c r="CI39" s="10"/>
      <c r="CJ39" s="10" t="str">
        <f ca="1">IFERROR(__xludf.DUMMYFUNCTION("""COMPUTED_VALUE"""),"Rio de Janeiro (RJ)")</f>
        <v>Rio de Janeiro (RJ)</v>
      </c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 t="str">
        <f ca="1">IFERROR(__xludf.DUMMYFUNCTION("""COMPUTED_VALUE"""),"Fevereiro")</f>
        <v>Fevereiro</v>
      </c>
      <c r="DD39" s="10"/>
      <c r="DE39" s="10"/>
      <c r="DF39" s="4" t="str">
        <f ca="1">IFERROR(__xludf.DUMMYFUNCTION("""COMPUTED_VALUE"""),"Fevereiro")</f>
        <v>Fevereiro</v>
      </c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</row>
    <row r="40" spans="1:121">
      <c r="A40" s="4" t="str">
        <f ca="1">IFERROR(__xludf.DUMMYFUNCTION("""COMPUTED_VALUE"""),"Leocir Menon")</f>
        <v>Leocir Menon</v>
      </c>
      <c r="B40" s="4" t="str">
        <f ca="1">IFERROR(__xludf.DUMMYFUNCTION("""COMPUTED_VALUE"""),"Leão Imóveis")</f>
        <v>Leão Imóveis</v>
      </c>
      <c r="C40" s="10">
        <f ca="1">IFERROR(__xludf.DUMMYFUNCTION("""COMPUTED_VALUE"""),2)</f>
        <v>2</v>
      </c>
      <c r="D40" s="10" t="str">
        <f ca="1">IFERROR(__xludf.DUMMYFUNCTION("""COMPUTED_VALUE"""),"Funil de Vendas - Novo")</f>
        <v>Funil de Vendas - Novo</v>
      </c>
      <c r="E40" s="10" t="str">
        <f ca="1">IFERROR(__xludf.DUMMYFUNCTION("""COMPUTED_VALUE"""),"Negociação")</f>
        <v>Negociação</v>
      </c>
      <c r="F40" s="10" t="str">
        <f ca="1">IFERROR(__xludf.DUMMYFUNCTION("""COMPUTED_VALUE"""),"Em Andamento")</f>
        <v>Em Andamento</v>
      </c>
      <c r="G40" s="10" t="str">
        <f ca="1">IFERROR(__xludf.DUMMYFUNCTION("""COMPUTED_VALUE"""),"Nada")</f>
        <v>Nada</v>
      </c>
      <c r="H40" s="11" t="str">
        <f ca="1">IFERROR(__xludf.DUMMYFUNCTION("""COMPUTED_VALUE"""),"0.0")</f>
        <v>0.0</v>
      </c>
      <c r="I40" s="10" t="str">
        <f ca="1">IFERROR(__xludf.DUMMYFUNCTION("""COMPUTED_VALUE"""),"0.0")</f>
        <v>0.0</v>
      </c>
      <c r="J40" s="10" t="str">
        <f ca="1">IFERROR(__xludf.DUMMYFUNCTION("""COMPUTED_VALUE"""),"Não")</f>
        <v>Não</v>
      </c>
      <c r="K40" s="12">
        <f ca="1">IFERROR(__xludf.DUMMYFUNCTION("""COMPUTED_VALUE"""),46066)</f>
        <v>46066</v>
      </c>
      <c r="L40" s="13">
        <f ca="1">IFERROR(__xludf.DUMMYFUNCTION("""COMPUTED_VALUE"""),0.410416666666666)</f>
        <v>0.41041666666666599</v>
      </c>
      <c r="M40" s="10"/>
      <c r="N40" s="10"/>
      <c r="O40" s="10"/>
      <c r="P40" s="10"/>
      <c r="Q40" s="12">
        <f ca="1">IFERROR(__xludf.DUMMYFUNCTION("""COMPUTED_VALUE"""),46092)</f>
        <v>46092</v>
      </c>
      <c r="R40" s="13">
        <f ca="1">IFERROR(__xludf.DUMMYFUNCTION("""COMPUTED_VALUE"""),0.413888888888888)</f>
        <v>0.41388888888888797</v>
      </c>
      <c r="S40" s="10"/>
      <c r="T40" s="10"/>
      <c r="U40" s="10"/>
      <c r="V40" s="10"/>
      <c r="W40" s="10"/>
      <c r="X40" s="4" t="str">
        <f ca="1">IFERROR(__xludf.DUMMYFUNCTION("""COMPUTED_VALUE"""),"Ricardo")</f>
        <v>Ricardo</v>
      </c>
      <c r="Y40" s="10"/>
      <c r="Z40" s="10"/>
      <c r="AA40" s="10"/>
      <c r="AB40" s="10"/>
      <c r="AC40" s="10"/>
      <c r="AD40" s="10"/>
      <c r="AE40" s="10"/>
      <c r="AF40" s="4" t="str">
        <f ca="1">IFERROR(__xludf.DUMMYFUNCTION("""COMPUTED_VALUE"""),"Junior Leão")</f>
        <v>Junior Leão</v>
      </c>
      <c r="AG40" s="10" t="str">
        <f ca="1">IFERROR(__xludf.DUMMYFUNCTION("""COMPUTED_VALUE"""),"Alta Nobreza")</f>
        <v>Alta Nobreza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 t="str">
        <f ca="1">IFERROR(__xludf.DUMMYFUNCTION("""COMPUTED_VALUE"""),"Ricardo")</f>
        <v>Ricardo</v>
      </c>
      <c r="BA40" s="10"/>
      <c r="BB40" s="10"/>
      <c r="BC40" s="10"/>
      <c r="BD40" s="10"/>
      <c r="BE40" s="10"/>
      <c r="BF40" s="10"/>
      <c r="BG40" s="10" t="str">
        <f ca="1">IFERROR(__xludf.DUMMYFUNCTION("""COMPUTED_VALUE"""),"Lady Di")</f>
        <v>Lady Di</v>
      </c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8"/>
      <c r="BT40" s="10"/>
      <c r="BU40" s="10" t="str">
        <f ca="1">IFERROR(__xludf.DUMMYFUNCTION("""COMPUTED_VALUE"""),"Cliente Cota Laje")</f>
        <v>Cliente Cota Laje</v>
      </c>
      <c r="BV40" s="10"/>
      <c r="BW40" s="10"/>
      <c r="BX40" s="10"/>
      <c r="BY40" s="10"/>
      <c r="BZ40" s="10"/>
      <c r="CA40" s="10"/>
      <c r="CB40" s="10"/>
      <c r="CC40" s="10" t="str">
        <f ca="1">IFERROR(__xludf.DUMMYFUNCTION("""COMPUTED_VALUE"""),"Corretores")</f>
        <v>Corretores</v>
      </c>
      <c r="CD40" s="10"/>
      <c r="CE40" s="10" t="str">
        <f ca="1">IFERROR(__xludf.DUMMYFUNCTION("""COMPUTED_VALUE"""),"Brasil")</f>
        <v>Brasil</v>
      </c>
      <c r="CF40" s="10" t="str">
        <f ca="1">IFERROR(__xludf.DUMMYFUNCTION("""COMPUTED_VALUE"""),"São Miguel do Iguaçu")</f>
        <v>São Miguel do Iguaçu</v>
      </c>
      <c r="CG40" s="10"/>
      <c r="CH40" s="10"/>
      <c r="CI40" s="10"/>
      <c r="CJ40" s="10" t="str">
        <f ca="1">IFERROR(__xludf.DUMMYFUNCTION("""COMPUTED_VALUE"""),"Paraná (PR)")</f>
        <v>Paraná (PR)</v>
      </c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4" t="str">
        <f ca="1">IFERROR(__xludf.DUMMYFUNCTION("""COMPUTED_VALUE"""),"Fevereiro")</f>
        <v>Fevereiro</v>
      </c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</row>
    <row r="41" spans="1:121">
      <c r="A41" s="4" t="str">
        <f ca="1">IFERROR(__xludf.DUMMYFUNCTION("""COMPUTED_VALUE"""),"Luan BC")</f>
        <v>Luan BC</v>
      </c>
      <c r="B41" s="4"/>
      <c r="C41" s="10">
        <f ca="1">IFERROR(__xludf.DUMMYFUNCTION("""COMPUTED_VALUE"""),3)</f>
        <v>3</v>
      </c>
      <c r="D41" s="10" t="str">
        <f ca="1">IFERROR(__xludf.DUMMYFUNCTION("""COMPUTED_VALUE"""),"Funil de Vendas - Novo")</f>
        <v>Funil de Vendas - Novo</v>
      </c>
      <c r="E41" s="10" t="str">
        <f ca="1">IFERROR(__xludf.DUMMYFUNCTION("""COMPUTED_VALUE"""),"Negociação")</f>
        <v>Negociação</v>
      </c>
      <c r="F41" s="10" t="str">
        <f ca="1">IFERROR(__xludf.DUMMYFUNCTION("""COMPUTED_VALUE"""),"Em Andamento")</f>
        <v>Em Andamento</v>
      </c>
      <c r="G41" s="10" t="str">
        <f ca="1">IFERROR(__xludf.DUMMYFUNCTION("""COMPUTED_VALUE"""),"Nada")</f>
        <v>Nada</v>
      </c>
      <c r="H41" s="11" t="str">
        <f ca="1">IFERROR(__xludf.DUMMYFUNCTION("""COMPUTED_VALUE"""),"3668000.0")</f>
        <v>3668000.0</v>
      </c>
      <c r="I41" s="10" t="str">
        <f ca="1">IFERROR(__xludf.DUMMYFUNCTION("""COMPUTED_VALUE"""),"0.0")</f>
        <v>0.0</v>
      </c>
      <c r="J41" s="10" t="str">
        <f ca="1">IFERROR(__xludf.DUMMYFUNCTION("""COMPUTED_VALUE"""),"Não")</f>
        <v>Não</v>
      </c>
      <c r="K41" s="12">
        <f ca="1">IFERROR(__xludf.DUMMYFUNCTION("""COMPUTED_VALUE"""),46090)</f>
        <v>46090</v>
      </c>
      <c r="L41" s="13">
        <f ca="1">IFERROR(__xludf.DUMMYFUNCTION("""COMPUTED_VALUE"""),0.571527777777777)</f>
        <v>0.57152777777777697</v>
      </c>
      <c r="M41" s="10"/>
      <c r="N41" s="10"/>
      <c r="O41" s="10"/>
      <c r="P41" s="10"/>
      <c r="Q41" s="12">
        <f ca="1">IFERROR(__xludf.DUMMYFUNCTION("""COMPUTED_VALUE"""),46097)</f>
        <v>46097</v>
      </c>
      <c r="R41" s="13">
        <f ca="1">IFERROR(__xludf.DUMMYFUNCTION("""COMPUTED_VALUE"""),0.574305555555555)</f>
        <v>0.57430555555555496</v>
      </c>
      <c r="S41" s="10"/>
      <c r="T41" s="10"/>
      <c r="U41" s="10"/>
      <c r="V41" s="10"/>
      <c r="W41" s="10"/>
      <c r="X41" s="4" t="str">
        <f ca="1">IFERROR(__xludf.DUMMYFUNCTION("""COMPUTED_VALUE"""),"Mateus Calebi")</f>
        <v>Mateus Calebi</v>
      </c>
      <c r="Y41" s="10" t="str">
        <f ca="1">IFERROR(__xludf.DUMMYFUNCTION("""COMPUTED_VALUE"""),". Príncipe Philip")</f>
        <v>. Príncipe Philip</v>
      </c>
      <c r="Z41" s="10"/>
      <c r="AA41" s="10"/>
      <c r="AB41" s="10"/>
      <c r="AC41" s="10"/>
      <c r="AD41" s="10"/>
      <c r="AE41" s="10"/>
      <c r="AF41" s="4" t="str">
        <f ca="1">IFERROR(__xludf.DUMMYFUNCTION("""COMPUTED_VALUE"""),"Robert Marques")</f>
        <v>Robert Marques</v>
      </c>
      <c r="AG41" s="10" t="str">
        <f ca="1">IFERROR(__xludf.DUMMYFUNCTION("""COMPUTED_VALUE"""),"Nobre")</f>
        <v>Nobre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 t="str">
        <f ca="1">IFERROR(__xludf.DUMMYFUNCTION("""COMPUTED_VALUE"""),"Príncipe Philip")</f>
        <v>Príncipe Philip</v>
      </c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8" t="str">
        <f ca="1">IFERROR(__xludf.DUMMYFUNCTION("""COMPUTED_VALUE"""),"R$ 3.668.000")</f>
        <v>R$ 3.668.000</v>
      </c>
      <c r="BT41" s="10"/>
      <c r="BU41" s="10"/>
      <c r="BV41" s="10"/>
      <c r="BW41" s="10"/>
      <c r="BX41" s="10"/>
      <c r="BY41" s="10"/>
      <c r="BZ41" s="10"/>
      <c r="CA41" s="10"/>
      <c r="CB41" s="10"/>
      <c r="CC41" s="10" t="str">
        <f ca="1">IFERROR(__xludf.DUMMYFUNCTION("""COMPUTED_VALUE"""),"Corretores")</f>
        <v>Corretores</v>
      </c>
      <c r="CD41" s="10"/>
      <c r="CE41" s="10" t="str">
        <f ca="1">IFERROR(__xludf.DUMMYFUNCTION("""COMPUTED_VALUE"""),"Brasil")</f>
        <v>Brasil</v>
      </c>
      <c r="CF41" s="10" t="str">
        <f ca="1">IFERROR(__xludf.DUMMYFUNCTION("""COMPUTED_VALUE"""),"Balneário Camboriú")</f>
        <v>Balneário Camboriú</v>
      </c>
      <c r="CG41" s="10"/>
      <c r="CH41" s="10"/>
      <c r="CI41" s="10"/>
      <c r="CJ41" s="10" t="str">
        <f ca="1">IFERROR(__xludf.DUMMYFUNCTION("""COMPUTED_VALUE"""),"Santa Catarina (SC)")</f>
        <v>Santa Catarina (SC)</v>
      </c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4" t="str">
        <f ca="1">IFERROR(__xludf.DUMMYFUNCTION("""COMPUTED_VALUE"""),"Março")</f>
        <v>Março</v>
      </c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</row>
    <row r="42" spans="1:121">
      <c r="A42" s="4" t="str">
        <f ca="1">IFERROR(__xludf.DUMMYFUNCTION("""COMPUTED_VALUE"""),"Luan de Almeida")</f>
        <v>Luan de Almeida</v>
      </c>
      <c r="B42" s="4" t="str">
        <f ca="1">IFERROR(__xludf.DUMMYFUNCTION("""COMPUTED_VALUE"""),"Ohmega")</f>
        <v>Ohmega</v>
      </c>
      <c r="C42" s="10">
        <f ca="1">IFERROR(__xludf.DUMMYFUNCTION("""COMPUTED_VALUE"""),5)</f>
        <v>5</v>
      </c>
      <c r="D42" s="10" t="str">
        <f ca="1">IFERROR(__xludf.DUMMYFUNCTION("""COMPUTED_VALUE"""),"Funil de Vendas - Novo")</f>
        <v>Funil de Vendas - Novo</v>
      </c>
      <c r="E42" s="10" t="str">
        <f ca="1">IFERROR(__xludf.DUMMYFUNCTION("""COMPUTED_VALUE"""),"Venda Finalizada")</f>
        <v>Venda Finalizada</v>
      </c>
      <c r="F42" s="10" t="str">
        <f ca="1">IFERROR(__xludf.DUMMYFUNCTION("""COMPUTED_VALUE"""),"Vendida")</f>
        <v>Vendida</v>
      </c>
      <c r="G42" s="10" t="str">
        <f ca="1">IFERROR(__xludf.DUMMYFUNCTION("""COMPUTED_VALUE"""),"Nada")</f>
        <v>Nada</v>
      </c>
      <c r="H42" s="11" t="str">
        <f ca="1">IFERROR(__xludf.DUMMYFUNCTION("""COMPUTED_VALUE"""),"1800000.0")</f>
        <v>1800000.0</v>
      </c>
      <c r="I42" s="10" t="str">
        <f ca="1">IFERROR(__xludf.DUMMYFUNCTION("""COMPUTED_VALUE"""),"0.0")</f>
        <v>0.0</v>
      </c>
      <c r="J42" s="10" t="str">
        <f ca="1">IFERROR(__xludf.DUMMYFUNCTION("""COMPUTED_VALUE"""),"Não")</f>
        <v>Não</v>
      </c>
      <c r="K42" s="12">
        <f ca="1">IFERROR(__xludf.DUMMYFUNCTION("""COMPUTED_VALUE"""),46062)</f>
        <v>46062</v>
      </c>
      <c r="L42" s="13">
        <f ca="1">IFERROR(__xludf.DUMMYFUNCTION("""COMPUTED_VALUE"""),0.622916666666666)</f>
        <v>0.62291666666666601</v>
      </c>
      <c r="M42" s="10"/>
      <c r="N42" s="10"/>
      <c r="O42" s="10"/>
      <c r="P42" s="10"/>
      <c r="Q42" s="12"/>
      <c r="R42" s="13"/>
      <c r="S42" s="10"/>
      <c r="T42" s="12">
        <f ca="1">IFERROR(__xludf.DUMMYFUNCTION("""COMPUTED_VALUE"""),46080)</f>
        <v>46080</v>
      </c>
      <c r="U42" s="13">
        <f ca="1">IFERROR(__xludf.DUMMYFUNCTION("""COMPUTED_VALUE"""),0.385416666666666)</f>
        <v>0.38541666666666602</v>
      </c>
      <c r="V42" s="10"/>
      <c r="W42" s="10"/>
      <c r="X42" s="4" t="str">
        <f ca="1">IFERROR(__xludf.DUMMYFUNCTION("""COMPUTED_VALUE"""),"Ricardo")</f>
        <v>Ricardo</v>
      </c>
      <c r="Y42" s="10" t="str">
        <f ca="1">IFERROR(__xludf.DUMMYFUNCTION("""COMPUTED_VALUE"""),"Le Voyage - 2101")</f>
        <v>Le Voyage - 2101</v>
      </c>
      <c r="Z42" s="10"/>
      <c r="AA42" s="10"/>
      <c r="AB42" s="10"/>
      <c r="AC42" s="10"/>
      <c r="AD42" s="10"/>
      <c r="AE42" s="10"/>
      <c r="AF42" s="4" t="str">
        <f ca="1">IFERROR(__xludf.DUMMYFUNCTION("""COMPUTED_VALUE"""),"Luan")</f>
        <v>Luan</v>
      </c>
      <c r="AG42" s="10" t="str">
        <f ca="1">IFERROR(__xludf.DUMMYFUNCTION("""COMPUTED_VALUE"""),"Nobre")</f>
        <v>Nobre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 t="str">
        <f ca="1">IFERROR(__xludf.DUMMYFUNCTION("""COMPUTED_VALUE"""),"-")</f>
        <v>-</v>
      </c>
      <c r="AT42" s="10"/>
      <c r="AU42" s="10"/>
      <c r="AV42" s="10"/>
      <c r="AW42" s="10"/>
      <c r="AX42" s="10"/>
      <c r="AY42" s="10"/>
      <c r="AZ42" s="10" t="str">
        <f ca="1">IFERROR(__xludf.DUMMYFUNCTION("""COMPUTED_VALUE"""),"Ricardo")</f>
        <v>Ricardo</v>
      </c>
      <c r="BA42" s="10"/>
      <c r="BB42" s="10"/>
      <c r="BC42" s="10"/>
      <c r="BD42" s="10"/>
      <c r="BE42" s="10"/>
      <c r="BF42" s="10"/>
      <c r="BG42" s="10" t="str">
        <f ca="1">IFERROR(__xludf.DUMMYFUNCTION("""COMPUTED_VALUE"""),"Le Voyage")</f>
        <v>Le Voyage</v>
      </c>
      <c r="BH42" s="10" t="str">
        <f ca="1">IFERROR(__xludf.DUMMYFUNCTION("""COMPUTED_VALUE"""),"-")</f>
        <v>-</v>
      </c>
      <c r="BI42" s="10"/>
      <c r="BJ42" s="10"/>
      <c r="BK42" s="10" t="str">
        <f ca="1">IFERROR(__xludf.DUMMYFUNCTION("""COMPUTED_VALUE"""),"-")</f>
        <v>-</v>
      </c>
      <c r="BL42" s="10"/>
      <c r="BM42" s="10"/>
      <c r="BN42" s="10"/>
      <c r="BO42" s="10"/>
      <c r="BP42" s="10"/>
      <c r="BQ42" s="10"/>
      <c r="BR42" s="10"/>
      <c r="BS42" s="8" t="str">
        <f ca="1">IFERROR(__xludf.DUMMYFUNCTION("""COMPUTED_VALUE"""),"R$1.800.000,00")</f>
        <v>R$1.800.000,00</v>
      </c>
      <c r="BT42" s="10"/>
      <c r="BU42" s="10"/>
      <c r="BV42" s="10"/>
      <c r="BW42" s="10"/>
      <c r="BX42" s="10"/>
      <c r="BY42" s="10"/>
      <c r="BZ42" s="10"/>
      <c r="CA42" s="10"/>
      <c r="CB42" s="10"/>
      <c r="CC42" s="10" t="str">
        <f ca="1">IFERROR(__xludf.DUMMYFUNCTION("""COMPUTED_VALUE"""),"Corretores")</f>
        <v>Corretores</v>
      </c>
      <c r="CD42" s="10">
        <f ca="1">IFERROR(__xludf.DUMMYFUNCTION("""COMPUTED_VALUE"""),2101)</f>
        <v>2101</v>
      </c>
      <c r="CE42" s="10" t="str">
        <f ca="1">IFERROR(__xludf.DUMMYFUNCTION("""COMPUTED_VALUE"""),"Brasil")</f>
        <v>Brasil</v>
      </c>
      <c r="CF42" s="10" t="str">
        <f ca="1">IFERROR(__xludf.DUMMYFUNCTION("""COMPUTED_VALUE"""),"Itapema")</f>
        <v>Itapema</v>
      </c>
      <c r="CG42" s="10"/>
      <c r="CH42" s="10" t="str">
        <f ca="1">IFERROR(__xludf.DUMMYFUNCTION("""COMPUTED_VALUE"""),"-")</f>
        <v>-</v>
      </c>
      <c r="CI42" s="10"/>
      <c r="CJ42" s="10" t="str">
        <f ca="1">IFERROR(__xludf.DUMMYFUNCTION("""COMPUTED_VALUE"""),"Santa Catarina (SC)")</f>
        <v>Santa Catarina (SC)</v>
      </c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4" t="str">
        <f ca="1">IFERROR(__xludf.DUMMYFUNCTION("""COMPUTED_VALUE"""),"Fevereiro")</f>
        <v>Fevereiro</v>
      </c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</row>
    <row r="43" spans="1:121">
      <c r="A43" s="4" t="str">
        <f ca="1">IFERROR(__xludf.DUMMYFUNCTION("""COMPUTED_VALUE"""),"Luiz Fernando")</f>
        <v>Luiz Fernando</v>
      </c>
      <c r="B43" s="4"/>
      <c r="C43" s="10">
        <f ca="1">IFERROR(__xludf.DUMMYFUNCTION("""COMPUTED_VALUE"""),1)</f>
        <v>1</v>
      </c>
      <c r="D43" s="10" t="str">
        <f ca="1">IFERROR(__xludf.DUMMYFUNCTION("""COMPUTED_VALUE"""),"Funil de Vendas - Novo")</f>
        <v>Funil de Vendas - Novo</v>
      </c>
      <c r="E43" s="10" t="str">
        <f ca="1">IFERROR(__xludf.DUMMYFUNCTION("""COMPUTED_VALUE"""),"Visita/Reunião")</f>
        <v>Visita/Reunião</v>
      </c>
      <c r="F43" s="10" t="str">
        <f ca="1">IFERROR(__xludf.DUMMYFUNCTION("""COMPUTED_VALUE"""),"Perdida")</f>
        <v>Perdida</v>
      </c>
      <c r="G43" s="10" t="str">
        <f ca="1">IFERROR(__xludf.DUMMYFUNCTION("""COMPUTED_VALUE"""),". Comprou com o concorrente")</f>
        <v>. Comprou com o concorrente</v>
      </c>
      <c r="H43" s="11" t="str">
        <f ca="1">IFERROR(__xludf.DUMMYFUNCTION("""COMPUTED_VALUE"""),"3788000.0")</f>
        <v>3788000.0</v>
      </c>
      <c r="I43" s="10" t="str">
        <f ca="1">IFERROR(__xludf.DUMMYFUNCTION("""COMPUTED_VALUE"""),"0.0")</f>
        <v>0.0</v>
      </c>
      <c r="J43" s="10" t="str">
        <f ca="1">IFERROR(__xludf.DUMMYFUNCTION("""COMPUTED_VALUE"""),"Não")</f>
        <v>Não</v>
      </c>
      <c r="K43" s="12">
        <f ca="1">IFERROR(__xludf.DUMMYFUNCTION("""COMPUTED_VALUE"""),46057)</f>
        <v>46057</v>
      </c>
      <c r="L43" s="13">
        <f ca="1">IFERROR(__xludf.DUMMYFUNCTION("""COMPUTED_VALUE"""),0.793055555555555)</f>
        <v>0.79305555555555496</v>
      </c>
      <c r="M43" s="10"/>
      <c r="N43" s="10"/>
      <c r="O43" s="10"/>
      <c r="P43" s="10"/>
      <c r="Q43" s="12"/>
      <c r="R43" s="13"/>
      <c r="S43" s="10"/>
      <c r="T43" s="12">
        <f ca="1">IFERROR(__xludf.DUMMYFUNCTION("""COMPUTED_VALUE"""),46057)</f>
        <v>46057</v>
      </c>
      <c r="U43" s="13">
        <f ca="1">IFERROR(__xludf.DUMMYFUNCTION("""COMPUTED_VALUE"""),0.795833333333333)</f>
        <v>0.79583333333333295</v>
      </c>
      <c r="V43" s="10"/>
      <c r="W43" s="10"/>
      <c r="X43" s="4" t="str">
        <f ca="1">IFERROR(__xludf.DUMMYFUNCTION("""COMPUTED_VALUE"""),"Mateus Calebi")</f>
        <v>Mateus Calebi</v>
      </c>
      <c r="Y43" s="10" t="str">
        <f ca="1">IFERROR(__xludf.DUMMYFUNCTION("""COMPUTED_VALUE"""),". Horizon Residence")</f>
        <v>. Horizon Residence</v>
      </c>
      <c r="Z43" s="10"/>
      <c r="AA43" s="10" t="str">
        <f ca="1">IFERROR(__xludf.DUMMYFUNCTION("""COMPUTED_VALUE"""),"Cliente comprou outra unidade por R$ 2.600.000")</f>
        <v>Cliente comprou outra unidade por R$ 2.600.000</v>
      </c>
      <c r="AB43" s="10"/>
      <c r="AC43" s="10"/>
      <c r="AD43" s="10"/>
      <c r="AE43" s="10"/>
      <c r="AF43" s="4" t="str">
        <f ca="1">IFERROR(__xludf.DUMMYFUNCTION("""COMPUTED_VALUE"""),"Fernando Erthal")</f>
        <v>Fernando Erthal</v>
      </c>
      <c r="AG43" s="10" t="str">
        <f ca="1">IFERROR(__xludf.DUMMYFUNCTION("""COMPUTED_VALUE"""),"Alta Nobreza")</f>
        <v>Alta Nobreza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 t="str">
        <f ca="1">IFERROR(__xludf.DUMMYFUNCTION("""COMPUTED_VALUE"""),"Horizon Residence")</f>
        <v>Horizon Residence</v>
      </c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8" t="str">
        <f ca="1">IFERROR(__xludf.DUMMYFUNCTION("""COMPUTED_VALUE"""),"R$ 3.788.000")</f>
        <v>R$ 3.788.000</v>
      </c>
      <c r="BT43" s="10"/>
      <c r="BU43" s="10"/>
      <c r="BV43" s="10"/>
      <c r="BW43" s="10"/>
      <c r="BX43" s="10"/>
      <c r="BY43" s="10"/>
      <c r="BZ43" s="10"/>
      <c r="CA43" s="10"/>
      <c r="CB43" s="10"/>
      <c r="CC43" s="10" t="str">
        <f ca="1">IFERROR(__xludf.DUMMYFUNCTION("""COMPUTED_VALUE"""),"Corretores")</f>
        <v>Corretores</v>
      </c>
      <c r="CD43" s="10"/>
      <c r="CE43" s="10" t="str">
        <f ca="1">IFERROR(__xludf.DUMMYFUNCTION("""COMPUTED_VALUE"""),"Brasil")</f>
        <v>Brasil</v>
      </c>
      <c r="CF43" s="10" t="str">
        <f ca="1">IFERROR(__xludf.DUMMYFUNCTION("""COMPUTED_VALUE"""),"Balneario camboriu")</f>
        <v>Balneario camboriu</v>
      </c>
      <c r="CG43" s="10"/>
      <c r="CH43" s="10"/>
      <c r="CI43" s="10"/>
      <c r="CJ43" s="10" t="str">
        <f ca="1">IFERROR(__xludf.DUMMYFUNCTION("""COMPUTED_VALUE"""),"Santa Catarina (SC)")</f>
        <v>Santa Catarina (SC)</v>
      </c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4" t="str">
        <f ca="1">IFERROR(__xludf.DUMMYFUNCTION("""COMPUTED_VALUE"""),"Fevereiro")</f>
        <v>Fevereiro</v>
      </c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</row>
    <row r="44" spans="1:121">
      <c r="A44" s="4" t="str">
        <f ca="1">IFERROR(__xludf.DUMMYFUNCTION("""COMPUTED_VALUE"""),"Marcello")</f>
        <v>Marcello</v>
      </c>
      <c r="B44" s="4" t="str">
        <f ca="1">IFERROR(__xludf.DUMMYFUNCTION("""COMPUTED_VALUE"""),"Esmeralda")</f>
        <v>Esmeralda</v>
      </c>
      <c r="C44" s="10">
        <f ca="1">IFERROR(__xludf.DUMMYFUNCTION("""COMPUTED_VALUE"""),3)</f>
        <v>3</v>
      </c>
      <c r="D44" s="10" t="str">
        <f ca="1">IFERROR(__xludf.DUMMYFUNCTION("""COMPUTED_VALUE"""),"Funil de Vendas - Novo")</f>
        <v>Funil de Vendas - Novo</v>
      </c>
      <c r="E44" s="10" t="str">
        <f ca="1">IFERROR(__xludf.DUMMYFUNCTION("""COMPUTED_VALUE"""),"Visita/Reunião")</f>
        <v>Visita/Reunião</v>
      </c>
      <c r="F44" s="10" t="str">
        <f ca="1">IFERROR(__xludf.DUMMYFUNCTION("""COMPUTED_VALUE"""),"Perdida")</f>
        <v>Perdida</v>
      </c>
      <c r="G44" s="10"/>
      <c r="H44" s="11" t="str">
        <f ca="1">IFERROR(__xludf.DUMMYFUNCTION("""COMPUTED_VALUE"""),"2900000.0")</f>
        <v>2900000.0</v>
      </c>
      <c r="I44" s="10" t="str">
        <f ca="1">IFERROR(__xludf.DUMMYFUNCTION("""COMPUTED_VALUE"""),"0.0")</f>
        <v>0.0</v>
      </c>
      <c r="J44" s="10" t="str">
        <f ca="1">IFERROR(__xludf.DUMMYFUNCTION("""COMPUTED_VALUE"""),"Não")</f>
        <v>Não</v>
      </c>
      <c r="K44" s="12">
        <f ca="1">IFERROR(__xludf.DUMMYFUNCTION("""COMPUTED_VALUE"""),46048)</f>
        <v>46048</v>
      </c>
      <c r="L44" s="13">
        <f ca="1">IFERROR(__xludf.DUMMYFUNCTION("""COMPUTED_VALUE"""),0.420138888888888)</f>
        <v>0.42013888888888801</v>
      </c>
      <c r="M44" s="10"/>
      <c r="N44" s="10"/>
      <c r="O44" s="10"/>
      <c r="P44" s="10"/>
      <c r="Q44" s="10"/>
      <c r="R44" s="10"/>
      <c r="S44" s="10"/>
      <c r="T44" s="12">
        <f ca="1">IFERROR(__xludf.DUMMYFUNCTION("""COMPUTED_VALUE"""),46048)</f>
        <v>46048</v>
      </c>
      <c r="U44" s="13">
        <f ca="1">IFERROR(__xludf.DUMMYFUNCTION("""COMPUTED_VALUE"""),0.459027777777777)</f>
        <v>0.45902777777777698</v>
      </c>
      <c r="V44" s="10" t="str">
        <f ca="1">IFERROR(__xludf.DUMMYFUNCTION("""COMPUTED_VALUE"""),". Relacionamento Corretores")</f>
        <v>. Relacionamento Corretores</v>
      </c>
      <c r="W44" s="10"/>
      <c r="X44" s="4" t="str">
        <f ca="1">IFERROR(__xludf.DUMMYFUNCTION("""COMPUTED_VALUE"""),"Ricardo")</f>
        <v>Ricardo</v>
      </c>
      <c r="Y44" s="10" t="str">
        <f ca="1">IFERROR(__xludf.DUMMYFUNCTION("""COMPUTED_VALUE"""),"Residencial Zimmermann 602-B")</f>
        <v>Residencial Zimmermann 602-B</v>
      </c>
      <c r="Z44" s="10"/>
      <c r="AA44" s="10" t="str">
        <f ca="1">IFERROR(__xludf.DUMMYFUNCTION("""COMPUTED_VALUE"""),"Clientes retornaram ao Paraguai e decidiram em família que não era o momento de investir. Falaram também que iriam segurar por questão do governo.")</f>
        <v>Clientes retornaram ao Paraguai e decidiram em família que não era o momento de investir. Falaram também que iriam segurar por questão do governo.</v>
      </c>
      <c r="AB44" s="10"/>
      <c r="AC44" s="10"/>
      <c r="AD44" s="10"/>
      <c r="AE44" s="10"/>
      <c r="AF44" s="4" t="str">
        <f ca="1">IFERROR(__xludf.DUMMYFUNCTION("""COMPUTED_VALUE"""),"Fábio Bulhões")</f>
        <v>Fábio Bulhões</v>
      </c>
      <c r="AG44" s="10" t="str">
        <f ca="1">IFERROR(__xludf.DUMMYFUNCTION("""COMPUTED_VALUE"""),"Alta Nobreza")</f>
        <v>Alta Nobreza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 t="str">
        <f ca="1">IFERROR(__xludf.DUMMYFUNCTION("""COMPUTED_VALUE"""),"Ricardo")</f>
        <v>Ricardo</v>
      </c>
      <c r="BA44" s="10"/>
      <c r="BB44" s="10"/>
      <c r="BC44" s="10"/>
      <c r="BD44" s="10"/>
      <c r="BE44" s="10"/>
      <c r="BF44" s="10"/>
      <c r="BG44" s="10" t="str">
        <f ca="1">IFERROR(__xludf.DUMMYFUNCTION("""COMPUTED_VALUE"""),"Zimmermann - 602-B")</f>
        <v>Zimmermann - 602-B</v>
      </c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8">
        <f ca="1">IFERROR(__xludf.DUMMYFUNCTION("""COMPUTED_VALUE"""),2900000)</f>
        <v>2900000</v>
      </c>
      <c r="BT44" s="10"/>
      <c r="BU44" s="10"/>
      <c r="BV44" s="10"/>
      <c r="BW44" s="10"/>
      <c r="BX44" s="10"/>
      <c r="BY44" s="10"/>
      <c r="BZ44" s="10"/>
      <c r="CA44" s="10"/>
      <c r="CB44" s="10"/>
      <c r="CC44" s="10" t="str">
        <f ca="1">IFERROR(__xludf.DUMMYFUNCTION("""COMPUTED_VALUE"""),"Corretores")</f>
        <v>Corretores</v>
      </c>
      <c r="CD44" s="10"/>
      <c r="CE44" s="10" t="str">
        <f ca="1">IFERROR(__xludf.DUMMYFUNCTION("""COMPUTED_VALUE"""),"Paraguai")</f>
        <v>Paraguai</v>
      </c>
      <c r="CF44" s="10" t="str">
        <f ca="1">IFERROR(__xludf.DUMMYFUNCTION("""COMPUTED_VALUE"""),"Assunção")</f>
        <v>Assunção</v>
      </c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4" t="str">
        <f ca="1">IFERROR(__xludf.DUMMYFUNCTION("""COMPUTED_VALUE"""),"Janeiro")</f>
        <v>Janeiro</v>
      </c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</row>
    <row r="45" spans="1:121">
      <c r="A45" s="4" t="str">
        <f ca="1">IFERROR(__xludf.DUMMYFUNCTION("""COMPUTED_VALUE"""),"Marcio")</f>
        <v>Marcio</v>
      </c>
      <c r="B45" s="4" t="str">
        <f ca="1">IFERROR(__xludf.DUMMYFUNCTION("""COMPUTED_VALUE"""),"Buture")</f>
        <v>Buture</v>
      </c>
      <c r="C45" s="10">
        <f ca="1">IFERROR(__xludf.DUMMYFUNCTION("""COMPUTED_VALUE"""),4)</f>
        <v>4</v>
      </c>
      <c r="D45" s="10" t="str">
        <f ca="1">IFERROR(__xludf.DUMMYFUNCTION("""COMPUTED_VALUE"""),"Funil de Vendas - Novo")</f>
        <v>Funil de Vendas - Novo</v>
      </c>
      <c r="E45" s="10" t="str">
        <f ca="1">IFERROR(__xludf.DUMMYFUNCTION("""COMPUTED_VALUE"""),"Proposta")</f>
        <v>Proposta</v>
      </c>
      <c r="F45" s="10" t="str">
        <f ca="1">IFERROR(__xludf.DUMMYFUNCTION("""COMPUTED_VALUE"""),"Em Andamento")</f>
        <v>Em Andamento</v>
      </c>
      <c r="G45" s="10" t="str">
        <f ca="1">IFERROR(__xludf.DUMMYFUNCTION("""COMPUTED_VALUE"""),"Nada")</f>
        <v>Nada</v>
      </c>
      <c r="H45" s="11" t="str">
        <f ca="1">IFERROR(__xludf.DUMMYFUNCTION("""COMPUTED_VALUE"""),"6628000.0")</f>
        <v>6628000.0</v>
      </c>
      <c r="I45" s="10" t="str">
        <f ca="1">IFERROR(__xludf.DUMMYFUNCTION("""COMPUTED_VALUE"""),"0.0")</f>
        <v>0.0</v>
      </c>
      <c r="J45" s="10" t="str">
        <f ca="1">IFERROR(__xludf.DUMMYFUNCTION("""COMPUTED_VALUE"""),"Não")</f>
        <v>Não</v>
      </c>
      <c r="K45" s="12">
        <f ca="1">IFERROR(__xludf.DUMMYFUNCTION("""COMPUTED_VALUE"""),46076)</f>
        <v>46076</v>
      </c>
      <c r="L45" s="13">
        <f ca="1">IFERROR(__xludf.DUMMYFUNCTION("""COMPUTED_VALUE"""),0.471527777777777)</f>
        <v>0.47152777777777699</v>
      </c>
      <c r="M45" s="10"/>
      <c r="N45" s="10"/>
      <c r="O45" s="10"/>
      <c r="P45" s="10"/>
      <c r="Q45" s="12">
        <f ca="1">IFERROR(__xludf.DUMMYFUNCTION("""COMPUTED_VALUE"""),46098)</f>
        <v>46098</v>
      </c>
      <c r="R45" s="13">
        <f ca="1">IFERROR(__xludf.DUMMYFUNCTION("""COMPUTED_VALUE"""),0.440277777777777)</f>
        <v>0.44027777777777699</v>
      </c>
      <c r="S45" s="10"/>
      <c r="T45" s="10"/>
      <c r="U45" s="10"/>
      <c r="V45" s="10" t="str">
        <f ca="1">IFERROR(__xludf.DUMMYFUNCTION("""COMPUTED_VALUE"""),". Relacionamento Corretores")</f>
        <v>. Relacionamento Corretores</v>
      </c>
      <c r="W45" s="10"/>
      <c r="X45" s="4" t="str">
        <f ca="1">IFERROR(__xludf.DUMMYFUNCTION("""COMPUTED_VALUE"""),"Suyane Cachoeira")</f>
        <v>Suyane Cachoeira</v>
      </c>
      <c r="Y45" s="10" t="str">
        <f ca="1">IFERROR(__xludf.DUMMYFUNCTION("""COMPUTED_VALUE"""),"Charles II")</f>
        <v>Charles II</v>
      </c>
      <c r="Z45" s="10"/>
      <c r="AA45" s="10"/>
      <c r="AB45" s="10"/>
      <c r="AC45" s="10"/>
      <c r="AD45" s="10"/>
      <c r="AE45" s="10"/>
      <c r="AF45" s="4" t="str">
        <f ca="1">IFERROR(__xludf.DUMMYFUNCTION("""COMPUTED_VALUE"""),"Gabriela Zaggo")</f>
        <v>Gabriela Zaggo</v>
      </c>
      <c r="AG45" s="10" t="str">
        <f ca="1">IFERROR(__xludf.DUMMYFUNCTION("""COMPUTED_VALUE"""),"Alta Nobreza")</f>
        <v>Alta Nobreza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 t="str">
        <f ca="1">IFERROR(__xludf.DUMMYFUNCTION("""COMPUTED_VALUE"""),"Suyane")</f>
        <v>Suyane</v>
      </c>
      <c r="BA45" s="10"/>
      <c r="BB45" s="10"/>
      <c r="BC45" s="10"/>
      <c r="BD45" s="10"/>
      <c r="BE45" s="10"/>
      <c r="BF45" s="10"/>
      <c r="BG45" s="10" t="str">
        <f ca="1">IFERROR(__xludf.DUMMYFUNCTION("""COMPUTED_VALUE"""),"Charles II")</f>
        <v>Charles II</v>
      </c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8"/>
      <c r="BT45" s="10"/>
      <c r="BU45" s="10"/>
      <c r="BV45" s="10"/>
      <c r="BW45" s="10"/>
      <c r="BX45" s="10"/>
      <c r="BY45" s="10"/>
      <c r="BZ45" s="10"/>
      <c r="CA45" s="10"/>
      <c r="CB45" s="10"/>
      <c r="CC45" s="10" t="str">
        <f ca="1">IFERROR(__xludf.DUMMYFUNCTION("""COMPUTED_VALUE"""),"Corretores")</f>
        <v>Corretores</v>
      </c>
      <c r="CD45" s="10">
        <f ca="1">IFERROR(__xludf.DUMMYFUNCTION("""COMPUTED_VALUE"""),3701)</f>
        <v>3701</v>
      </c>
      <c r="CE45" s="10" t="str">
        <f ca="1">IFERROR(__xludf.DUMMYFUNCTION("""COMPUTED_VALUE"""),"Brasil")</f>
        <v>Brasil</v>
      </c>
      <c r="CF45" s="10" t="str">
        <f ca="1">IFERROR(__xludf.DUMMYFUNCTION("""COMPUTED_VALUE"""),"Dionísio Cerqueira")</f>
        <v>Dionísio Cerqueira</v>
      </c>
      <c r="CG45" s="10"/>
      <c r="CH45" s="10"/>
      <c r="CI45" s="10"/>
      <c r="CJ45" s="10" t="str">
        <f ca="1">IFERROR(__xludf.DUMMYFUNCTION("""COMPUTED_VALUE"""),"Paraná (PR)")</f>
        <v>Paraná (PR)</v>
      </c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4" t="str">
        <f ca="1">IFERROR(__xludf.DUMMYFUNCTION("""COMPUTED_VALUE"""),"Março")</f>
        <v>Março</v>
      </c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</row>
    <row r="46" spans="1:121">
      <c r="A46" s="4" t="str">
        <f ca="1">IFERROR(__xludf.DUMMYFUNCTION("""COMPUTED_VALUE"""),"Marcos Leone")</f>
        <v>Marcos Leone</v>
      </c>
      <c r="B46" s="4" t="str">
        <f ca="1">IFERROR(__xludf.DUMMYFUNCTION("""COMPUTED_VALUE"""),"Ohmega")</f>
        <v>Ohmega</v>
      </c>
      <c r="C46" s="10">
        <f ca="1">IFERROR(__xludf.DUMMYFUNCTION("""COMPUTED_VALUE"""),2)</f>
        <v>2</v>
      </c>
      <c r="D46" s="10" t="str">
        <f ca="1">IFERROR(__xludf.DUMMYFUNCTION("""COMPUTED_VALUE"""),"Funil de Vendas - Novo")</f>
        <v>Funil de Vendas - Novo</v>
      </c>
      <c r="E46" s="10" t="str">
        <f ca="1">IFERROR(__xludf.DUMMYFUNCTION("""COMPUTED_VALUE"""),"Visita/Reunião")</f>
        <v>Visita/Reunião</v>
      </c>
      <c r="F46" s="10" t="str">
        <f ca="1">IFERROR(__xludf.DUMMYFUNCTION("""COMPUTED_VALUE"""),"Em Andamento")</f>
        <v>Em Andamento</v>
      </c>
      <c r="G46" s="10" t="str">
        <f ca="1">IFERROR(__xludf.DUMMYFUNCTION("""COMPUTED_VALUE"""),"Nada")</f>
        <v>Nada</v>
      </c>
      <c r="H46" s="11" t="str">
        <f ca="1">IFERROR(__xludf.DUMMYFUNCTION("""COMPUTED_VALUE"""),"0.0")</f>
        <v>0.0</v>
      </c>
      <c r="I46" s="10" t="str">
        <f ca="1">IFERROR(__xludf.DUMMYFUNCTION("""COMPUTED_VALUE"""),"0.0")</f>
        <v>0.0</v>
      </c>
      <c r="J46" s="10" t="str">
        <f ca="1">IFERROR(__xludf.DUMMYFUNCTION("""COMPUTED_VALUE"""),"Não")</f>
        <v>Não</v>
      </c>
      <c r="K46" s="12">
        <f ca="1">IFERROR(__xludf.DUMMYFUNCTION("""COMPUTED_VALUE"""),46045)</f>
        <v>46045</v>
      </c>
      <c r="L46" s="13">
        <f ca="1">IFERROR(__xludf.DUMMYFUNCTION("""COMPUTED_VALUE"""),0.696527777777777)</f>
        <v>0.69652777777777697</v>
      </c>
      <c r="M46" s="10"/>
      <c r="N46" s="10"/>
      <c r="O46" s="10"/>
      <c r="P46" s="10"/>
      <c r="Q46" s="12">
        <f ca="1">IFERROR(__xludf.DUMMYFUNCTION("""COMPUTED_VALUE"""),46070)</f>
        <v>46070</v>
      </c>
      <c r="R46" s="13">
        <f ca="1">IFERROR(__xludf.DUMMYFUNCTION("""COMPUTED_VALUE"""),0.416666666666666)</f>
        <v>0.41666666666666602</v>
      </c>
      <c r="S46" s="10"/>
      <c r="T46" s="10"/>
      <c r="U46" s="10"/>
      <c r="V46" s="10" t="str">
        <f ca="1">IFERROR(__xludf.DUMMYFUNCTION("""COMPUTED_VALUE"""),". Relacionamento Corretores")</f>
        <v>. Relacionamento Corretores</v>
      </c>
      <c r="W46" s="10"/>
      <c r="X46" s="4" t="str">
        <f ca="1">IFERROR(__xludf.DUMMYFUNCTION("""COMPUTED_VALUE"""),"Ricardo")</f>
        <v>Ricardo</v>
      </c>
      <c r="Y46" s="10" t="str">
        <f ca="1">IFERROR(__xludf.DUMMYFUNCTION("""COMPUTED_VALUE"""),"Charles II")</f>
        <v>Charles II</v>
      </c>
      <c r="Z46" s="10"/>
      <c r="AA46" s="10"/>
      <c r="AB46" s="10"/>
      <c r="AC46" s="10"/>
      <c r="AD46" s="10"/>
      <c r="AE46" s="10"/>
      <c r="AF46" s="4" t="str">
        <f ca="1">IFERROR(__xludf.DUMMYFUNCTION("""COMPUTED_VALUE"""),"Kauê Karraro")</f>
        <v>Kauê Karraro</v>
      </c>
      <c r="AG46" s="10" t="str">
        <f ca="1">IFERROR(__xludf.DUMMYFUNCTION("""COMPUTED_VALUE"""),"Alta Nobreza")</f>
        <v>Alta Nobreza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 t="str">
        <f ca="1">IFERROR(__xludf.DUMMYFUNCTION("""COMPUTED_VALUE"""),"Charles II")</f>
        <v>Charles II</v>
      </c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8"/>
      <c r="BT46" s="10"/>
      <c r="BU46" s="10"/>
      <c r="BV46" s="10"/>
      <c r="BW46" s="10"/>
      <c r="BX46" s="10"/>
      <c r="BY46" s="10"/>
      <c r="BZ46" s="10"/>
      <c r="CA46" s="10"/>
      <c r="CB46" s="10"/>
      <c r="CC46" s="10" t="str">
        <f ca="1">IFERROR(__xludf.DUMMYFUNCTION("""COMPUTED_VALUE"""),"Corretores")</f>
        <v>Corretores</v>
      </c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4" t="str">
        <f ca="1">IFERROR(__xludf.DUMMYFUNCTION("""COMPUTED_VALUE"""),"Janeiro")</f>
        <v>Janeiro</v>
      </c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</row>
    <row r="47" spans="1:121">
      <c r="A47" s="4" t="str">
        <f ca="1">IFERROR(__xludf.DUMMYFUNCTION("""COMPUTED_VALUE"""),"Maria Beatriz Tavares")</f>
        <v>Maria Beatriz Tavares</v>
      </c>
      <c r="B47" s="4" t="str">
        <f ca="1">IFERROR(__xludf.DUMMYFUNCTION("""COMPUTED_VALUE"""),"Esmeralda")</f>
        <v>Esmeralda</v>
      </c>
      <c r="C47" s="10">
        <f ca="1">IFERROR(__xludf.DUMMYFUNCTION("""COMPUTED_VALUE"""),5)</f>
        <v>5</v>
      </c>
      <c r="D47" s="10" t="str">
        <f ca="1">IFERROR(__xludf.DUMMYFUNCTION("""COMPUTED_VALUE"""),"Funil de Vendas - Novo")</f>
        <v>Funil de Vendas - Novo</v>
      </c>
      <c r="E47" s="10" t="str">
        <f ca="1">IFERROR(__xludf.DUMMYFUNCTION("""COMPUTED_VALUE"""),"Venda Finalizada")</f>
        <v>Venda Finalizada</v>
      </c>
      <c r="F47" s="10" t="str">
        <f ca="1">IFERROR(__xludf.DUMMYFUNCTION("""COMPUTED_VALUE"""),"Vendida")</f>
        <v>Vendida</v>
      </c>
      <c r="G47" s="10" t="str">
        <f ca="1">IFERROR(__xludf.DUMMYFUNCTION("""COMPUTED_VALUE"""),"Nada")</f>
        <v>Nada</v>
      </c>
      <c r="H47" s="11" t="str">
        <f ca="1">IFERROR(__xludf.DUMMYFUNCTION("""COMPUTED_VALUE"""),"2588000.0")</f>
        <v>2588000.0</v>
      </c>
      <c r="I47" s="10" t="str">
        <f ca="1">IFERROR(__xludf.DUMMYFUNCTION("""COMPUTED_VALUE"""),"0.0")</f>
        <v>0.0</v>
      </c>
      <c r="J47" s="10" t="str">
        <f ca="1">IFERROR(__xludf.DUMMYFUNCTION("""COMPUTED_VALUE"""),"Não")</f>
        <v>Não</v>
      </c>
      <c r="K47" s="12">
        <f ca="1">IFERROR(__xludf.DUMMYFUNCTION("""COMPUTED_VALUE"""),46069)</f>
        <v>46069</v>
      </c>
      <c r="L47" s="13">
        <f ca="1">IFERROR(__xludf.DUMMYFUNCTION("""COMPUTED_VALUE"""),0.381944444444444)</f>
        <v>0.38194444444444398</v>
      </c>
      <c r="M47" s="10"/>
      <c r="N47" s="10"/>
      <c r="O47" s="10"/>
      <c r="P47" s="10"/>
      <c r="Q47" s="12"/>
      <c r="R47" s="13"/>
      <c r="S47" s="10"/>
      <c r="T47" s="12">
        <f ca="1">IFERROR(__xludf.DUMMYFUNCTION("""COMPUTED_VALUE"""),46070)</f>
        <v>46070</v>
      </c>
      <c r="U47" s="13">
        <f ca="1">IFERROR(__xludf.DUMMYFUNCTION("""COMPUTED_VALUE"""),0.715972222222222)</f>
        <v>0.71597222222222201</v>
      </c>
      <c r="V47" s="10" t="str">
        <f ca="1">IFERROR(__xludf.DUMMYFUNCTION("""COMPUTED_VALUE"""),". Relacionamento Corretores")</f>
        <v>. Relacionamento Corretores</v>
      </c>
      <c r="W47" s="10"/>
      <c r="X47" s="4" t="str">
        <f ca="1">IFERROR(__xludf.DUMMYFUNCTION("""COMPUTED_VALUE"""),"Ricardo")</f>
        <v>Ricardo</v>
      </c>
      <c r="Y47" s="10" t="str">
        <f ca="1">IFERROR(__xludf.DUMMYFUNCTION("""COMPUTED_VALUE"""),"Residencial Zimmermann 602-B")</f>
        <v>Residencial Zimmermann 602-B</v>
      </c>
      <c r="Z47" s="10"/>
      <c r="AA47" s="10"/>
      <c r="AB47" s="10"/>
      <c r="AC47" s="10"/>
      <c r="AD47" s="10"/>
      <c r="AE47" s="10"/>
      <c r="AF47" s="4" t="str">
        <f ca="1">IFERROR(__xludf.DUMMYFUNCTION("""COMPUTED_VALUE"""),"Fabio Bulhões")</f>
        <v>Fabio Bulhões</v>
      </c>
      <c r="AG47" s="10" t="str">
        <f ca="1">IFERROR(__xludf.DUMMYFUNCTION("""COMPUTED_VALUE"""),"Alta Nobreza")</f>
        <v>Alta Nobreza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 t="str">
        <f ca="1">IFERROR(__xludf.DUMMYFUNCTION("""COMPUTED_VALUE"""),"Empresa pecuária")</f>
        <v>Empresa pecuária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 t="str">
        <f ca="1">IFERROR(__xludf.DUMMYFUNCTION("""COMPUTED_VALUE"""),"Zimmermann - 602-B")</f>
        <v>Zimmermann - 602-B</v>
      </c>
      <c r="BH47" s="12">
        <f ca="1">IFERROR(__xludf.DUMMYFUNCTION("""COMPUTED_VALUE"""),14697)</f>
        <v>14697</v>
      </c>
      <c r="BI47" s="10"/>
      <c r="BJ47" s="10"/>
      <c r="BK47" s="10" t="str">
        <f ca="1">IFERROR(__xludf.DUMMYFUNCTION("""COMPUTED_VALUE"""),"Viajar")</f>
        <v>Viajar</v>
      </c>
      <c r="BL47" s="10"/>
      <c r="BM47" s="10"/>
      <c r="BN47" s="10"/>
      <c r="BO47" s="10"/>
      <c r="BP47" s="10"/>
      <c r="BQ47" s="10"/>
      <c r="BR47" s="10"/>
      <c r="BS47" s="8" t="str">
        <f ca="1">IFERROR(__xludf.DUMMYFUNCTION("""COMPUTED_VALUE"""),"R$2.588.000,00")</f>
        <v>R$2.588.000,00</v>
      </c>
      <c r="BT47" s="10"/>
      <c r="BU47" s="10"/>
      <c r="BV47" s="10"/>
      <c r="BW47" s="10"/>
      <c r="BX47" s="10"/>
      <c r="BY47" s="10"/>
      <c r="BZ47" s="10"/>
      <c r="CA47" s="10"/>
      <c r="CB47" s="10"/>
      <c r="CC47" s="10" t="str">
        <f ca="1">IFERROR(__xludf.DUMMYFUNCTION("""COMPUTED_VALUE"""),"Corretores")</f>
        <v>Corretores</v>
      </c>
      <c r="CD47" s="10" t="str">
        <f ca="1">IFERROR(__xludf.DUMMYFUNCTION("""COMPUTED_VALUE"""),"602B")</f>
        <v>602B</v>
      </c>
      <c r="CE47" s="10" t="str">
        <f ca="1">IFERROR(__xludf.DUMMYFUNCTION("""COMPUTED_VALUE"""),"Brasil")</f>
        <v>Brasil</v>
      </c>
      <c r="CF47" s="10" t="str">
        <f ca="1">IFERROR(__xludf.DUMMYFUNCTION("""COMPUTED_VALUE"""),"Camaquã")</f>
        <v>Camaquã</v>
      </c>
      <c r="CG47" s="10"/>
      <c r="CH47" s="10" t="str">
        <f ca="1">IFERROR(__xludf.DUMMYFUNCTION("""COMPUTED_VALUE"""),"-")</f>
        <v>-</v>
      </c>
      <c r="CI47" s="10"/>
      <c r="CJ47" s="10" t="str">
        <f ca="1">IFERROR(__xludf.DUMMYFUNCTION("""COMPUTED_VALUE"""),"Rio Grande do Sul (RS)")</f>
        <v>Rio Grande do Sul (RS)</v>
      </c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4" t="str">
        <f ca="1">IFERROR(__xludf.DUMMYFUNCTION("""COMPUTED_VALUE"""),"Fevereiro")</f>
        <v>Fevereiro</v>
      </c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</row>
    <row r="48" spans="1:121">
      <c r="A48" s="4" t="str">
        <f ca="1">IFERROR(__xludf.DUMMYFUNCTION("""COMPUTED_VALUE"""),"Marquinho Hofman")</f>
        <v>Marquinho Hofman</v>
      </c>
      <c r="B48" s="4"/>
      <c r="C48" s="10">
        <f ca="1">IFERROR(__xludf.DUMMYFUNCTION("""COMPUTED_VALUE"""),3)</f>
        <v>3</v>
      </c>
      <c r="D48" s="10" t="str">
        <f ca="1">IFERROR(__xludf.DUMMYFUNCTION("""COMPUTED_VALUE"""),"Funil de Vendas - Novo")</f>
        <v>Funil de Vendas - Novo</v>
      </c>
      <c r="E48" s="10" t="str">
        <f ca="1">IFERROR(__xludf.DUMMYFUNCTION("""COMPUTED_VALUE"""),"Proposta")</f>
        <v>Proposta</v>
      </c>
      <c r="F48" s="10" t="str">
        <f ca="1">IFERROR(__xludf.DUMMYFUNCTION("""COMPUTED_VALUE"""),"Em Andamento")</f>
        <v>Em Andamento</v>
      </c>
      <c r="G48" s="10" t="str">
        <f ca="1">IFERROR(__xludf.DUMMYFUNCTION("""COMPUTED_VALUE"""),"Nada")</f>
        <v>Nada</v>
      </c>
      <c r="H48" s="11" t="str">
        <f ca="1">IFERROR(__xludf.DUMMYFUNCTION("""COMPUTED_VALUE"""),"7738000.0")</f>
        <v>7738000.0</v>
      </c>
      <c r="I48" s="10" t="str">
        <f ca="1">IFERROR(__xludf.DUMMYFUNCTION("""COMPUTED_VALUE"""),"0.0")</f>
        <v>0.0</v>
      </c>
      <c r="J48" s="10" t="str">
        <f ca="1">IFERROR(__xludf.DUMMYFUNCTION("""COMPUTED_VALUE"""),"Não")</f>
        <v>Não</v>
      </c>
      <c r="K48" s="12">
        <f ca="1">IFERROR(__xludf.DUMMYFUNCTION("""COMPUTED_VALUE"""),46035)</f>
        <v>46035</v>
      </c>
      <c r="L48" s="13">
        <f ca="1">IFERROR(__xludf.DUMMYFUNCTION("""COMPUTED_VALUE"""),0.688888888888888)</f>
        <v>0.688888888888888</v>
      </c>
      <c r="M48" s="10"/>
      <c r="N48" s="10"/>
      <c r="O48" s="10"/>
      <c r="P48" s="10"/>
      <c r="Q48" s="12">
        <f ca="1">IFERROR(__xludf.DUMMYFUNCTION("""COMPUTED_VALUE"""),46059)</f>
        <v>46059</v>
      </c>
      <c r="R48" s="13">
        <f ca="1">IFERROR(__xludf.DUMMYFUNCTION("""COMPUTED_VALUE"""),0.385416666666666)</f>
        <v>0.38541666666666602</v>
      </c>
      <c r="S48" s="10"/>
      <c r="T48" s="10"/>
      <c r="U48" s="10"/>
      <c r="V48" s="10" t="str">
        <f ca="1">IFERROR(__xludf.DUMMYFUNCTION("""COMPUTED_VALUE"""),". Royal Club")</f>
        <v>. Royal Club</v>
      </c>
      <c r="W48" s="10"/>
      <c r="X48" s="4" t="str">
        <f ca="1">IFERROR(__xludf.DUMMYFUNCTION("""COMPUTED_VALUE"""),"Ricardo")</f>
        <v>Ricardo</v>
      </c>
      <c r="Y48" s="10" t="str">
        <f ca="1">IFERROR(__xludf.DUMMYFUNCTION("""COMPUTED_VALUE"""),"Charles II, Charles II")</f>
        <v>Charles II, Charles II</v>
      </c>
      <c r="Z48" s="10"/>
      <c r="AA48" s="10"/>
      <c r="AB48" s="10"/>
      <c r="AC48" s="10"/>
      <c r="AD48" s="10"/>
      <c r="AE48" s="10"/>
      <c r="AF48" s="4" t="str">
        <f ca="1">IFERROR(__xludf.DUMMYFUNCTION("""COMPUTED_VALUE"""),"Junior Leão")</f>
        <v>Junior Leão</v>
      </c>
      <c r="AG48" s="10" t="str">
        <f ca="1">IFERROR(__xludf.DUMMYFUNCTION("""COMPUTED_VALUE"""),"Alta Nobreza")</f>
        <v>Alta Nobreza</v>
      </c>
      <c r="AH48" s="10"/>
      <c r="AI48" s="10"/>
      <c r="AJ48" s="10"/>
      <c r="AK48" s="10"/>
      <c r="AL48" s="10"/>
      <c r="AM48" s="10" t="str">
        <f ca="1">IFERROR(__xludf.DUMMYFUNCTION("""COMPUTED_VALUE"""),"Negociação após Sunset")</f>
        <v>Negociação após Sunset</v>
      </c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 t="str">
        <f ca="1">IFERROR(__xludf.DUMMYFUNCTION("""COMPUTED_VALUE"""),"Charles II")</f>
        <v>Charles II</v>
      </c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8">
        <f ca="1">IFERROR(__xludf.DUMMYFUNCTION("""COMPUTED_VALUE"""),7738000)</f>
        <v>7738000</v>
      </c>
      <c r="BT48" s="10"/>
      <c r="BU48" s="10"/>
      <c r="BV48" s="10"/>
      <c r="BW48" s="10"/>
      <c r="BX48" s="10"/>
      <c r="BY48" s="10"/>
      <c r="BZ48" s="10"/>
      <c r="CA48" s="10"/>
      <c r="CB48" s="10"/>
      <c r="CC48" s="10" t="str">
        <f ca="1">IFERROR(__xludf.DUMMYFUNCTION("""COMPUTED_VALUE"""),"Corretores")</f>
        <v>Corretores</v>
      </c>
      <c r="CD48" s="10"/>
      <c r="CE48" s="10" t="str">
        <f ca="1">IFERROR(__xludf.DUMMYFUNCTION("""COMPUTED_VALUE"""),"Brasil")</f>
        <v>Brasil</v>
      </c>
      <c r="CF48" s="10" t="str">
        <f ca="1">IFERROR(__xludf.DUMMYFUNCTION("""COMPUTED_VALUE"""),"Itapema")</f>
        <v>Itapema</v>
      </c>
      <c r="CG48" s="10"/>
      <c r="CH48" s="10"/>
      <c r="CI48" s="10"/>
      <c r="CJ48" s="10" t="str">
        <f ca="1">IFERROR(__xludf.DUMMYFUNCTION("""COMPUTED_VALUE"""),"Santa Catarina (SC)")</f>
        <v>Santa Catarina (SC)</v>
      </c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 t="str">
        <f ca="1">IFERROR(__xludf.DUMMYFUNCTION("""COMPUTED_VALUE"""),"Janeiro")</f>
        <v>Janeiro</v>
      </c>
      <c r="DD48" s="10"/>
      <c r="DE48" s="10"/>
      <c r="DF48" s="4" t="str">
        <f ca="1">IFERROR(__xludf.DUMMYFUNCTION("""COMPUTED_VALUE"""),"Janeiro")</f>
        <v>Janeiro</v>
      </c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</row>
    <row r="49" spans="1:121">
      <c r="A49" s="4" t="str">
        <f ca="1">IFERROR(__xludf.DUMMYFUNCTION("""COMPUTED_VALUE"""),"Martin Garrido")</f>
        <v>Martin Garrido</v>
      </c>
      <c r="B49" s="4"/>
      <c r="C49" s="10">
        <f ca="1">IFERROR(__xludf.DUMMYFUNCTION("""COMPUTED_VALUE"""),3)</f>
        <v>3</v>
      </c>
      <c r="D49" s="10" t="str">
        <f ca="1">IFERROR(__xludf.DUMMYFUNCTION("""COMPUTED_VALUE"""),"Funil de Vendas - Novo")</f>
        <v>Funil de Vendas - Novo</v>
      </c>
      <c r="E49" s="10" t="str">
        <f ca="1">IFERROR(__xludf.DUMMYFUNCTION("""COMPUTED_VALUE"""),"Proposta")</f>
        <v>Proposta</v>
      </c>
      <c r="F49" s="10" t="str">
        <f ca="1">IFERROR(__xludf.DUMMYFUNCTION("""COMPUTED_VALUE"""),"Em Andamento")</f>
        <v>Em Andamento</v>
      </c>
      <c r="G49" s="10" t="str">
        <f ca="1">IFERROR(__xludf.DUMMYFUNCTION("""COMPUTED_VALUE"""),"Nada")</f>
        <v>Nada</v>
      </c>
      <c r="H49" s="11" t="str">
        <f ca="1">IFERROR(__xludf.DUMMYFUNCTION("""COMPUTED_VALUE"""),"7838000.0")</f>
        <v>7838000.0</v>
      </c>
      <c r="I49" s="10" t="str">
        <f ca="1">IFERROR(__xludf.DUMMYFUNCTION("""COMPUTED_VALUE"""),"0.0")</f>
        <v>0.0</v>
      </c>
      <c r="J49" s="10" t="str">
        <f ca="1">IFERROR(__xludf.DUMMYFUNCTION("""COMPUTED_VALUE"""),"Não")</f>
        <v>Não</v>
      </c>
      <c r="K49" s="12">
        <f ca="1">IFERROR(__xludf.DUMMYFUNCTION("""COMPUTED_VALUE"""),46080)</f>
        <v>46080</v>
      </c>
      <c r="L49" s="13">
        <f ca="1">IFERROR(__xludf.DUMMYFUNCTION("""COMPUTED_VALUE"""),0.731944444444444)</f>
        <v>0.73194444444444395</v>
      </c>
      <c r="M49" s="10"/>
      <c r="N49" s="10"/>
      <c r="O49" s="10"/>
      <c r="P49" s="10"/>
      <c r="Q49" s="12">
        <f ca="1">IFERROR(__xludf.DUMMYFUNCTION("""COMPUTED_VALUE"""),46096)</f>
        <v>46096</v>
      </c>
      <c r="R49" s="13">
        <f ca="1">IFERROR(__xludf.DUMMYFUNCTION("""COMPUTED_VALUE"""),0.579861111111111)</f>
        <v>0.57986111111111105</v>
      </c>
      <c r="S49" s="10"/>
      <c r="T49" s="10"/>
      <c r="U49" s="10"/>
      <c r="V49" s="10" t="str">
        <f ca="1">IFERROR(__xludf.DUMMYFUNCTION("""COMPUTED_VALUE"""),". Relacionamento Corretores")</f>
        <v>. Relacionamento Corretores</v>
      </c>
      <c r="W49" s="10"/>
      <c r="X49" s="4" t="str">
        <f ca="1">IFERROR(__xludf.DUMMYFUNCTION("""COMPUTED_VALUE"""),"Suyane Cachoeira")</f>
        <v>Suyane Cachoeira</v>
      </c>
      <c r="Y49" s="10" t="str">
        <f ca="1">IFERROR(__xludf.DUMMYFUNCTION("""COMPUTED_VALUE"""),"Lady Di, Charles II")</f>
        <v>Lady Di, Charles II</v>
      </c>
      <c r="Z49" s="10"/>
      <c r="AA49" s="10"/>
      <c r="AB49" s="10"/>
      <c r="AC49" s="10"/>
      <c r="AD49" s="10"/>
      <c r="AE49" s="10"/>
      <c r="AF49" s="4" t="str">
        <f ca="1">IFERROR(__xludf.DUMMYFUNCTION("""COMPUTED_VALUE"""),"Barbara Goettems")</f>
        <v>Barbara Goettems</v>
      </c>
      <c r="AG49" s="10" t="str">
        <f ca="1">IFERROR(__xludf.DUMMYFUNCTION("""COMPUTED_VALUE"""),"Alta Nobreza")</f>
        <v>Alta Nobreza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 t="str">
        <f ca="1">IFERROR(__xludf.DUMMYFUNCTION("""COMPUTED_VALUE"""),"Suyane")</f>
        <v>Suyane</v>
      </c>
      <c r="BA49" s="10"/>
      <c r="BB49" s="10"/>
      <c r="BC49" s="10"/>
      <c r="BD49" s="10"/>
      <c r="BE49" s="10"/>
      <c r="BF49" s="10"/>
      <c r="BG49" s="10" t="str">
        <f ca="1">IFERROR(__xludf.DUMMYFUNCTION("""COMPUTED_VALUE"""),"Charles II")</f>
        <v>Charles II</v>
      </c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8" t="str">
        <f ca="1">IFERROR(__xludf.DUMMYFUNCTION("""COMPUTED_VALUE"""),"A definir")</f>
        <v>A definir</v>
      </c>
      <c r="BT49" s="10"/>
      <c r="BU49" s="10"/>
      <c r="BV49" s="10"/>
      <c r="BW49" s="10"/>
      <c r="BX49" s="10"/>
      <c r="BY49" s="10"/>
      <c r="BZ49" s="10"/>
      <c r="CA49" s="10"/>
      <c r="CB49" s="10"/>
      <c r="CC49" s="10" t="str">
        <f ca="1">IFERROR(__xludf.DUMMYFUNCTION("""COMPUTED_VALUE"""),"Corretores")</f>
        <v>Corretores</v>
      </c>
      <c r="CD49" s="10">
        <f ca="1">IFERROR(__xludf.DUMMYFUNCTION("""COMPUTED_VALUE"""),4502)</f>
        <v>4502</v>
      </c>
      <c r="CE49" s="10" t="str">
        <f ca="1">IFERROR(__xludf.DUMMYFUNCTION("""COMPUTED_VALUE"""),"Brasil")</f>
        <v>Brasil</v>
      </c>
      <c r="CF49" s="10" t="str">
        <f ca="1">IFERROR(__xludf.DUMMYFUNCTION("""COMPUTED_VALUE"""),"Balneário Camboriú")</f>
        <v>Balneário Camboriú</v>
      </c>
      <c r="CG49" s="10"/>
      <c r="CH49" s="10"/>
      <c r="CI49" s="10"/>
      <c r="CJ49" s="10" t="str">
        <f ca="1">IFERROR(__xludf.DUMMYFUNCTION("""COMPUTED_VALUE"""),"Santa Catarina (SC)")</f>
        <v>Santa Catarina (SC)</v>
      </c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4" t="str">
        <f ca="1">IFERROR(__xludf.DUMMYFUNCTION("""COMPUTED_VALUE"""),"Março")</f>
        <v>Março</v>
      </c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</row>
    <row r="50" spans="1:121">
      <c r="A50" s="4" t="str">
        <f ca="1">IFERROR(__xludf.DUMMYFUNCTION("""COMPUTED_VALUE"""),"Mauro Castillo Gaibar")</f>
        <v>Mauro Castillo Gaibar</v>
      </c>
      <c r="B50" s="4" t="str">
        <f ca="1">IFERROR(__xludf.DUMMYFUNCTION("""COMPUTED_VALUE"""),"Simone Duarte")</f>
        <v>Simone Duarte</v>
      </c>
      <c r="C50" s="10">
        <f ca="1">IFERROR(__xludf.DUMMYFUNCTION("""COMPUTED_VALUE"""),3)</f>
        <v>3</v>
      </c>
      <c r="D50" s="10" t="str">
        <f ca="1">IFERROR(__xludf.DUMMYFUNCTION("""COMPUTED_VALUE"""),"Funil de Vendas - Novo")</f>
        <v>Funil de Vendas - Novo</v>
      </c>
      <c r="E50" s="10" t="str">
        <f ca="1">IFERROR(__xludf.DUMMYFUNCTION("""COMPUTED_VALUE"""),"Negociação")</f>
        <v>Negociação</v>
      </c>
      <c r="F50" s="10" t="str">
        <f ca="1">IFERROR(__xludf.DUMMYFUNCTION("""COMPUTED_VALUE"""),"Em Andamento")</f>
        <v>Em Andamento</v>
      </c>
      <c r="G50" s="10" t="str">
        <f ca="1">IFERROR(__xludf.DUMMYFUNCTION("""COMPUTED_VALUE"""),"Nada")</f>
        <v>Nada</v>
      </c>
      <c r="H50" s="11" t="str">
        <f ca="1">IFERROR(__xludf.DUMMYFUNCTION("""COMPUTED_VALUE"""),"8438000.0")</f>
        <v>8438000.0</v>
      </c>
      <c r="I50" s="10" t="str">
        <f ca="1">IFERROR(__xludf.DUMMYFUNCTION("""COMPUTED_VALUE"""),"0.0")</f>
        <v>0.0</v>
      </c>
      <c r="J50" s="10" t="str">
        <f ca="1">IFERROR(__xludf.DUMMYFUNCTION("""COMPUTED_VALUE"""),"Não")</f>
        <v>Não</v>
      </c>
      <c r="K50" s="12">
        <f ca="1">IFERROR(__xludf.DUMMYFUNCTION("""COMPUTED_VALUE"""),46091)</f>
        <v>46091</v>
      </c>
      <c r="L50" s="13">
        <f ca="1">IFERROR(__xludf.DUMMYFUNCTION("""COMPUTED_VALUE"""),0.564583333333333)</f>
        <v>0.56458333333333299</v>
      </c>
      <c r="M50" s="10"/>
      <c r="N50" s="10"/>
      <c r="O50" s="10"/>
      <c r="P50" s="10"/>
      <c r="Q50" s="12">
        <f ca="1">IFERROR(__xludf.DUMMYFUNCTION("""COMPUTED_VALUE"""),46094)</f>
        <v>46094</v>
      </c>
      <c r="R50" s="13">
        <f ca="1">IFERROR(__xludf.DUMMYFUNCTION("""COMPUTED_VALUE"""),0.663194444444444)</f>
        <v>0.66319444444444398</v>
      </c>
      <c r="S50" s="10"/>
      <c r="T50" s="10"/>
      <c r="U50" s="10"/>
      <c r="V50" s="10" t="str">
        <f ca="1">IFERROR(__xludf.DUMMYFUNCTION("""COMPUTED_VALUE"""),". Relacionamento Corretores")</f>
        <v>. Relacionamento Corretores</v>
      </c>
      <c r="W50" s="10"/>
      <c r="X50" s="4" t="str">
        <f ca="1">IFERROR(__xludf.DUMMYFUNCTION("""COMPUTED_VALUE"""),"Suyane Cachoeira")</f>
        <v>Suyane Cachoeira</v>
      </c>
      <c r="Y50" s="10" t="str">
        <f ca="1">IFERROR(__xludf.DUMMYFUNCTION("""COMPUTED_VALUE"""),". Elizabeth II")</f>
        <v>. Elizabeth II</v>
      </c>
      <c r="Z50" s="10"/>
      <c r="AA50" s="10"/>
      <c r="AB50" s="10"/>
      <c r="AC50" s="10"/>
      <c r="AD50" s="10"/>
      <c r="AE50" s="10"/>
      <c r="AF50" s="4" t="str">
        <f ca="1">IFERROR(__xludf.DUMMYFUNCTION("""COMPUTED_VALUE"""),"Simone Duarte")</f>
        <v>Simone Duarte</v>
      </c>
      <c r="AG50" s="10" t="str">
        <f ca="1">IFERROR(__xludf.DUMMYFUNCTION("""COMPUTED_VALUE"""),"Alta Nobreza")</f>
        <v>Alta Nobreza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 t="str">
        <f ca="1">IFERROR(__xludf.DUMMYFUNCTION("""COMPUTED_VALUE"""),"Suyane")</f>
        <v>Suyane</v>
      </c>
      <c r="BA50" s="10"/>
      <c r="BB50" s="10"/>
      <c r="BC50" s="10"/>
      <c r="BD50" s="10"/>
      <c r="BE50" s="10"/>
      <c r="BF50" s="10"/>
      <c r="BG50" s="10" t="str">
        <f ca="1">IFERROR(__xludf.DUMMYFUNCTION("""COMPUTED_VALUE"""),"a Definir")</f>
        <v>a Definir</v>
      </c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8"/>
      <c r="BT50" s="10"/>
      <c r="BU50" s="10"/>
      <c r="BV50" s="10"/>
      <c r="BW50" s="10"/>
      <c r="BX50" s="10"/>
      <c r="BY50" s="10"/>
      <c r="BZ50" s="10"/>
      <c r="CA50" s="10"/>
      <c r="CB50" s="10"/>
      <c r="CC50" s="10" t="str">
        <f ca="1">IFERROR(__xludf.DUMMYFUNCTION("""COMPUTED_VALUE"""),"Corretores")</f>
        <v>Corretores</v>
      </c>
      <c r="CD50" s="10">
        <f ca="1">IFERROR(__xludf.DUMMYFUNCTION("""COMPUTED_VALUE"""),1901)</f>
        <v>1901</v>
      </c>
      <c r="CE50" s="10" t="str">
        <f ca="1">IFERROR(__xludf.DUMMYFUNCTION("""COMPUTED_VALUE"""),"Brasil")</f>
        <v>Brasil</v>
      </c>
      <c r="CF50" s="10" t="str">
        <f ca="1">IFERROR(__xludf.DUMMYFUNCTION("""COMPUTED_VALUE"""),"São Paulo")</f>
        <v>São Paulo</v>
      </c>
      <c r="CG50" s="10"/>
      <c r="CH50" s="10"/>
      <c r="CI50" s="10"/>
      <c r="CJ50" s="10" t="str">
        <f ca="1">IFERROR(__xludf.DUMMYFUNCTION("""COMPUTED_VALUE"""),"São Paulo (SP)")</f>
        <v>São Paulo (SP)</v>
      </c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4" t="str">
        <f ca="1">IFERROR(__xludf.DUMMYFUNCTION("""COMPUTED_VALUE"""),"Março")</f>
        <v>Março</v>
      </c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</row>
    <row r="51" spans="1:121">
      <c r="A51" s="4" t="str">
        <f ca="1">IFERROR(__xludf.DUMMYFUNCTION("""COMPUTED_VALUE"""),"Noronha")</f>
        <v>Noronha</v>
      </c>
      <c r="B51" s="4"/>
      <c r="C51" s="10">
        <f ca="1">IFERROR(__xludf.DUMMYFUNCTION("""COMPUTED_VALUE"""),4)</f>
        <v>4</v>
      </c>
      <c r="D51" s="10" t="str">
        <f ca="1">IFERROR(__xludf.DUMMYFUNCTION("""COMPUTED_VALUE"""),"Funil de Vendas - Novo")</f>
        <v>Funil de Vendas - Novo</v>
      </c>
      <c r="E51" s="10" t="str">
        <f ca="1">IFERROR(__xludf.DUMMYFUNCTION("""COMPUTED_VALUE"""),"Proposta")</f>
        <v>Proposta</v>
      </c>
      <c r="F51" s="10" t="str">
        <f ca="1">IFERROR(__xludf.DUMMYFUNCTION("""COMPUTED_VALUE"""),"Em Andamento")</f>
        <v>Em Andamento</v>
      </c>
      <c r="G51" s="10" t="str">
        <f ca="1">IFERROR(__xludf.DUMMYFUNCTION("""COMPUTED_VALUE"""),"Nada")</f>
        <v>Nada</v>
      </c>
      <c r="H51" s="11" t="str">
        <f ca="1">IFERROR(__xludf.DUMMYFUNCTION("""COMPUTED_VALUE"""),"9338000.0")</f>
        <v>9338000.0</v>
      </c>
      <c r="I51" s="10" t="str">
        <f ca="1">IFERROR(__xludf.DUMMYFUNCTION("""COMPUTED_VALUE"""),"0.0")</f>
        <v>0.0</v>
      </c>
      <c r="J51" s="10" t="str">
        <f ca="1">IFERROR(__xludf.DUMMYFUNCTION("""COMPUTED_VALUE"""),"Não")</f>
        <v>Não</v>
      </c>
      <c r="K51" s="12">
        <f ca="1">IFERROR(__xludf.DUMMYFUNCTION("""COMPUTED_VALUE"""),46034)</f>
        <v>46034</v>
      </c>
      <c r="L51" s="13">
        <f ca="1">IFERROR(__xludf.DUMMYFUNCTION("""COMPUTED_VALUE"""),0.383333333333333)</f>
        <v>0.38333333333333303</v>
      </c>
      <c r="M51" s="10"/>
      <c r="N51" s="10"/>
      <c r="O51" s="10"/>
      <c r="P51" s="10"/>
      <c r="Q51" s="12">
        <f ca="1">IFERROR(__xludf.DUMMYFUNCTION("""COMPUTED_VALUE"""),46052)</f>
        <v>46052</v>
      </c>
      <c r="R51" s="13">
        <f ca="1">IFERROR(__xludf.DUMMYFUNCTION("""COMPUTED_VALUE"""),0.604166666666666)</f>
        <v>0.60416666666666596</v>
      </c>
      <c r="S51" s="10"/>
      <c r="T51" s="10"/>
      <c r="U51" s="10"/>
      <c r="V51" s="10" t="str">
        <f ca="1">IFERROR(__xludf.DUMMYFUNCTION("""COMPUTED_VALUE"""),". Relacionamento Corretores")</f>
        <v>. Relacionamento Corretores</v>
      </c>
      <c r="W51" s="10"/>
      <c r="X51" s="4" t="str">
        <f ca="1">IFERROR(__xludf.DUMMYFUNCTION("""COMPUTED_VALUE"""),"Ricardo")</f>
        <v>Ricardo</v>
      </c>
      <c r="Y51" s="10" t="str">
        <f ca="1">IFERROR(__xludf.DUMMYFUNCTION("""COMPUTED_VALUE"""),"Charles II")</f>
        <v>Charles II</v>
      </c>
      <c r="Z51" s="10"/>
      <c r="AA51" s="10"/>
      <c r="AB51" s="10"/>
      <c r="AC51" s="10"/>
      <c r="AD51" s="10"/>
      <c r="AE51" s="10"/>
      <c r="AF51" s="4" t="str">
        <f ca="1">IFERROR(__xludf.DUMMYFUNCTION("""COMPUTED_VALUE"""),"Luan Almeida")</f>
        <v>Luan Almeida</v>
      </c>
      <c r="AG51" s="10" t="str">
        <f ca="1">IFERROR(__xludf.DUMMYFUNCTION("""COMPUTED_VALUE"""),"Nobre")</f>
        <v>Nobre</v>
      </c>
      <c r="AH51" s="10"/>
      <c r="AI51" s="10"/>
      <c r="AJ51" s="10"/>
      <c r="AK51" s="10"/>
      <c r="AL51" s="10"/>
      <c r="AM51" s="10" t="str">
        <f ca="1">IFERROR(__xludf.DUMMYFUNCTION("""COMPUTED_VALUE"""),"Negociação após Sunset;Almoço Relacionamento")</f>
        <v>Negociação após Sunset;Almoço Relacionamento</v>
      </c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 t="str">
        <f ca="1">IFERROR(__xludf.DUMMYFUNCTION("""COMPUTED_VALUE"""),"Ricardo")</f>
        <v>Ricardo</v>
      </c>
      <c r="BA51" s="10"/>
      <c r="BB51" s="10"/>
      <c r="BC51" s="10"/>
      <c r="BD51" s="10"/>
      <c r="BE51" s="10"/>
      <c r="BF51" s="10"/>
      <c r="BG51" s="10" t="str">
        <f ca="1">IFERROR(__xludf.DUMMYFUNCTION("""COMPUTED_VALUE"""),"Charles II")</f>
        <v>Charles II</v>
      </c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8"/>
      <c r="BT51" s="10"/>
      <c r="BU51" s="10"/>
      <c r="BV51" s="10"/>
      <c r="BW51" s="10"/>
      <c r="BX51" s="10"/>
      <c r="BY51" s="10"/>
      <c r="BZ51" s="10"/>
      <c r="CA51" s="10"/>
      <c r="CB51" s="10"/>
      <c r="CC51" s="10" t="str">
        <f ca="1">IFERROR(__xludf.DUMMYFUNCTION("""COMPUTED_VALUE"""),"Corretores")</f>
        <v>Corretores</v>
      </c>
      <c r="CD51" s="10"/>
      <c r="CE51" s="10" t="str">
        <f ca="1">IFERROR(__xludf.DUMMYFUNCTION("""COMPUTED_VALUE"""),"Brasil")</f>
        <v>Brasil</v>
      </c>
      <c r="CF51" s="10" t="str">
        <f ca="1">IFERROR(__xludf.DUMMYFUNCTION("""COMPUTED_VALUE"""),"Curitiba")</f>
        <v>Curitiba</v>
      </c>
      <c r="CG51" s="10"/>
      <c r="CH51" s="10"/>
      <c r="CI51" s="10"/>
      <c r="CJ51" s="10" t="str">
        <f ca="1">IFERROR(__xludf.DUMMYFUNCTION("""COMPUTED_VALUE"""),"Paraná (PR)")</f>
        <v>Paraná (PR)</v>
      </c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 t="str">
        <f ca="1">IFERROR(__xludf.DUMMYFUNCTION("""COMPUTED_VALUE"""),"Janeiro")</f>
        <v>Janeiro</v>
      </c>
      <c r="DD51" s="10"/>
      <c r="DE51" s="10"/>
      <c r="DF51" s="4" t="str">
        <f ca="1">IFERROR(__xludf.DUMMYFUNCTION("""COMPUTED_VALUE"""),"Janeiro")</f>
        <v>Janeiro</v>
      </c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</row>
    <row r="52" spans="1:121">
      <c r="A52" s="4" t="str">
        <f ca="1">IFERROR(__xludf.DUMMYFUNCTION("""COMPUTED_VALUE"""),"Omar Secchi")</f>
        <v>Omar Secchi</v>
      </c>
      <c r="B52" s="4"/>
      <c r="C52" s="10">
        <f ca="1">IFERROR(__xludf.DUMMYFUNCTION("""COMPUTED_VALUE"""),2)</f>
        <v>2</v>
      </c>
      <c r="D52" s="10" t="str">
        <f ca="1">IFERROR(__xludf.DUMMYFUNCTION("""COMPUTED_VALUE"""),"Funil de Vendas - Novo")</f>
        <v>Funil de Vendas - Novo</v>
      </c>
      <c r="E52" s="10" t="str">
        <f ca="1">IFERROR(__xludf.DUMMYFUNCTION("""COMPUTED_VALUE"""),"Proposta")</f>
        <v>Proposta</v>
      </c>
      <c r="F52" s="10" t="str">
        <f ca="1">IFERROR(__xludf.DUMMYFUNCTION("""COMPUTED_VALUE"""),"Em Andamento")</f>
        <v>Em Andamento</v>
      </c>
      <c r="G52" s="10" t="str">
        <f ca="1">IFERROR(__xludf.DUMMYFUNCTION("""COMPUTED_VALUE"""),"Nada")</f>
        <v>Nada</v>
      </c>
      <c r="H52" s="11" t="str">
        <f ca="1">IFERROR(__xludf.DUMMYFUNCTION("""COMPUTED_VALUE"""),"7938000.0")</f>
        <v>7938000.0</v>
      </c>
      <c r="I52" s="10" t="str">
        <f ca="1">IFERROR(__xludf.DUMMYFUNCTION("""COMPUTED_VALUE"""),"0.0")</f>
        <v>0.0</v>
      </c>
      <c r="J52" s="10" t="str">
        <f ca="1">IFERROR(__xludf.DUMMYFUNCTION("""COMPUTED_VALUE"""),"Não")</f>
        <v>Não</v>
      </c>
      <c r="K52" s="12">
        <f ca="1">IFERROR(__xludf.DUMMYFUNCTION("""COMPUTED_VALUE"""),46085)</f>
        <v>46085</v>
      </c>
      <c r="L52" s="13">
        <f ca="1">IFERROR(__xludf.DUMMYFUNCTION("""COMPUTED_VALUE"""),0.377083333333333)</f>
        <v>0.37708333333333299</v>
      </c>
      <c r="M52" s="10"/>
      <c r="N52" s="10"/>
      <c r="O52" s="10"/>
      <c r="P52" s="10"/>
      <c r="Q52" s="12">
        <f ca="1">IFERROR(__xludf.DUMMYFUNCTION("""COMPUTED_VALUE"""),46098)</f>
        <v>46098</v>
      </c>
      <c r="R52" s="13">
        <f ca="1">IFERROR(__xludf.DUMMYFUNCTION("""COMPUTED_VALUE"""),0.501388888888888)</f>
        <v>0.501388888888888</v>
      </c>
      <c r="S52" s="10"/>
      <c r="T52" s="10"/>
      <c r="U52" s="10"/>
      <c r="V52" s="10" t="str">
        <f ca="1">IFERROR(__xludf.DUMMYFUNCTION("""COMPUTED_VALUE"""),". Relacionamento Corretores")</f>
        <v>. Relacionamento Corretores</v>
      </c>
      <c r="W52" s="10"/>
      <c r="X52" s="4" t="str">
        <f ca="1">IFERROR(__xludf.DUMMYFUNCTION("""COMPUTED_VALUE"""),"Suyane Cachoeira")</f>
        <v>Suyane Cachoeira</v>
      </c>
      <c r="Y52" s="10" t="str">
        <f ca="1">IFERROR(__xludf.DUMMYFUNCTION("""COMPUTED_VALUE"""),"Charles II")</f>
        <v>Charles II</v>
      </c>
      <c r="Z52" s="10"/>
      <c r="AA52" s="10"/>
      <c r="AB52" s="10"/>
      <c r="AC52" s="10"/>
      <c r="AD52" s="10"/>
      <c r="AE52" s="10"/>
      <c r="AF52" s="4" t="str">
        <f ca="1">IFERROR(__xludf.DUMMYFUNCTION("""COMPUTED_VALUE"""),"Barbara Goettems")</f>
        <v>Barbara Goettems</v>
      </c>
      <c r="AG52" s="10" t="str">
        <f ca="1">IFERROR(__xludf.DUMMYFUNCTION("""COMPUTED_VALUE"""),"Alta Nobreza")</f>
        <v>Alta Nobreza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 t="str">
        <f ca="1">IFERROR(__xludf.DUMMYFUNCTION("""COMPUTED_VALUE"""),"Suyane")</f>
        <v>Suyane</v>
      </c>
      <c r="BA52" s="10"/>
      <c r="BB52" s="10"/>
      <c r="BC52" s="10"/>
      <c r="BD52" s="10"/>
      <c r="BE52" s="10"/>
      <c r="BF52" s="10"/>
      <c r="BG52" s="10" t="str">
        <f ca="1">IFERROR(__xludf.DUMMYFUNCTION("""COMPUTED_VALUE"""),"Charles II")</f>
        <v>Charles II</v>
      </c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8" t="str">
        <f ca="1">IFERROR(__xludf.DUMMYFUNCTION("""COMPUTED_VALUE"""),"A definir")</f>
        <v>A definir</v>
      </c>
      <c r="BT52" s="10"/>
      <c r="BU52" s="10"/>
      <c r="BV52" s="10"/>
      <c r="BW52" s="10"/>
      <c r="BX52" s="10"/>
      <c r="BY52" s="10"/>
      <c r="BZ52" s="10"/>
      <c r="CA52" s="10"/>
      <c r="CB52" s="10"/>
      <c r="CC52" s="10" t="str">
        <f ca="1">IFERROR(__xludf.DUMMYFUNCTION("""COMPUTED_VALUE"""),"Corretores")</f>
        <v>Corretores</v>
      </c>
      <c r="CD52" s="10"/>
      <c r="CE52" s="10" t="str">
        <f ca="1">IFERROR(__xludf.DUMMYFUNCTION("""COMPUTED_VALUE"""),"Brasil")</f>
        <v>Brasil</v>
      </c>
      <c r="CF52" s="10" t="str">
        <f ca="1">IFERROR(__xludf.DUMMYFUNCTION("""COMPUTED_VALUE"""),"Vacaria")</f>
        <v>Vacaria</v>
      </c>
      <c r="CG52" s="10"/>
      <c r="CH52" s="10"/>
      <c r="CI52" s="10"/>
      <c r="CJ52" s="10" t="str">
        <f ca="1">IFERROR(__xludf.DUMMYFUNCTION("""COMPUTED_VALUE"""),"Santa Catarina (SC)")</f>
        <v>Santa Catarina (SC)</v>
      </c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4" t="str">
        <f ca="1">IFERROR(__xludf.DUMMYFUNCTION("""COMPUTED_VALUE"""),"Março")</f>
        <v>Março</v>
      </c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</row>
    <row r="53" spans="1:121">
      <c r="A53" s="4" t="str">
        <f ca="1">IFERROR(__xludf.DUMMYFUNCTION("""COMPUTED_VALUE"""),"Robson e Jefferson")</f>
        <v>Robson e Jefferson</v>
      </c>
      <c r="B53" s="4" t="str">
        <f ca="1">IFERROR(__xludf.DUMMYFUNCTION("""COMPUTED_VALUE"""),"Ohmega")</f>
        <v>Ohmega</v>
      </c>
      <c r="C53" s="10">
        <f ca="1">IFERROR(__xludf.DUMMYFUNCTION("""COMPUTED_VALUE"""),1)</f>
        <v>1</v>
      </c>
      <c r="D53" s="10" t="str">
        <f ca="1">IFERROR(__xludf.DUMMYFUNCTION("""COMPUTED_VALUE"""),"Funil de Vendas - Novo")</f>
        <v>Funil de Vendas - Novo</v>
      </c>
      <c r="E53" s="10" t="str">
        <f ca="1">IFERROR(__xludf.DUMMYFUNCTION("""COMPUTED_VALUE"""),"Visita/Reunião")</f>
        <v>Visita/Reunião</v>
      </c>
      <c r="F53" s="10" t="str">
        <f ca="1">IFERROR(__xludf.DUMMYFUNCTION("""COMPUTED_VALUE"""),"Perdida")</f>
        <v>Perdida</v>
      </c>
      <c r="G53" s="10" t="str">
        <f ca="1">IFERROR(__xludf.DUMMYFUNCTION("""COMPUTED_VALUE"""),". Comprou com o concorrente")</f>
        <v>. Comprou com o concorrente</v>
      </c>
      <c r="H53" s="11" t="str">
        <f ca="1">IFERROR(__xludf.DUMMYFUNCTION("""COMPUTED_VALUE"""),"0.0")</f>
        <v>0.0</v>
      </c>
      <c r="I53" s="10" t="str">
        <f ca="1">IFERROR(__xludf.DUMMYFUNCTION("""COMPUTED_VALUE"""),"0.0")</f>
        <v>0.0</v>
      </c>
      <c r="J53" s="10" t="str">
        <f ca="1">IFERROR(__xludf.DUMMYFUNCTION("""COMPUTED_VALUE"""),"Não")</f>
        <v>Não</v>
      </c>
      <c r="K53" s="12">
        <f ca="1">IFERROR(__xludf.DUMMYFUNCTION("""COMPUTED_VALUE"""),46062)</f>
        <v>46062</v>
      </c>
      <c r="L53" s="13">
        <f ca="1">IFERROR(__xludf.DUMMYFUNCTION("""COMPUTED_VALUE"""),0.418055555555555)</f>
        <v>0.41805555555555501</v>
      </c>
      <c r="M53" s="10"/>
      <c r="N53" s="10"/>
      <c r="O53" s="10"/>
      <c r="P53" s="10"/>
      <c r="Q53" s="12"/>
      <c r="R53" s="13"/>
      <c r="S53" s="10"/>
      <c r="T53" s="12">
        <f ca="1">IFERROR(__xludf.DUMMYFUNCTION("""COMPUTED_VALUE"""),46065)</f>
        <v>46065</v>
      </c>
      <c r="U53" s="13">
        <f ca="1">IFERROR(__xludf.DUMMYFUNCTION("""COMPUTED_VALUE"""),0.776388888888888)</f>
        <v>0.77638888888888802</v>
      </c>
      <c r="V53" s="10" t="str">
        <f ca="1">IFERROR(__xludf.DUMMYFUNCTION("""COMPUTED_VALUE"""),". Relacionamento Corretores")</f>
        <v>. Relacionamento Corretores</v>
      </c>
      <c r="W53" s="10"/>
      <c r="X53" s="4" t="str">
        <f ca="1">IFERROR(__xludf.DUMMYFUNCTION("""COMPUTED_VALUE"""),"Ricardo")</f>
        <v>Ricardo</v>
      </c>
      <c r="Y53" s="10" t="str">
        <f ca="1">IFERROR(__xludf.DUMMYFUNCTION("""COMPUTED_VALUE"""),". Elizabeth II")</f>
        <v>. Elizabeth II</v>
      </c>
      <c r="Z53" s="10"/>
      <c r="AA53" s="10" t="str">
        <f ca="1">IFERROR(__xludf.DUMMYFUNCTION("""COMPUTED_VALUE"""),"Cliente comprou no prédio da Porsche da ABC.")</f>
        <v>Cliente comprou no prédio da Porsche da ABC.</v>
      </c>
      <c r="AB53" s="10"/>
      <c r="AC53" s="10"/>
      <c r="AD53" s="10"/>
      <c r="AE53" s="10"/>
      <c r="AF53" s="4" t="str">
        <f ca="1">IFERROR(__xludf.DUMMYFUNCTION("""COMPUTED_VALUE"""),"Luan Almeida")</f>
        <v>Luan Almeida</v>
      </c>
      <c r="AG53" s="10" t="str">
        <f ca="1">IFERROR(__xludf.DUMMYFUNCTION("""COMPUTED_VALUE"""),"Alta Nobreza")</f>
        <v>Alta Nobreza</v>
      </c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 t="str">
        <f ca="1">IFERROR(__xludf.DUMMYFUNCTION("""COMPUTED_VALUE"""),"Elizabeth II")</f>
        <v>Elizabeth II</v>
      </c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8"/>
      <c r="BT53" s="10"/>
      <c r="BU53" s="10"/>
      <c r="BV53" s="10"/>
      <c r="BW53" s="10"/>
      <c r="BX53" s="10"/>
      <c r="BY53" s="10"/>
      <c r="BZ53" s="10"/>
      <c r="CA53" s="10"/>
      <c r="CB53" s="10"/>
      <c r="CC53" s="10" t="str">
        <f ca="1">IFERROR(__xludf.DUMMYFUNCTION("""COMPUTED_VALUE"""),"Corretores")</f>
        <v>Corretores</v>
      </c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4" t="str">
        <f ca="1">IFERROR(__xludf.DUMMYFUNCTION("""COMPUTED_VALUE"""),"Fevereiro")</f>
        <v>Fevereiro</v>
      </c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</row>
    <row r="54" spans="1:121">
      <c r="A54" s="4" t="str">
        <f ca="1">IFERROR(__xludf.DUMMYFUNCTION("""COMPUTED_VALUE"""),"Ronaldo e Esposa")</f>
        <v>Ronaldo e Esposa</v>
      </c>
      <c r="B54" s="4"/>
      <c r="C54" s="10">
        <f ca="1">IFERROR(__xludf.DUMMYFUNCTION("""COMPUTED_VALUE"""),3)</f>
        <v>3</v>
      </c>
      <c r="D54" s="10" t="str">
        <f ca="1">IFERROR(__xludf.DUMMYFUNCTION("""COMPUTED_VALUE"""),"Funil de Vendas - Novo")</f>
        <v>Funil de Vendas - Novo</v>
      </c>
      <c r="E54" s="10" t="str">
        <f ca="1">IFERROR(__xludf.DUMMYFUNCTION("""COMPUTED_VALUE"""),"Negociação")</f>
        <v>Negociação</v>
      </c>
      <c r="F54" s="10" t="str">
        <f ca="1">IFERROR(__xludf.DUMMYFUNCTION("""COMPUTED_VALUE"""),"Em Andamento")</f>
        <v>Em Andamento</v>
      </c>
      <c r="G54" s="10" t="str">
        <f ca="1">IFERROR(__xludf.DUMMYFUNCTION("""COMPUTED_VALUE"""),"Nada")</f>
        <v>Nada</v>
      </c>
      <c r="H54" s="11" t="str">
        <f ca="1">IFERROR(__xludf.DUMMYFUNCTION("""COMPUTED_VALUE"""),"7838000.0")</f>
        <v>7838000.0</v>
      </c>
      <c r="I54" s="10" t="str">
        <f ca="1">IFERROR(__xludf.DUMMYFUNCTION("""COMPUTED_VALUE"""),"0.0")</f>
        <v>0.0</v>
      </c>
      <c r="J54" s="10" t="str">
        <f ca="1">IFERROR(__xludf.DUMMYFUNCTION("""COMPUTED_VALUE"""),"Não")</f>
        <v>Não</v>
      </c>
      <c r="K54" s="12">
        <f ca="1">IFERROR(__xludf.DUMMYFUNCTION("""COMPUTED_VALUE"""),46036)</f>
        <v>46036</v>
      </c>
      <c r="L54" s="13">
        <f ca="1">IFERROR(__xludf.DUMMYFUNCTION("""COMPUTED_VALUE"""),0.641666666666666)</f>
        <v>0.64166666666666605</v>
      </c>
      <c r="M54" s="10"/>
      <c r="N54" s="10"/>
      <c r="O54" s="10"/>
      <c r="P54" s="10"/>
      <c r="Q54" s="12">
        <f ca="1">IFERROR(__xludf.DUMMYFUNCTION("""COMPUTED_VALUE"""),46071)</f>
        <v>46071</v>
      </c>
      <c r="R54" s="13">
        <f ca="1">IFERROR(__xludf.DUMMYFUNCTION("""COMPUTED_VALUE"""),0.466666666666666)</f>
        <v>0.46666666666666601</v>
      </c>
      <c r="S54" s="10"/>
      <c r="T54" s="10"/>
      <c r="U54" s="10"/>
      <c r="V54" s="10" t="str">
        <f ca="1">IFERROR(__xludf.DUMMYFUNCTION("""COMPUTED_VALUE"""),". Relacionamento Corretores")</f>
        <v>. Relacionamento Corretores</v>
      </c>
      <c r="W54" s="10"/>
      <c r="X54" s="4" t="str">
        <f ca="1">IFERROR(__xludf.DUMMYFUNCTION("""COMPUTED_VALUE"""),"Mateus Calebi")</f>
        <v>Mateus Calebi</v>
      </c>
      <c r="Y54" s="10" t="str">
        <f ca="1">IFERROR(__xludf.DUMMYFUNCTION("""COMPUTED_VALUE"""),"Charles II")</f>
        <v>Charles II</v>
      </c>
      <c r="Z54" s="10"/>
      <c r="AA54" s="10"/>
      <c r="AB54" s="10"/>
      <c r="AC54" s="10"/>
      <c r="AD54" s="10"/>
      <c r="AE54" s="10"/>
      <c r="AF54" s="4" t="str">
        <f ca="1">IFERROR(__xludf.DUMMYFUNCTION("""COMPUTED_VALUE"""),"Diego Farensena")</f>
        <v>Diego Farensena</v>
      </c>
      <c r="AG54" s="10" t="str">
        <f ca="1">IFERROR(__xludf.DUMMYFUNCTION("""COMPUTED_VALUE"""),"Alta Nobreza")</f>
        <v>Alta Nobreza</v>
      </c>
      <c r="AH54" s="10"/>
      <c r="AI54" s="10"/>
      <c r="AJ54" s="10"/>
      <c r="AK54" s="10"/>
      <c r="AL54" s="10"/>
      <c r="AM54" s="10" t="str">
        <f ca="1">IFERROR(__xludf.DUMMYFUNCTION("""COMPUTED_VALUE"""),"Negociação pós almoço de relacionamento")</f>
        <v>Negociação pós almoço de relacionamento</v>
      </c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 t="str">
        <f ca="1">IFERROR(__xludf.DUMMYFUNCTION("""COMPUTED_VALUE"""),"Charles II")</f>
        <v>Charles II</v>
      </c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8">
        <f ca="1">IFERROR(__xludf.DUMMYFUNCTION("""COMPUTED_VALUE"""),7838000)</f>
        <v>7838000</v>
      </c>
      <c r="BT54" s="10"/>
      <c r="BU54" s="10"/>
      <c r="BV54" s="10"/>
      <c r="BW54" s="10"/>
      <c r="BX54" s="10"/>
      <c r="BY54" s="10"/>
      <c r="BZ54" s="10"/>
      <c r="CA54" s="10"/>
      <c r="CB54" s="10"/>
      <c r="CC54" s="10" t="str">
        <f ca="1">IFERROR(__xludf.DUMMYFUNCTION("""COMPUTED_VALUE"""),"Corretores")</f>
        <v>Corretores</v>
      </c>
      <c r="CD54" s="10"/>
      <c r="CE54" s="10" t="str">
        <f ca="1">IFERROR(__xludf.DUMMYFUNCTION("""COMPUTED_VALUE"""),"Brasil")</f>
        <v>Brasil</v>
      </c>
      <c r="CF54" s="10" t="str">
        <f ca="1">IFERROR(__xludf.DUMMYFUNCTION("""COMPUTED_VALUE"""),"Cuiabá")</f>
        <v>Cuiabá</v>
      </c>
      <c r="CG54" s="10"/>
      <c r="CH54" s="10"/>
      <c r="CI54" s="10"/>
      <c r="CJ54" s="10" t="str">
        <f ca="1">IFERROR(__xludf.DUMMYFUNCTION("""COMPUTED_VALUE"""),"Mato Grosso (MT)")</f>
        <v>Mato Grosso (MT)</v>
      </c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 t="str">
        <f ca="1">IFERROR(__xludf.DUMMYFUNCTION("""COMPUTED_VALUE"""),"Janeiro")</f>
        <v>Janeiro</v>
      </c>
      <c r="DD54" s="10"/>
      <c r="DE54" s="10"/>
      <c r="DF54" s="4" t="str">
        <f ca="1">IFERROR(__xludf.DUMMYFUNCTION("""COMPUTED_VALUE"""),"Janeiro")</f>
        <v>Janeiro</v>
      </c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</row>
    <row r="55" spans="1:121">
      <c r="A55" s="4" t="str">
        <f ca="1">IFERROR(__xludf.DUMMYFUNCTION("""COMPUTED_VALUE"""),"Rosana Senadora")</f>
        <v>Rosana Senadora</v>
      </c>
      <c r="B55" s="4" t="str">
        <f ca="1">IFERROR(__xludf.DUMMYFUNCTION("""COMPUTED_VALUE"""),"Josi Tomasi")</f>
        <v>Josi Tomasi</v>
      </c>
      <c r="C55" s="10">
        <f ca="1">IFERROR(__xludf.DUMMYFUNCTION("""COMPUTED_VALUE"""),3)</f>
        <v>3</v>
      </c>
      <c r="D55" s="10" t="str">
        <f ca="1">IFERROR(__xludf.DUMMYFUNCTION("""COMPUTED_VALUE"""),"Funil de Vendas - Novo")</f>
        <v>Funil de Vendas - Novo</v>
      </c>
      <c r="E55" s="10" t="str">
        <f ca="1">IFERROR(__xludf.DUMMYFUNCTION("""COMPUTED_VALUE"""),"Proposta")</f>
        <v>Proposta</v>
      </c>
      <c r="F55" s="10" t="str">
        <f ca="1">IFERROR(__xludf.DUMMYFUNCTION("""COMPUTED_VALUE"""),"Perdida")</f>
        <v>Perdida</v>
      </c>
      <c r="G55" s="10" t="str">
        <f ca="1">IFERROR(__xludf.DUMMYFUNCTION("""COMPUTED_VALUE"""),". Desistiu do investimento")</f>
        <v>. Desistiu do investimento</v>
      </c>
      <c r="H55" s="11" t="str">
        <f ca="1">IFERROR(__xludf.DUMMYFUNCTION("""COMPUTED_VALUE"""),"6843200.0")</f>
        <v>6843200.0</v>
      </c>
      <c r="I55" s="10" t="str">
        <f ca="1">IFERROR(__xludf.DUMMYFUNCTION("""COMPUTED_VALUE"""),"0.0")</f>
        <v>0.0</v>
      </c>
      <c r="J55" s="10" t="str">
        <f ca="1">IFERROR(__xludf.DUMMYFUNCTION("""COMPUTED_VALUE"""),"Não")</f>
        <v>Não</v>
      </c>
      <c r="K55" s="12">
        <f ca="1">IFERROR(__xludf.DUMMYFUNCTION("""COMPUTED_VALUE"""),46058)</f>
        <v>46058</v>
      </c>
      <c r="L55" s="13">
        <f ca="1">IFERROR(__xludf.DUMMYFUNCTION("""COMPUTED_VALUE"""),0.767361111111111)</f>
        <v>0.76736111111111105</v>
      </c>
      <c r="M55" s="10"/>
      <c r="N55" s="10"/>
      <c r="O55" s="10"/>
      <c r="P55" s="10"/>
      <c r="Q55" s="12"/>
      <c r="R55" s="13"/>
      <c r="S55" s="10"/>
      <c r="T55" s="12">
        <f ca="1">IFERROR(__xludf.DUMMYFUNCTION("""COMPUTED_VALUE"""),46085)</f>
        <v>46085</v>
      </c>
      <c r="U55" s="13">
        <f ca="1">IFERROR(__xludf.DUMMYFUNCTION("""COMPUTED_VALUE"""),0.581944444444444)</f>
        <v>0.58194444444444404</v>
      </c>
      <c r="V55" s="10" t="str">
        <f ca="1">IFERROR(__xludf.DUMMYFUNCTION("""COMPUTED_VALUE"""),". Relacionamento Corretores")</f>
        <v>. Relacionamento Corretores</v>
      </c>
      <c r="W55" s="10"/>
      <c r="X55" s="4" t="str">
        <f ca="1">IFERROR(__xludf.DUMMYFUNCTION("""COMPUTED_VALUE"""),"Suyane Cachoeira")</f>
        <v>Suyane Cachoeira</v>
      </c>
      <c r="Y55" s="10" t="str">
        <f ca="1">IFERROR(__xludf.DUMMYFUNCTION("""COMPUTED_VALUE"""),"Lady Di")</f>
        <v>Lady Di</v>
      </c>
      <c r="Z55" s="10"/>
      <c r="AA55" s="10" t="str">
        <f ca="1">IFERROR(__xludf.DUMMYFUNCTION("""COMPUTED_VALUE"""),"Desistiu do investimento, teve problemas pessoais e financeiras lá no MT e precisou desistir da ideia, mesmo querendo muito.")</f>
        <v>Desistiu do investimento, teve problemas pessoais e financeiras lá no MT e precisou desistir da ideia, mesmo querendo muito.</v>
      </c>
      <c r="AB55" s="10"/>
      <c r="AC55" s="10"/>
      <c r="AD55" s="10"/>
      <c r="AE55" s="10"/>
      <c r="AF55" s="4" t="str">
        <f ca="1">IFERROR(__xludf.DUMMYFUNCTION("""COMPUTED_VALUE"""),"Josi Palmasola")</f>
        <v>Josi Palmasola</v>
      </c>
      <c r="AG55" s="10" t="str">
        <f ca="1">IFERROR(__xludf.DUMMYFUNCTION("""COMPUTED_VALUE"""),"Alta Nobreza")</f>
        <v>Alta Nobreza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 t="str">
        <f ca="1">IFERROR(__xludf.DUMMYFUNCTION("""COMPUTED_VALUE"""),"Suyane")</f>
        <v>Suyane</v>
      </c>
      <c r="BA55" s="10"/>
      <c r="BB55" s="10"/>
      <c r="BC55" s="10"/>
      <c r="BD55" s="10"/>
      <c r="BE55" s="10"/>
      <c r="BF55" s="10"/>
      <c r="BG55" s="10" t="str">
        <f ca="1">IFERROR(__xludf.DUMMYFUNCTION("""COMPUTED_VALUE"""),"Lady Di")</f>
        <v>Lady Di</v>
      </c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8" t="str">
        <f ca="1">IFERROR(__xludf.DUMMYFUNCTION("""COMPUTED_VALUE"""),"A definir")</f>
        <v>A definir</v>
      </c>
      <c r="BT55" s="10"/>
      <c r="BU55" s="10"/>
      <c r="BV55" s="10"/>
      <c r="BW55" s="10"/>
      <c r="BX55" s="10"/>
      <c r="BY55" s="10"/>
      <c r="BZ55" s="10"/>
      <c r="CA55" s="10"/>
      <c r="CB55" s="10"/>
      <c r="CC55" s="10" t="str">
        <f ca="1">IFERROR(__xludf.DUMMYFUNCTION("""COMPUTED_VALUE"""),"Corretores")</f>
        <v>Corretores</v>
      </c>
      <c r="CD55" s="10" t="str">
        <f ca="1">IFERROR(__xludf.DUMMYFUNCTION("""COMPUTED_VALUE"""),"a definir")</f>
        <v>a definir</v>
      </c>
      <c r="CE55" s="10" t="str">
        <f ca="1">IFERROR(__xludf.DUMMYFUNCTION("""COMPUTED_VALUE"""),"Brasil")</f>
        <v>Brasil</v>
      </c>
      <c r="CF55" s="10" t="str">
        <f ca="1">IFERROR(__xludf.DUMMYFUNCTION("""COMPUTED_VALUE"""),"A definir")</f>
        <v>A definir</v>
      </c>
      <c r="CG55" s="10"/>
      <c r="CH55" s="10"/>
      <c r="CI55" s="10"/>
      <c r="CJ55" s="10" t="str">
        <f ca="1">IFERROR(__xludf.DUMMYFUNCTION("""COMPUTED_VALUE"""),"Mato Grosso (MT)")</f>
        <v>Mato Grosso (MT)</v>
      </c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4" t="str">
        <f ca="1">IFERROR(__xludf.DUMMYFUNCTION("""COMPUTED_VALUE"""),"Fevereiro")</f>
        <v>Fevereiro</v>
      </c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</row>
    <row r="56" spans="1:121">
      <c r="A56" s="4" t="str">
        <f ca="1">IFERROR(__xludf.DUMMYFUNCTION("""COMPUTED_VALUE"""),"Sandro")</f>
        <v>Sandro</v>
      </c>
      <c r="B56" s="4" t="str">
        <f ca="1">IFERROR(__xludf.DUMMYFUNCTION("""COMPUTED_VALUE"""),"Anna Vargas")</f>
        <v>Anna Vargas</v>
      </c>
      <c r="C56" s="10">
        <f ca="1">IFERROR(__xludf.DUMMYFUNCTION("""COMPUTED_VALUE"""),4)</f>
        <v>4</v>
      </c>
      <c r="D56" s="10" t="str">
        <f ca="1">IFERROR(__xludf.DUMMYFUNCTION("""COMPUTED_VALUE"""),"Funil de Vendas - Novo")</f>
        <v>Funil de Vendas - Novo</v>
      </c>
      <c r="E56" s="10" t="str">
        <f ca="1">IFERROR(__xludf.DUMMYFUNCTION("""COMPUTED_VALUE"""),"Proposta")</f>
        <v>Proposta</v>
      </c>
      <c r="F56" s="10" t="str">
        <f ca="1">IFERROR(__xludf.DUMMYFUNCTION("""COMPUTED_VALUE"""),"Em Andamento")</f>
        <v>Em Andamento</v>
      </c>
      <c r="G56" s="10" t="str">
        <f ca="1">IFERROR(__xludf.DUMMYFUNCTION("""COMPUTED_VALUE"""),"Nada")</f>
        <v>Nada</v>
      </c>
      <c r="H56" s="11" t="str">
        <f ca="1">IFERROR(__xludf.DUMMYFUNCTION("""COMPUTED_VALUE"""),"8038000.0")</f>
        <v>8038000.0</v>
      </c>
      <c r="I56" s="10" t="str">
        <f ca="1">IFERROR(__xludf.DUMMYFUNCTION("""COMPUTED_VALUE"""),"0.0")</f>
        <v>0.0</v>
      </c>
      <c r="J56" s="10" t="str">
        <f ca="1">IFERROR(__xludf.DUMMYFUNCTION("""COMPUTED_VALUE"""),"Não")</f>
        <v>Não</v>
      </c>
      <c r="K56" s="12">
        <f ca="1">IFERROR(__xludf.DUMMYFUNCTION("""COMPUTED_VALUE"""),46069)</f>
        <v>46069</v>
      </c>
      <c r="L56" s="13">
        <f ca="1">IFERROR(__xludf.DUMMYFUNCTION("""COMPUTED_VALUE"""),0.585416666666666)</f>
        <v>0.58541666666666603</v>
      </c>
      <c r="M56" s="10"/>
      <c r="N56" s="10"/>
      <c r="O56" s="10"/>
      <c r="P56" s="10"/>
      <c r="Q56" s="12">
        <f ca="1">IFERROR(__xludf.DUMMYFUNCTION("""COMPUTED_VALUE"""),46094)</f>
        <v>46094</v>
      </c>
      <c r="R56" s="13">
        <f ca="1">IFERROR(__xludf.DUMMYFUNCTION("""COMPUTED_VALUE"""),0.638194444444444)</f>
        <v>0.63819444444444395</v>
      </c>
      <c r="S56" s="10"/>
      <c r="T56" s="10"/>
      <c r="U56" s="10"/>
      <c r="V56" s="10" t="str">
        <f ca="1">IFERROR(__xludf.DUMMYFUNCTION("""COMPUTED_VALUE"""),". Relacionamento Corretores")</f>
        <v>. Relacionamento Corretores</v>
      </c>
      <c r="W56" s="10"/>
      <c r="X56" s="4" t="str">
        <f ca="1">IFERROR(__xludf.DUMMYFUNCTION("""COMPUTED_VALUE"""),"Suyane Cachoeira")</f>
        <v>Suyane Cachoeira</v>
      </c>
      <c r="Y56" s="10" t="str">
        <f ca="1">IFERROR(__xludf.DUMMYFUNCTION("""COMPUTED_VALUE"""),"Charles II")</f>
        <v>Charles II</v>
      </c>
      <c r="Z56" s="10"/>
      <c r="AA56" s="10"/>
      <c r="AB56" s="10"/>
      <c r="AC56" s="10"/>
      <c r="AD56" s="10"/>
      <c r="AE56" s="10"/>
      <c r="AF56" s="4" t="str">
        <f ca="1">IFERROR(__xludf.DUMMYFUNCTION("""COMPUTED_VALUE"""),"Anna Vargas")</f>
        <v>Anna Vargas</v>
      </c>
      <c r="AG56" s="10" t="str">
        <f ca="1">IFERROR(__xludf.DUMMYFUNCTION("""COMPUTED_VALUE"""),"Alta Nobreza")</f>
        <v>Alta Nobreza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 t="str">
        <f ca="1">IFERROR(__xludf.DUMMYFUNCTION("""COMPUTED_VALUE"""),"Suyane")</f>
        <v>Suyane</v>
      </c>
      <c r="BA56" s="10"/>
      <c r="BB56" s="10"/>
      <c r="BC56" s="10"/>
      <c r="BD56" s="10"/>
      <c r="BE56" s="10"/>
      <c r="BF56" s="10"/>
      <c r="BG56" s="10" t="str">
        <f ca="1">IFERROR(__xludf.DUMMYFUNCTION("""COMPUTED_VALUE"""),"Charles II")</f>
        <v>Charles II</v>
      </c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8" t="str">
        <f ca="1">IFERROR(__xludf.DUMMYFUNCTION("""COMPUTED_VALUE"""),"R$6.538.000,00")</f>
        <v>R$6.538.000,00</v>
      </c>
      <c r="BT56" s="10"/>
      <c r="BU56" s="10"/>
      <c r="BV56" s="10"/>
      <c r="BW56" s="10"/>
      <c r="BX56" s="10"/>
      <c r="BY56" s="10"/>
      <c r="BZ56" s="10"/>
      <c r="CA56" s="10"/>
      <c r="CB56" s="10"/>
      <c r="CC56" s="10" t="str">
        <f ca="1">IFERROR(__xludf.DUMMYFUNCTION("""COMPUTED_VALUE"""),"Corretores")</f>
        <v>Corretores</v>
      </c>
      <c r="CD56" s="10">
        <f ca="1">IFERROR(__xludf.DUMMYFUNCTION("""COMPUTED_VALUE"""),2901)</f>
        <v>2901</v>
      </c>
      <c r="CE56" s="10" t="str">
        <f ca="1">IFERROR(__xludf.DUMMYFUNCTION("""COMPUTED_VALUE"""),"Brasil")</f>
        <v>Brasil</v>
      </c>
      <c r="CF56" s="10" t="str">
        <f ca="1">IFERROR(__xludf.DUMMYFUNCTION("""COMPUTED_VALUE"""),"Blumenau")</f>
        <v>Blumenau</v>
      </c>
      <c r="CG56" s="10"/>
      <c r="CH56" s="10"/>
      <c r="CI56" s="10"/>
      <c r="CJ56" s="10" t="str">
        <f ca="1">IFERROR(__xludf.DUMMYFUNCTION("""COMPUTED_VALUE"""),"Santa Catarina (SC)")</f>
        <v>Santa Catarina (SC)</v>
      </c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4" t="str">
        <f ca="1">IFERROR(__xludf.DUMMYFUNCTION("""COMPUTED_VALUE"""),"Fevereiro")</f>
        <v>Fevereiro</v>
      </c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</row>
    <row r="57" spans="1:121">
      <c r="A57" s="4" t="str">
        <f ca="1">IFERROR(__xludf.DUMMYFUNCTION("""COMPUTED_VALUE"""),"Thiago")</f>
        <v>Thiago</v>
      </c>
      <c r="B57" s="4" t="str">
        <f ca="1">IFERROR(__xludf.DUMMYFUNCTION("""COMPUTED_VALUE"""),"Ohmega")</f>
        <v>Ohmega</v>
      </c>
      <c r="C57" s="10">
        <f ca="1">IFERROR(__xludf.DUMMYFUNCTION("""COMPUTED_VALUE"""),3)</f>
        <v>3</v>
      </c>
      <c r="D57" s="10" t="str">
        <f ca="1">IFERROR(__xludf.DUMMYFUNCTION("""COMPUTED_VALUE"""),"Funil de Vendas - Novo")</f>
        <v>Funil de Vendas - Novo</v>
      </c>
      <c r="E57" s="10" t="str">
        <f ca="1">IFERROR(__xludf.DUMMYFUNCTION("""COMPUTED_VALUE"""),"Negociação")</f>
        <v>Negociação</v>
      </c>
      <c r="F57" s="10" t="str">
        <f ca="1">IFERROR(__xludf.DUMMYFUNCTION("""COMPUTED_VALUE"""),"Em Andamento")</f>
        <v>Em Andamento</v>
      </c>
      <c r="G57" s="10" t="str">
        <f ca="1">IFERROR(__xludf.DUMMYFUNCTION("""COMPUTED_VALUE"""),"Nada")</f>
        <v>Nada</v>
      </c>
      <c r="H57" s="11" t="str">
        <f ca="1">IFERROR(__xludf.DUMMYFUNCTION("""COMPUTED_VALUE"""),"4750000.0")</f>
        <v>4750000.0</v>
      </c>
      <c r="I57" s="10" t="str">
        <f ca="1">IFERROR(__xludf.DUMMYFUNCTION("""COMPUTED_VALUE"""),"0.0")</f>
        <v>0.0</v>
      </c>
      <c r="J57" s="10" t="str">
        <f ca="1">IFERROR(__xludf.DUMMYFUNCTION("""COMPUTED_VALUE"""),"Não")</f>
        <v>Não</v>
      </c>
      <c r="K57" s="12">
        <f ca="1">IFERROR(__xludf.DUMMYFUNCTION("""COMPUTED_VALUE"""),46048)</f>
        <v>46048</v>
      </c>
      <c r="L57" s="13">
        <f ca="1">IFERROR(__xludf.DUMMYFUNCTION("""COMPUTED_VALUE"""),0.386805555555555)</f>
        <v>0.38680555555555501</v>
      </c>
      <c r="M57" s="10"/>
      <c r="N57" s="10"/>
      <c r="O57" s="10"/>
      <c r="P57" s="10"/>
      <c r="Q57" s="12">
        <f ca="1">IFERROR(__xludf.DUMMYFUNCTION("""COMPUTED_VALUE"""),46056)</f>
        <v>46056</v>
      </c>
      <c r="R57" s="13">
        <f ca="1">IFERROR(__xludf.DUMMYFUNCTION("""COMPUTED_VALUE"""),0.468055555555555)</f>
        <v>0.468055555555555</v>
      </c>
      <c r="S57" s="10"/>
      <c r="T57" s="10"/>
      <c r="U57" s="10"/>
      <c r="V57" s="10" t="str">
        <f ca="1">IFERROR(__xludf.DUMMYFUNCTION("""COMPUTED_VALUE"""),". Prospecção ativa")</f>
        <v>. Prospecção ativa</v>
      </c>
      <c r="W57" s="10"/>
      <c r="X57" s="4" t="str">
        <f ca="1">IFERROR(__xludf.DUMMYFUNCTION("""COMPUTED_VALUE"""),"Ricardo")</f>
        <v>Ricardo</v>
      </c>
      <c r="Y57" s="10" t="str">
        <f ca="1">IFERROR(__xludf.DUMMYFUNCTION("""COMPUTED_VALUE"""),"Charles II, Charles II")</f>
        <v>Charles II, Charles II</v>
      </c>
      <c r="Z57" s="10"/>
      <c r="AA57" s="10"/>
      <c r="AB57" s="10"/>
      <c r="AC57" s="10"/>
      <c r="AD57" s="10"/>
      <c r="AE57" s="10"/>
      <c r="AF57" s="4" t="str">
        <f ca="1">IFERROR(__xludf.DUMMYFUNCTION("""COMPUTED_VALUE"""),"Luan Almeida")</f>
        <v>Luan Almeida</v>
      </c>
      <c r="AG57" s="10" t="str">
        <f ca="1">IFERROR(__xludf.DUMMYFUNCTION("""COMPUTED_VALUE"""),"Alta Nobreza")</f>
        <v>Alta Nobreza</v>
      </c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 t="str">
        <f ca="1">IFERROR(__xludf.DUMMYFUNCTION("""COMPUTED_VALUE"""),"Ricardo")</f>
        <v>Ricardo</v>
      </c>
      <c r="BA57" s="10"/>
      <c r="BB57" s="10"/>
      <c r="BC57" s="10"/>
      <c r="BD57" s="10"/>
      <c r="BE57" s="10"/>
      <c r="BF57" s="10"/>
      <c r="BG57" s="10" t="str">
        <f ca="1">IFERROR(__xludf.DUMMYFUNCTION("""COMPUTED_VALUE"""),"Charles II")</f>
        <v>Charles II</v>
      </c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8">
        <f ca="1">IFERROR(__xludf.DUMMYFUNCTION("""COMPUTED_VALUE"""),7838000)</f>
        <v>7838000</v>
      </c>
      <c r="BT57" s="10"/>
      <c r="BU57" s="10"/>
      <c r="BV57" s="10"/>
      <c r="BW57" s="10"/>
      <c r="BX57" s="10"/>
      <c r="BY57" s="10"/>
      <c r="BZ57" s="10"/>
      <c r="CA57" s="10"/>
      <c r="CB57" s="10"/>
      <c r="CC57" s="10" t="str">
        <f ca="1">IFERROR(__xludf.DUMMYFUNCTION("""COMPUTED_VALUE"""),"Corretores")</f>
        <v>Corretores</v>
      </c>
      <c r="CD57" s="10"/>
      <c r="CE57" s="10" t="str">
        <f ca="1">IFERROR(__xludf.DUMMYFUNCTION("""COMPUTED_VALUE"""),"Brasil")</f>
        <v>Brasil</v>
      </c>
      <c r="CF57" s="10" t="str">
        <f ca="1">IFERROR(__xludf.DUMMYFUNCTION("""COMPUTED_VALUE"""),"Curitiba")</f>
        <v>Curitiba</v>
      </c>
      <c r="CG57" s="10"/>
      <c r="CH57" s="10"/>
      <c r="CI57" s="10"/>
      <c r="CJ57" s="10" t="str">
        <f ca="1">IFERROR(__xludf.DUMMYFUNCTION("""COMPUTED_VALUE"""),"Paraná (PR)")</f>
        <v>Paraná (PR)</v>
      </c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4" t="str">
        <f ca="1">IFERROR(__xludf.DUMMYFUNCTION("""COMPUTED_VALUE"""),"Janeiro")</f>
        <v>Janeiro</v>
      </c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</row>
    <row r="58" spans="1:121">
      <c r="A58" s="4" t="str">
        <f ca="1">IFERROR(__xludf.DUMMYFUNCTION("""COMPUTED_VALUE"""),"William Cagliari")</f>
        <v>William Cagliari</v>
      </c>
      <c r="B58" s="4" t="str">
        <f ca="1">IFERROR(__xludf.DUMMYFUNCTION("""COMPUTED_VALUE"""),"Play Negócios Imobiliários")</f>
        <v>Play Negócios Imobiliários</v>
      </c>
      <c r="C58" s="10">
        <f ca="1">IFERROR(__xludf.DUMMYFUNCTION("""COMPUTED_VALUE"""),2)</f>
        <v>2</v>
      </c>
      <c r="D58" s="10" t="str">
        <f ca="1">IFERROR(__xludf.DUMMYFUNCTION("""COMPUTED_VALUE"""),"Funil de Vendas - Novo")</f>
        <v>Funil de Vendas - Novo</v>
      </c>
      <c r="E58" s="10" t="str">
        <f ca="1">IFERROR(__xludf.DUMMYFUNCTION("""COMPUTED_VALUE"""),"Proposta")</f>
        <v>Proposta</v>
      </c>
      <c r="F58" s="10" t="str">
        <f ca="1">IFERROR(__xludf.DUMMYFUNCTION("""COMPUTED_VALUE"""),"Perdida")</f>
        <v>Perdida</v>
      </c>
      <c r="G58" s="10" t="str">
        <f ca="1">IFERROR(__xludf.DUMMYFUNCTION("""COMPUTED_VALUE"""),". Desistiu do investimento")</f>
        <v>. Desistiu do investimento</v>
      </c>
      <c r="H58" s="11" t="str">
        <f ca="1">IFERROR(__xludf.DUMMYFUNCTION("""COMPUTED_VALUE"""),"5948000.0")</f>
        <v>5948000.0</v>
      </c>
      <c r="I58" s="10" t="str">
        <f ca="1">IFERROR(__xludf.DUMMYFUNCTION("""COMPUTED_VALUE"""),"0.0")</f>
        <v>0.0</v>
      </c>
      <c r="J58" s="10" t="str">
        <f ca="1">IFERROR(__xludf.DUMMYFUNCTION("""COMPUTED_VALUE"""),"Não")</f>
        <v>Não</v>
      </c>
      <c r="K58" s="12">
        <f ca="1">IFERROR(__xludf.DUMMYFUNCTION("""COMPUTED_VALUE"""),46076)</f>
        <v>46076</v>
      </c>
      <c r="L58" s="13">
        <f ca="1">IFERROR(__xludf.DUMMYFUNCTION("""COMPUTED_VALUE"""),0.433333333333333)</f>
        <v>0.43333333333333302</v>
      </c>
      <c r="M58" s="10"/>
      <c r="N58" s="10"/>
      <c r="O58" s="10"/>
      <c r="P58" s="10"/>
      <c r="Q58" s="12"/>
      <c r="R58" s="13"/>
      <c r="S58" s="10"/>
      <c r="T58" s="12">
        <f ca="1">IFERROR(__xludf.DUMMYFUNCTION("""COMPUTED_VALUE"""),46094)</f>
        <v>46094</v>
      </c>
      <c r="U58" s="13">
        <f ca="1">IFERROR(__xludf.DUMMYFUNCTION("""COMPUTED_VALUE"""),0.582638888888888)</f>
        <v>0.58263888888888804</v>
      </c>
      <c r="V58" s="10" t="str">
        <f ca="1">IFERROR(__xludf.DUMMYFUNCTION("""COMPUTED_VALUE"""),". Relacionamento Corretores")</f>
        <v>. Relacionamento Corretores</v>
      </c>
      <c r="W58" s="10"/>
      <c r="X58" s="4" t="str">
        <f ca="1">IFERROR(__xludf.DUMMYFUNCTION("""COMPUTED_VALUE"""),"Suyane Cachoeira")</f>
        <v>Suyane Cachoeira</v>
      </c>
      <c r="Y58" s="10" t="str">
        <f ca="1">IFERROR(__xludf.DUMMYFUNCTION("""COMPUTED_VALUE"""),"Charles II")</f>
        <v>Charles II</v>
      </c>
      <c r="Z58" s="10"/>
      <c r="AA58" s="10" t="str">
        <f ca="1">IFERROR(__xludf.DUMMYFUNCTION("""COMPUTED_VALUE"""),"Não houve interesse na proposta e investimento por parte do cliente.")</f>
        <v>Não houve interesse na proposta e investimento por parte do cliente.</v>
      </c>
      <c r="AB58" s="10"/>
      <c r="AC58" s="10"/>
      <c r="AD58" s="10"/>
      <c r="AE58" s="10"/>
      <c r="AF58" s="4" t="str">
        <f ca="1">IFERROR(__xludf.DUMMYFUNCTION("""COMPUTED_VALUE"""),"João Furtado")</f>
        <v>João Furtado</v>
      </c>
      <c r="AG58" s="10" t="str">
        <f ca="1">IFERROR(__xludf.DUMMYFUNCTION("""COMPUTED_VALUE"""),"Alta Nobreza")</f>
        <v>Alta Nobreza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 t="str">
        <f ca="1">IFERROR(__xludf.DUMMYFUNCTION("""COMPUTED_VALUE"""),"Suyane")</f>
        <v>Suyane</v>
      </c>
      <c r="BA58" s="10"/>
      <c r="BB58" s="10"/>
      <c r="BC58" s="10"/>
      <c r="BD58" s="10"/>
      <c r="BE58" s="10"/>
      <c r="BF58" s="10"/>
      <c r="BG58" s="10" t="str">
        <f ca="1">IFERROR(__xludf.DUMMYFUNCTION("""COMPUTED_VALUE"""),"Charles II")</f>
        <v>Charles II</v>
      </c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8">
        <f ca="1">IFERROR(__xludf.DUMMYFUNCTION("""COMPUTED_VALUE"""),5948000)</f>
        <v>5948000</v>
      </c>
      <c r="BT58" s="10"/>
      <c r="BU58" s="10"/>
      <c r="BV58" s="10"/>
      <c r="BW58" s="10"/>
      <c r="BX58" s="10"/>
      <c r="BY58" s="10"/>
      <c r="BZ58" s="10"/>
      <c r="CA58" s="10"/>
      <c r="CB58" s="10"/>
      <c r="CC58" s="10" t="str">
        <f ca="1">IFERROR(__xludf.DUMMYFUNCTION("""COMPUTED_VALUE"""),"Corretores")</f>
        <v>Corretores</v>
      </c>
      <c r="CD58" s="10">
        <f ca="1">IFERROR(__xludf.DUMMYFUNCTION("""COMPUTED_VALUE"""),3701)</f>
        <v>3701</v>
      </c>
      <c r="CE58" s="10" t="str">
        <f ca="1">IFERROR(__xludf.DUMMYFUNCTION("""COMPUTED_VALUE"""),"Brasil")</f>
        <v>Brasil</v>
      </c>
      <c r="CF58" s="10" t="str">
        <f ca="1">IFERROR(__xludf.DUMMYFUNCTION("""COMPUTED_VALUE"""),"Lapa")</f>
        <v>Lapa</v>
      </c>
      <c r="CG58" s="10"/>
      <c r="CH58" s="10"/>
      <c r="CI58" s="10"/>
      <c r="CJ58" s="10" t="str">
        <f ca="1">IFERROR(__xludf.DUMMYFUNCTION("""COMPUTED_VALUE"""),"Paraná (PR)")</f>
        <v>Paraná (PR)</v>
      </c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 t="str">
        <f ca="1">IFERROR(__xludf.DUMMYFUNCTION("""COMPUTED_VALUE"""),"Fevereiro")</f>
        <v>Fevereiro</v>
      </c>
      <c r="DD58" s="10"/>
      <c r="DE58" s="10"/>
      <c r="DF58" s="4" t="str">
        <f ca="1">IFERROR(__xludf.DUMMYFUNCTION("""COMPUTED_VALUE"""),"Fevereiro")</f>
        <v>Fevereiro</v>
      </c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</row>
    <row r="59" spans="1:121">
      <c r="A59" s="4" t="str">
        <f ca="1">IFERROR(__xludf.DUMMYFUNCTION("""COMPUTED_VALUE"""),"Williams e Brenda")</f>
        <v>Williams e Brenda</v>
      </c>
      <c r="B59" s="4"/>
      <c r="C59" s="10">
        <f ca="1">IFERROR(__xludf.DUMMYFUNCTION("""COMPUTED_VALUE"""),5)</f>
        <v>5</v>
      </c>
      <c r="D59" s="10" t="str">
        <f ca="1">IFERROR(__xludf.DUMMYFUNCTION("""COMPUTED_VALUE"""),"Funil de Vendas - Novo")</f>
        <v>Funil de Vendas - Novo</v>
      </c>
      <c r="E59" s="10" t="str">
        <f ca="1">IFERROR(__xludf.DUMMYFUNCTION("""COMPUTED_VALUE"""),"Atendimento")</f>
        <v>Atendimento</v>
      </c>
      <c r="F59" s="10" t="str">
        <f ca="1">IFERROR(__xludf.DUMMYFUNCTION("""COMPUTED_VALUE"""),"Em Andamento")</f>
        <v>Em Andamento</v>
      </c>
      <c r="G59" s="10" t="str">
        <f ca="1">IFERROR(__xludf.DUMMYFUNCTION("""COMPUTED_VALUE"""),"Nada")</f>
        <v>Nada</v>
      </c>
      <c r="H59" s="11" t="str">
        <f ca="1">IFERROR(__xludf.DUMMYFUNCTION("""COMPUTED_VALUE"""),"5398000.0")</f>
        <v>5398000.0</v>
      </c>
      <c r="I59" s="10" t="str">
        <f ca="1">IFERROR(__xludf.DUMMYFUNCTION("""COMPUTED_VALUE"""),"0.0")</f>
        <v>0.0</v>
      </c>
      <c r="J59" s="10" t="str">
        <f ca="1">IFERROR(__xludf.DUMMYFUNCTION("""COMPUTED_VALUE"""),"Não")</f>
        <v>Não</v>
      </c>
      <c r="K59" s="12">
        <f ca="1">IFERROR(__xludf.DUMMYFUNCTION("""COMPUTED_VALUE"""),46027)</f>
        <v>46027</v>
      </c>
      <c r="L59" s="13">
        <f ca="1">IFERROR(__xludf.DUMMYFUNCTION("""COMPUTED_VALUE"""),0.559722222222222)</f>
        <v>0.55972222222222201</v>
      </c>
      <c r="M59" s="10"/>
      <c r="N59" s="10"/>
      <c r="O59" s="10"/>
      <c r="P59" s="10"/>
      <c r="Q59" s="12">
        <f ca="1">IFERROR(__xludf.DUMMYFUNCTION("""COMPUTED_VALUE"""),46090)</f>
        <v>46090</v>
      </c>
      <c r="R59" s="13">
        <f ca="1">IFERROR(__xludf.DUMMYFUNCTION("""COMPUTED_VALUE"""),0.715972222222222)</f>
        <v>0.71597222222222201</v>
      </c>
      <c r="S59" s="10"/>
      <c r="T59" s="10"/>
      <c r="U59" s="10"/>
      <c r="V59" s="10" t="str">
        <f ca="1">IFERROR(__xludf.DUMMYFUNCTION("""COMPUTED_VALUE"""),". Relacionamento Corretores")</f>
        <v>. Relacionamento Corretores</v>
      </c>
      <c r="W59" s="10"/>
      <c r="X59" s="4" t="str">
        <f ca="1">IFERROR(__xludf.DUMMYFUNCTION("""COMPUTED_VALUE"""),"Ricardo")</f>
        <v>Ricardo</v>
      </c>
      <c r="Y59" s="10" t="str">
        <f ca="1">IFERROR(__xludf.DUMMYFUNCTION("""COMPUTED_VALUE"""),". Elizabeth II")</f>
        <v>. Elizabeth II</v>
      </c>
      <c r="Z59" s="10"/>
      <c r="AA59" s="10"/>
      <c r="AB59" s="10"/>
      <c r="AC59" s="10"/>
      <c r="AD59" s="10"/>
      <c r="AE59" s="10"/>
      <c r="AF59" s="4" t="str">
        <f ca="1">IFERROR(__xludf.DUMMYFUNCTION("""COMPUTED_VALUE"""),"Allen Ramos")</f>
        <v>Allen Ramos</v>
      </c>
      <c r="AG59" s="10" t="str">
        <f ca="1">IFERROR(__xludf.DUMMYFUNCTION("""COMPUTED_VALUE"""),"Nobre")</f>
        <v>Nobre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 t="str">
        <f ca="1">IFERROR(__xludf.DUMMYFUNCTION("""COMPUTED_VALUE"""),"-")</f>
        <v>-</v>
      </c>
      <c r="AT59" s="10"/>
      <c r="AU59" s="10"/>
      <c r="AV59" s="10"/>
      <c r="AW59" s="10"/>
      <c r="AX59" s="10"/>
      <c r="AY59" s="10"/>
      <c r="AZ59" s="10" t="str">
        <f ca="1">IFERROR(__xludf.DUMMYFUNCTION("""COMPUTED_VALUE"""),"Ricardo")</f>
        <v>Ricardo</v>
      </c>
      <c r="BA59" s="10"/>
      <c r="BB59" s="10"/>
      <c r="BC59" s="10"/>
      <c r="BD59" s="10"/>
      <c r="BE59" s="10"/>
      <c r="BF59" s="10"/>
      <c r="BG59" s="10" t="str">
        <f ca="1">IFERROR(__xludf.DUMMYFUNCTION("""COMPUTED_VALUE"""),"Elizabeth II")</f>
        <v>Elizabeth II</v>
      </c>
      <c r="BH59" s="10" t="str">
        <f ca="1">IFERROR(__xludf.DUMMYFUNCTION("""COMPUTED_VALUE"""),"-")</f>
        <v>-</v>
      </c>
      <c r="BI59" s="10"/>
      <c r="BJ59" s="10"/>
      <c r="BK59" s="10" t="str">
        <f ca="1">IFERROR(__xludf.DUMMYFUNCTION("""COMPUTED_VALUE"""),"-")</f>
        <v>-</v>
      </c>
      <c r="BL59" s="10"/>
      <c r="BM59" s="10"/>
      <c r="BN59" s="10"/>
      <c r="BO59" s="10"/>
      <c r="BP59" s="10"/>
      <c r="BQ59" s="10"/>
      <c r="BR59" s="10"/>
      <c r="BS59" s="8">
        <f ca="1">IFERROR(__xludf.DUMMYFUNCTION("""COMPUTED_VALUE"""),8398000)</f>
        <v>8398000</v>
      </c>
      <c r="BT59" s="10"/>
      <c r="BU59" s="10"/>
      <c r="BV59" s="10"/>
      <c r="BW59" s="10"/>
      <c r="BX59" s="10"/>
      <c r="BY59" s="10"/>
      <c r="BZ59" s="10"/>
      <c r="CA59" s="10"/>
      <c r="CB59" s="10"/>
      <c r="CC59" s="10" t="str">
        <f ca="1">IFERROR(__xludf.DUMMYFUNCTION("""COMPUTED_VALUE"""),"Corretores")</f>
        <v>Corretores</v>
      </c>
      <c r="CD59" s="10">
        <f ca="1">IFERROR(__xludf.DUMMYFUNCTION("""COMPUTED_VALUE"""),2701)</f>
        <v>2701</v>
      </c>
      <c r="CE59" s="10" t="str">
        <f ca="1">IFERROR(__xludf.DUMMYFUNCTION("""COMPUTED_VALUE"""),"Brasil")</f>
        <v>Brasil</v>
      </c>
      <c r="CF59" s="10" t="str">
        <f ca="1">IFERROR(__xludf.DUMMYFUNCTION("""COMPUTED_VALUE"""),"Brilhante")</f>
        <v>Brilhante</v>
      </c>
      <c r="CG59" s="10"/>
      <c r="CH59" s="10" t="str">
        <f ca="1">IFERROR(__xludf.DUMMYFUNCTION("""COMPUTED_VALUE"""),"-")</f>
        <v>-</v>
      </c>
      <c r="CI59" s="10" t="str">
        <f ca="1">IFERROR(__xludf.DUMMYFUNCTION("""COMPUTED_VALUE"""),"Decido em conjunto com cônjuge ou sócio.")</f>
        <v>Decido em conjunto com cônjuge ou sócio.</v>
      </c>
      <c r="CJ59" s="10" t="str">
        <f ca="1">IFERROR(__xludf.DUMMYFUNCTION("""COMPUTED_VALUE"""),"Mato Grosso do Sul (MS)")</f>
        <v>Mato Grosso do Sul (MS)</v>
      </c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4" t="str">
        <f ca="1">IFERROR(__xludf.DUMMYFUNCTION("""COMPUTED_VALUE"""),"Janeiro")</f>
        <v>Janeiro</v>
      </c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</row>
    <row r="60" spans="1:121">
      <c r="A60" s="4"/>
      <c r="B60" s="4"/>
      <c r="H60" s="11"/>
      <c r="X60" s="4"/>
      <c r="AF60" s="4"/>
      <c r="DF60" s="4"/>
    </row>
    <row r="61" spans="1:121">
      <c r="A61" s="4"/>
      <c r="B61" s="4"/>
      <c r="H61" s="11"/>
      <c r="X61" s="4"/>
      <c r="AF61" s="4"/>
      <c r="DF61" s="4"/>
    </row>
    <row r="62" spans="1:121">
      <c r="A62" s="4"/>
      <c r="B62" s="4"/>
      <c r="H62" s="11"/>
      <c r="X62" s="4"/>
      <c r="AF62" s="4"/>
      <c r="DF62" s="4"/>
    </row>
    <row r="63" spans="1:121">
      <c r="A63" s="4"/>
      <c r="B63" s="4"/>
      <c r="H63" s="11"/>
      <c r="X63" s="4"/>
      <c r="AF63" s="4"/>
      <c r="DF63" s="4"/>
    </row>
    <row r="64" spans="1:121">
      <c r="A64" s="4"/>
      <c r="B64" s="4"/>
      <c r="H64" s="11"/>
      <c r="X64" s="4"/>
      <c r="AF64" s="4"/>
      <c r="DF64" s="4"/>
    </row>
    <row r="65" spans="1:110">
      <c r="A65" s="4"/>
      <c r="B65" s="4"/>
      <c r="H65" s="11"/>
      <c r="X65" s="4"/>
      <c r="AF65" s="4"/>
      <c r="DF65" s="4"/>
    </row>
    <row r="66" spans="1:110">
      <c r="A66" s="4"/>
      <c r="B66" s="4"/>
      <c r="H66" s="11"/>
      <c r="X66" s="4"/>
      <c r="AF66" s="4"/>
      <c r="DF66" s="4"/>
    </row>
    <row r="67" spans="1:110">
      <c r="A67" s="4"/>
      <c r="B67" s="4"/>
      <c r="H67" s="11"/>
      <c r="X67" s="4"/>
      <c r="AF67" s="4"/>
      <c r="DF67" s="4"/>
    </row>
    <row r="68" spans="1:110">
      <c r="A68" s="4"/>
      <c r="B68" s="4"/>
      <c r="H68" s="11"/>
      <c r="X68" s="4"/>
      <c r="AF68" s="4"/>
      <c r="DF68" s="4"/>
    </row>
    <row r="69" spans="1:110">
      <c r="A69" s="4"/>
      <c r="B69" s="4"/>
      <c r="H69" s="11"/>
      <c r="X69" s="4"/>
      <c r="AF69" s="4"/>
      <c r="DF69" s="4"/>
    </row>
    <row r="70" spans="1:110">
      <c r="A70" s="4"/>
      <c r="B70" s="4"/>
      <c r="H70" s="11"/>
      <c r="X70" s="4"/>
      <c r="AF70" s="4"/>
      <c r="DF70" s="4"/>
    </row>
    <row r="71" spans="1:110">
      <c r="A71" s="4"/>
      <c r="B71" s="4"/>
      <c r="H71" s="11"/>
      <c r="X71" s="4"/>
      <c r="AF71" s="4"/>
      <c r="DF71" s="4"/>
    </row>
    <row r="72" spans="1:110">
      <c r="A72" s="4"/>
      <c r="B72" s="4"/>
      <c r="H72" s="11"/>
      <c r="X72" s="4"/>
      <c r="AF72" s="4"/>
      <c r="DF72" s="4"/>
    </row>
    <row r="73" spans="1:110">
      <c r="A73" s="4"/>
      <c r="B73" s="4"/>
      <c r="H73" s="11"/>
      <c r="X73" s="4"/>
      <c r="AF73" s="4"/>
      <c r="DF73" s="4"/>
    </row>
    <row r="74" spans="1:110">
      <c r="A74" s="4"/>
      <c r="B74" s="4"/>
      <c r="H74" s="11"/>
      <c r="X74" s="4"/>
      <c r="AF74" s="4"/>
      <c r="DF74" s="4"/>
    </row>
    <row r="75" spans="1:110">
      <c r="A75" s="4"/>
      <c r="B75" s="4"/>
      <c r="H75" s="11"/>
      <c r="X75" s="4"/>
      <c r="AF75" s="4"/>
      <c r="DF75" s="4"/>
    </row>
    <row r="76" spans="1:110">
      <c r="A76" s="4"/>
      <c r="B76" s="4"/>
      <c r="H76" s="11"/>
      <c r="X76" s="4"/>
      <c r="AF76" s="4"/>
      <c r="DF76" s="4"/>
    </row>
    <row r="77" spans="1:110">
      <c r="A77" s="4"/>
      <c r="B77" s="4"/>
      <c r="H77" s="11"/>
      <c r="X77" s="4"/>
      <c r="AF77" s="4"/>
      <c r="DF77" s="4"/>
    </row>
    <row r="78" spans="1:110">
      <c r="A78" s="4"/>
      <c r="B78" s="4"/>
      <c r="H78" s="11"/>
      <c r="X78" s="4"/>
      <c r="AF78" s="4"/>
      <c r="DF78" s="4"/>
    </row>
    <row r="79" spans="1:110">
      <c r="A79" s="4"/>
      <c r="B79" s="4"/>
      <c r="H79" s="11"/>
      <c r="X79" s="4"/>
      <c r="AF79" s="4"/>
      <c r="DF79" s="4"/>
    </row>
    <row r="80" spans="1:110">
      <c r="A80" s="4"/>
      <c r="B80" s="4"/>
      <c r="H80" s="11"/>
      <c r="X80" s="4"/>
      <c r="AF80" s="4"/>
      <c r="DF80" s="4"/>
    </row>
    <row r="81" spans="1:110">
      <c r="A81" s="4"/>
      <c r="B81" s="4"/>
      <c r="H81" s="11"/>
      <c r="X81" s="4"/>
      <c r="AF81" s="4"/>
      <c r="DF81" s="4"/>
    </row>
    <row r="82" spans="1:110">
      <c r="A82" s="4"/>
      <c r="B82" s="4"/>
      <c r="H82" s="11"/>
      <c r="X82" s="4"/>
      <c r="AF82" s="4"/>
      <c r="DF82" s="4"/>
    </row>
    <row r="83" spans="1:110">
      <c r="A83" s="4"/>
      <c r="B83" s="4"/>
      <c r="H83" s="11"/>
      <c r="X83" s="4"/>
      <c r="AF83" s="4"/>
      <c r="DF83" s="4"/>
    </row>
    <row r="84" spans="1:110">
      <c r="A84" s="4"/>
      <c r="B84" s="4"/>
      <c r="H84" s="11"/>
      <c r="X84" s="4"/>
      <c r="AF84" s="4"/>
      <c r="DF84" s="4"/>
    </row>
    <row r="85" spans="1:110">
      <c r="A85" s="4"/>
      <c r="B85" s="4"/>
      <c r="H85" s="11"/>
      <c r="X85" s="4"/>
      <c r="AF85" s="4"/>
      <c r="DF85" s="4"/>
    </row>
    <row r="86" spans="1:110">
      <c r="A86" s="4"/>
      <c r="B86" s="4"/>
      <c r="H86" s="11"/>
      <c r="X86" s="4"/>
      <c r="AF86" s="4"/>
      <c r="DF86" s="4"/>
    </row>
    <row r="87" spans="1:110">
      <c r="A87" s="4"/>
      <c r="B87" s="4"/>
      <c r="H87" s="11"/>
      <c r="X87" s="4"/>
      <c r="AF87" s="4"/>
      <c r="DF87" s="4"/>
    </row>
    <row r="88" spans="1:110">
      <c r="A88" s="4"/>
      <c r="B88" s="4"/>
      <c r="H88" s="11"/>
      <c r="X88" s="4"/>
      <c r="AF88" s="4"/>
      <c r="DF88" s="4"/>
    </row>
    <row r="89" spans="1:110">
      <c r="A89" s="4"/>
      <c r="B89" s="4"/>
      <c r="H89" s="11"/>
      <c r="X89" s="4"/>
      <c r="AF89" s="4"/>
      <c r="DF89" s="4"/>
    </row>
    <row r="90" spans="1:110">
      <c r="A90" s="4"/>
      <c r="B90" s="4"/>
      <c r="H90" s="11"/>
      <c r="X90" s="4"/>
      <c r="AF90" s="4"/>
      <c r="DF90" s="4"/>
    </row>
    <row r="91" spans="1:110">
      <c r="A91" s="4"/>
      <c r="B91" s="4"/>
      <c r="H91" s="11"/>
      <c r="X91" s="4"/>
      <c r="AF91" s="4"/>
      <c r="DF91" s="4"/>
    </row>
    <row r="92" spans="1:110">
      <c r="A92" s="4"/>
      <c r="B92" s="4"/>
      <c r="H92" s="11"/>
      <c r="X92" s="4"/>
      <c r="AF92" s="4"/>
      <c r="DF92" s="4"/>
    </row>
    <row r="93" spans="1:110">
      <c r="A93" s="4"/>
      <c r="B93" s="4"/>
      <c r="H93" s="11"/>
      <c r="X93" s="4"/>
      <c r="AF93" s="4"/>
      <c r="DF93" s="4"/>
    </row>
    <row r="94" spans="1:110">
      <c r="A94" s="4"/>
      <c r="B94" s="4"/>
      <c r="H94" s="11"/>
      <c r="X94" s="4"/>
      <c r="AF94" s="4"/>
      <c r="DF94" s="4"/>
    </row>
    <row r="95" spans="1:110">
      <c r="A95" s="4"/>
      <c r="B95" s="4"/>
      <c r="H95" s="11"/>
      <c r="X95" s="4"/>
      <c r="AF95" s="4"/>
      <c r="DF95" s="4"/>
    </row>
    <row r="96" spans="1:110">
      <c r="A96" s="4"/>
      <c r="B96" s="4"/>
      <c r="H96" s="11"/>
      <c r="X96" s="4"/>
      <c r="AF96" s="4"/>
      <c r="DF96" s="4"/>
    </row>
    <row r="97" spans="1:110">
      <c r="A97" s="4"/>
      <c r="B97" s="4"/>
      <c r="H97" s="11"/>
      <c r="X97" s="4"/>
      <c r="AF97" s="4"/>
      <c r="DF97" s="4"/>
    </row>
    <row r="98" spans="1:110">
      <c r="A98" s="4"/>
      <c r="B98" s="4"/>
      <c r="H98" s="11"/>
      <c r="X98" s="4"/>
      <c r="AF98" s="4"/>
      <c r="DF98" s="4"/>
    </row>
    <row r="99" spans="1:110">
      <c r="A99" s="4"/>
      <c r="B99" s="4"/>
      <c r="H99" s="11"/>
      <c r="X99" s="4"/>
      <c r="AF99" s="4"/>
      <c r="DF99" s="4"/>
    </row>
    <row r="100" spans="1:110">
      <c r="A100" s="4"/>
      <c r="B100" s="4"/>
      <c r="H100" s="11"/>
      <c r="X100" s="4"/>
      <c r="AF100" s="4"/>
      <c r="DF100" s="4"/>
    </row>
    <row r="101" spans="1:110">
      <c r="A101" s="4"/>
      <c r="B101" s="4"/>
      <c r="H101" s="11"/>
      <c r="X101" s="4"/>
      <c r="AF101" s="4"/>
      <c r="DF101" s="4"/>
    </row>
    <row r="102" spans="1:110">
      <c r="A102" s="4"/>
      <c r="B102" s="4"/>
      <c r="H102" s="11"/>
      <c r="X102" s="4"/>
      <c r="AF102" s="4"/>
      <c r="DF102" s="4"/>
    </row>
    <row r="103" spans="1:110">
      <c r="A103" s="4"/>
      <c r="B103" s="4"/>
      <c r="H103" s="11"/>
      <c r="X103" s="4"/>
      <c r="AF103" s="4"/>
      <c r="DF103" s="4"/>
    </row>
    <row r="104" spans="1:110">
      <c r="A104" s="4"/>
      <c r="B104" s="4"/>
      <c r="H104" s="11"/>
      <c r="X104" s="4"/>
      <c r="AF104" s="4"/>
      <c r="DF104" s="4"/>
    </row>
    <row r="105" spans="1:110">
      <c r="A105" s="4"/>
      <c r="B105" s="4"/>
      <c r="H105" s="11"/>
      <c r="X105" s="4"/>
      <c r="AF105" s="4"/>
      <c r="DF105" s="4"/>
    </row>
    <row r="106" spans="1:110">
      <c r="A106" s="4"/>
      <c r="B106" s="4"/>
      <c r="H106" s="11"/>
      <c r="X106" s="4"/>
      <c r="AF106" s="4"/>
      <c r="DF106" s="4"/>
    </row>
    <row r="107" spans="1:110">
      <c r="A107" s="4"/>
      <c r="B107" s="4"/>
      <c r="H107" s="11"/>
      <c r="X107" s="4"/>
      <c r="AF107" s="4"/>
      <c r="DF107" s="4"/>
    </row>
    <row r="108" spans="1:110">
      <c r="A108" s="4"/>
      <c r="B108" s="4"/>
      <c r="H108" s="11"/>
      <c r="X108" s="4"/>
      <c r="AF108" s="4"/>
      <c r="DF108" s="4"/>
    </row>
    <row r="109" spans="1:110">
      <c r="A109" s="4"/>
      <c r="B109" s="4"/>
      <c r="H109" s="11"/>
      <c r="X109" s="4"/>
      <c r="AF109" s="4"/>
      <c r="DF109" s="4"/>
    </row>
    <row r="110" spans="1:110">
      <c r="A110" s="4"/>
      <c r="B110" s="4"/>
      <c r="H110" s="11"/>
      <c r="X110" s="4"/>
      <c r="AF110" s="4"/>
      <c r="DF110" s="4"/>
    </row>
    <row r="111" spans="1:110">
      <c r="A111" s="4"/>
      <c r="B111" s="4"/>
      <c r="H111" s="11"/>
      <c r="X111" s="4"/>
      <c r="AF111" s="4"/>
      <c r="DF111" s="4"/>
    </row>
    <row r="112" spans="1:110">
      <c r="A112" s="4"/>
      <c r="B112" s="4"/>
      <c r="H112" s="11"/>
      <c r="X112" s="4"/>
      <c r="AF112" s="4"/>
      <c r="DF112" s="4"/>
    </row>
    <row r="113" spans="1:110">
      <c r="A113" s="4"/>
      <c r="B113" s="4"/>
      <c r="H113" s="11"/>
      <c r="X113" s="4"/>
      <c r="AF113" s="4"/>
      <c r="DF113" s="4"/>
    </row>
    <row r="114" spans="1:110">
      <c r="A114" s="4"/>
      <c r="B114" s="4"/>
      <c r="H114" s="11"/>
      <c r="X114" s="4"/>
      <c r="AF114" s="4"/>
      <c r="DF114" s="4"/>
    </row>
    <row r="115" spans="1:110">
      <c r="A115" s="4"/>
      <c r="B115" s="4"/>
      <c r="H115" s="11"/>
      <c r="X115" s="4"/>
      <c r="AF115" s="4"/>
      <c r="DF115" s="4"/>
    </row>
    <row r="116" spans="1:110">
      <c r="A116" s="4"/>
      <c r="B116" s="4"/>
      <c r="H116" s="11"/>
      <c r="X116" s="4"/>
      <c r="AF116" s="4"/>
      <c r="DF116" s="4"/>
    </row>
    <row r="117" spans="1:110">
      <c r="A117" s="4"/>
      <c r="B117" s="4"/>
      <c r="H117" s="11"/>
      <c r="X117" s="4"/>
      <c r="AF117" s="4"/>
      <c r="DF117" s="4"/>
    </row>
    <row r="118" spans="1:110">
      <c r="A118" s="4"/>
      <c r="B118" s="4"/>
      <c r="H118" s="11"/>
      <c r="X118" s="4"/>
      <c r="AF118" s="4"/>
      <c r="DF118" s="4"/>
    </row>
    <row r="119" spans="1:110">
      <c r="A119" s="4"/>
      <c r="B119" s="4"/>
      <c r="H119" s="11"/>
      <c r="X119" s="4"/>
      <c r="AF119" s="4"/>
      <c r="DF119" s="4"/>
    </row>
    <row r="120" spans="1:110">
      <c r="A120" s="4"/>
      <c r="B120" s="4"/>
      <c r="H120" s="11"/>
      <c r="X120" s="4"/>
      <c r="AF120" s="4"/>
      <c r="DF120" s="4"/>
    </row>
    <row r="121" spans="1:110">
      <c r="A121" s="4"/>
      <c r="B121" s="4"/>
      <c r="H121" s="11"/>
      <c r="X121" s="4"/>
      <c r="AF121" s="4"/>
      <c r="DF121" s="4"/>
    </row>
    <row r="122" spans="1:110">
      <c r="A122" s="4"/>
      <c r="B122" s="4"/>
      <c r="H122" s="11"/>
      <c r="X122" s="4"/>
      <c r="AF122" s="4"/>
      <c r="DF122" s="4"/>
    </row>
    <row r="123" spans="1:110">
      <c r="A123" s="4"/>
      <c r="B123" s="4"/>
      <c r="H123" s="11"/>
      <c r="X123" s="4"/>
      <c r="AF123" s="4"/>
      <c r="DF123" s="4"/>
    </row>
    <row r="124" spans="1:110">
      <c r="A124" s="4"/>
      <c r="B124" s="4"/>
      <c r="H124" s="11"/>
      <c r="X124" s="4"/>
      <c r="AF124" s="4"/>
      <c r="DF124" s="4"/>
    </row>
    <row r="125" spans="1:110">
      <c r="A125" s="4"/>
      <c r="B125" s="4"/>
      <c r="H125" s="11"/>
      <c r="X125" s="4"/>
      <c r="AF125" s="4"/>
      <c r="DF125" s="4"/>
    </row>
    <row r="126" spans="1:110">
      <c r="A126" s="4"/>
      <c r="B126" s="4"/>
      <c r="H126" s="11"/>
      <c r="X126" s="4"/>
      <c r="AF126" s="4"/>
      <c r="DF126" s="4"/>
    </row>
    <row r="127" spans="1:110">
      <c r="A127" s="4"/>
      <c r="B127" s="4"/>
      <c r="H127" s="11"/>
      <c r="X127" s="4"/>
      <c r="AF127" s="4"/>
      <c r="DF127" s="4"/>
    </row>
    <row r="128" spans="1:110">
      <c r="A128" s="4"/>
      <c r="B128" s="4"/>
      <c r="H128" s="11"/>
      <c r="X128" s="4"/>
      <c r="AF128" s="4"/>
      <c r="DF128" s="4"/>
    </row>
    <row r="129" spans="1:110">
      <c r="A129" s="4"/>
      <c r="B129" s="4"/>
      <c r="H129" s="11"/>
      <c r="X129" s="4"/>
      <c r="AF129" s="4"/>
      <c r="DF129" s="4"/>
    </row>
    <row r="130" spans="1:110">
      <c r="A130" s="4"/>
      <c r="B130" s="4"/>
      <c r="H130" s="11"/>
      <c r="X130" s="4"/>
      <c r="AF130" s="4"/>
      <c r="DF130" s="4"/>
    </row>
    <row r="131" spans="1:110">
      <c r="A131" s="4"/>
      <c r="B131" s="4"/>
      <c r="H131" s="11"/>
      <c r="X131" s="4"/>
      <c r="AF131" s="4"/>
      <c r="DF131" s="4"/>
    </row>
    <row r="132" spans="1:110">
      <c r="A132" s="4"/>
      <c r="B132" s="4"/>
      <c r="H132" s="11"/>
      <c r="X132" s="4"/>
      <c r="AF132" s="4"/>
      <c r="DF132" s="4"/>
    </row>
    <row r="133" spans="1:110">
      <c r="A133" s="4"/>
      <c r="B133" s="4"/>
      <c r="H133" s="11"/>
      <c r="X133" s="4"/>
      <c r="AF133" s="4"/>
      <c r="DF133" s="4"/>
    </row>
    <row r="134" spans="1:110">
      <c r="A134" s="4"/>
      <c r="B134" s="4"/>
      <c r="H134" s="11"/>
      <c r="X134" s="4"/>
      <c r="AF134" s="4"/>
      <c r="DF134" s="4"/>
    </row>
    <row r="135" spans="1:110">
      <c r="A135" s="4"/>
      <c r="B135" s="4"/>
      <c r="H135" s="11"/>
      <c r="X135" s="4"/>
      <c r="AF135" s="4"/>
      <c r="DF135" s="4"/>
    </row>
    <row r="136" spans="1:110">
      <c r="A136" s="4"/>
      <c r="B136" s="4"/>
      <c r="H136" s="11"/>
      <c r="X136" s="4"/>
      <c r="AF136" s="4"/>
      <c r="DF136" s="4"/>
    </row>
    <row r="137" spans="1:110">
      <c r="A137" s="4"/>
      <c r="B137" s="4"/>
      <c r="H137" s="11"/>
      <c r="X137" s="4"/>
      <c r="AF137" s="4"/>
      <c r="DF137" s="4"/>
    </row>
    <row r="138" spans="1:110">
      <c r="A138" s="4"/>
      <c r="B138" s="4"/>
      <c r="H138" s="11"/>
      <c r="X138" s="4"/>
      <c r="AF138" s="4"/>
      <c r="DF138" s="4"/>
    </row>
    <row r="139" spans="1:110">
      <c r="A139" s="4"/>
      <c r="B139" s="4"/>
      <c r="H139" s="11"/>
      <c r="X139" s="4"/>
      <c r="AF139" s="4"/>
      <c r="DF139" s="4"/>
    </row>
    <row r="140" spans="1:110">
      <c r="A140" s="4"/>
      <c r="B140" s="4"/>
      <c r="H140" s="11"/>
      <c r="X140" s="4"/>
      <c r="AF140" s="4"/>
      <c r="DF140" s="4"/>
    </row>
    <row r="141" spans="1:110">
      <c r="A141" s="4"/>
      <c r="B141" s="4"/>
      <c r="H141" s="11"/>
      <c r="X141" s="4"/>
      <c r="AF141" s="4"/>
      <c r="DF141" s="4"/>
    </row>
    <row r="142" spans="1:110">
      <c r="A142" s="4"/>
      <c r="B142" s="4"/>
      <c r="H142" s="11"/>
      <c r="X142" s="4"/>
      <c r="AF142" s="4"/>
      <c r="DF142" s="4"/>
    </row>
    <row r="143" spans="1:110">
      <c r="A143" s="4"/>
      <c r="B143" s="4"/>
      <c r="H143" s="11"/>
      <c r="X143" s="4"/>
      <c r="AF143" s="4"/>
      <c r="DF143" s="4"/>
    </row>
    <row r="144" spans="1:110">
      <c r="A144" s="4"/>
      <c r="B144" s="4"/>
      <c r="H144" s="11"/>
      <c r="X144" s="4"/>
      <c r="AF144" s="4"/>
      <c r="DF144" s="4"/>
    </row>
    <row r="145" spans="1:110">
      <c r="A145" s="4"/>
      <c r="B145" s="4"/>
      <c r="H145" s="11"/>
      <c r="X145" s="4"/>
      <c r="AF145" s="4"/>
      <c r="DF145" s="4"/>
    </row>
    <row r="146" spans="1:110">
      <c r="A146" s="4"/>
      <c r="B146" s="4"/>
      <c r="H146" s="11"/>
      <c r="X146" s="4"/>
      <c r="AF146" s="4"/>
      <c r="DF146" s="4"/>
    </row>
    <row r="147" spans="1:110">
      <c r="A147" s="4"/>
      <c r="B147" s="4"/>
      <c r="H147" s="11"/>
      <c r="X147" s="4"/>
      <c r="AF147" s="4"/>
      <c r="DF147" s="4"/>
    </row>
    <row r="148" spans="1:110">
      <c r="A148" s="4"/>
      <c r="B148" s="4"/>
      <c r="H148" s="11"/>
      <c r="X148" s="4"/>
      <c r="AF148" s="4"/>
      <c r="DF148" s="4"/>
    </row>
    <row r="149" spans="1:110">
      <c r="A149" s="4"/>
      <c r="B149" s="4"/>
      <c r="H149" s="11"/>
      <c r="X149" s="4"/>
      <c r="AF149" s="4"/>
      <c r="DF149" s="4"/>
    </row>
    <row r="150" spans="1:110">
      <c r="A150" s="4"/>
      <c r="B150" s="4"/>
      <c r="H150" s="11"/>
      <c r="X150" s="4"/>
      <c r="AF150" s="4"/>
      <c r="DF150" s="4"/>
    </row>
    <row r="151" spans="1:110">
      <c r="A151" s="4"/>
      <c r="B151" s="4"/>
      <c r="H151" s="11"/>
      <c r="X151" s="4"/>
      <c r="AF151" s="4"/>
      <c r="DF151" s="4"/>
    </row>
    <row r="152" spans="1:110">
      <c r="A152" s="4"/>
      <c r="B152" s="4"/>
      <c r="H152" s="11"/>
      <c r="X152" s="4"/>
      <c r="AF152" s="4"/>
      <c r="DF152" s="4"/>
    </row>
    <row r="153" spans="1:110">
      <c r="A153" s="4"/>
      <c r="B153" s="4"/>
      <c r="H153" s="11"/>
      <c r="X153" s="4"/>
      <c r="AF153" s="4"/>
      <c r="DF153" s="4"/>
    </row>
    <row r="154" spans="1:110">
      <c r="A154" s="4"/>
      <c r="B154" s="4"/>
      <c r="H154" s="11"/>
      <c r="X154" s="4"/>
      <c r="AF154" s="4"/>
      <c r="DF154" s="4"/>
    </row>
    <row r="155" spans="1:110">
      <c r="A155" s="4"/>
      <c r="B155" s="4"/>
      <c r="H155" s="11"/>
      <c r="X155" s="4"/>
      <c r="AF155" s="4"/>
      <c r="DF155" s="4"/>
    </row>
    <row r="156" spans="1:110">
      <c r="A156" s="4"/>
      <c r="B156" s="4"/>
      <c r="H156" s="11"/>
      <c r="X156" s="4"/>
      <c r="AF156" s="4"/>
      <c r="DF156" s="4"/>
    </row>
    <row r="157" spans="1:110">
      <c r="A157" s="4"/>
      <c r="B157" s="4"/>
      <c r="H157" s="11"/>
      <c r="X157" s="4"/>
      <c r="AF157" s="4"/>
      <c r="DF157" s="4"/>
    </row>
    <row r="158" spans="1:110">
      <c r="A158" s="4"/>
      <c r="B158" s="4"/>
      <c r="H158" s="11"/>
      <c r="X158" s="4"/>
      <c r="AF158" s="4"/>
      <c r="DF158" s="4"/>
    </row>
    <row r="159" spans="1:110">
      <c r="A159" s="4"/>
      <c r="B159" s="4"/>
      <c r="H159" s="11"/>
      <c r="X159" s="4"/>
      <c r="AF159" s="4"/>
      <c r="DF159" s="4"/>
    </row>
    <row r="160" spans="1:110">
      <c r="A160" s="4"/>
      <c r="B160" s="4"/>
      <c r="H160" s="11"/>
      <c r="X160" s="4"/>
      <c r="AF160" s="4"/>
      <c r="DF160" s="4"/>
    </row>
    <row r="161" spans="1:110">
      <c r="A161" s="4"/>
      <c r="B161" s="4"/>
      <c r="H161" s="11"/>
      <c r="X161" s="4"/>
      <c r="AF161" s="4"/>
      <c r="DF161" s="4"/>
    </row>
    <row r="162" spans="1:110">
      <c r="A162" s="4"/>
      <c r="B162" s="4"/>
      <c r="H162" s="11"/>
      <c r="X162" s="4"/>
      <c r="AF162" s="4"/>
      <c r="DF162" s="4"/>
    </row>
    <row r="163" spans="1:110">
      <c r="A163" s="4"/>
      <c r="B163" s="4"/>
      <c r="H163" s="11"/>
      <c r="X163" s="4"/>
      <c r="AF163" s="4"/>
      <c r="DF163" s="4"/>
    </row>
    <row r="164" spans="1:110">
      <c r="A164" s="4"/>
      <c r="B164" s="4"/>
      <c r="H164" s="11"/>
      <c r="X164" s="4"/>
      <c r="AF164" s="4"/>
      <c r="DF164" s="4"/>
    </row>
    <row r="165" spans="1:110">
      <c r="A165" s="4"/>
      <c r="B165" s="4"/>
      <c r="H165" s="11"/>
      <c r="X165" s="4"/>
      <c r="AF165" s="4"/>
      <c r="DF165" s="4"/>
    </row>
    <row r="166" spans="1:110">
      <c r="A166" s="4"/>
      <c r="B166" s="4"/>
      <c r="H166" s="11"/>
      <c r="X166" s="4"/>
      <c r="AF166" s="4"/>
      <c r="DF166" s="4"/>
    </row>
    <row r="167" spans="1:110">
      <c r="A167" s="4"/>
      <c r="B167" s="4"/>
      <c r="H167" s="11"/>
      <c r="X167" s="4"/>
      <c r="AF167" s="4"/>
      <c r="DF167" s="4"/>
    </row>
    <row r="168" spans="1:110">
      <c r="A168" s="4"/>
      <c r="B168" s="4"/>
      <c r="H168" s="11"/>
      <c r="X168" s="4"/>
      <c r="AF168" s="4"/>
      <c r="DF168" s="4"/>
    </row>
    <row r="169" spans="1:110">
      <c r="A169" s="4"/>
      <c r="B169" s="4"/>
      <c r="H169" s="11"/>
      <c r="X169" s="4"/>
      <c r="AF169" s="4"/>
      <c r="DF169" s="4"/>
    </row>
    <row r="170" spans="1:110">
      <c r="A170" s="4"/>
      <c r="B170" s="4"/>
      <c r="H170" s="11"/>
      <c r="X170" s="4"/>
      <c r="AF170" s="4"/>
      <c r="DF170" s="4"/>
    </row>
    <row r="171" spans="1:110">
      <c r="A171" s="4"/>
      <c r="B171" s="4"/>
      <c r="H171" s="11"/>
      <c r="X171" s="4"/>
      <c r="AF171" s="4"/>
      <c r="DF171" s="4"/>
    </row>
    <row r="172" spans="1:110">
      <c r="A172" s="4"/>
      <c r="B172" s="4"/>
      <c r="H172" s="11"/>
      <c r="X172" s="4"/>
      <c r="AF172" s="4"/>
      <c r="DF172" s="4"/>
    </row>
    <row r="173" spans="1:110">
      <c r="A173" s="4"/>
      <c r="B173" s="4"/>
      <c r="H173" s="11"/>
      <c r="X173" s="4"/>
      <c r="AF173" s="4"/>
      <c r="DF173" s="4"/>
    </row>
    <row r="174" spans="1:110">
      <c r="A174" s="4"/>
      <c r="B174" s="4"/>
      <c r="H174" s="11"/>
      <c r="X174" s="4"/>
      <c r="AF174" s="4"/>
      <c r="DF174" s="4"/>
    </row>
    <row r="175" spans="1:110">
      <c r="A175" s="4"/>
      <c r="B175" s="4"/>
      <c r="H175" s="11"/>
      <c r="X175" s="4"/>
      <c r="AF175" s="4"/>
      <c r="DF175" s="4"/>
    </row>
    <row r="176" spans="1:110">
      <c r="A176" s="4"/>
      <c r="B176" s="4"/>
      <c r="H176" s="11"/>
      <c r="X176" s="4"/>
      <c r="AF176" s="4"/>
      <c r="DF176" s="4"/>
    </row>
    <row r="177" spans="1:110">
      <c r="A177" s="4"/>
      <c r="B177" s="4"/>
      <c r="H177" s="11"/>
      <c r="X177" s="4"/>
      <c r="AF177" s="4"/>
      <c r="DF177" s="4"/>
    </row>
    <row r="178" spans="1:110">
      <c r="A178" s="4"/>
      <c r="B178" s="4"/>
      <c r="H178" s="11"/>
      <c r="X178" s="4"/>
      <c r="AF178" s="4"/>
      <c r="DF178" s="4"/>
    </row>
    <row r="179" spans="1:110">
      <c r="A179" s="4"/>
      <c r="B179" s="4"/>
      <c r="H179" s="11"/>
      <c r="X179" s="4"/>
      <c r="AF179" s="4"/>
      <c r="DF179" s="4"/>
    </row>
    <row r="180" spans="1:110">
      <c r="A180" s="4"/>
      <c r="B180" s="4"/>
      <c r="H180" s="11"/>
      <c r="X180" s="4"/>
      <c r="AF180" s="4"/>
      <c r="DF180" s="4"/>
    </row>
    <row r="181" spans="1:110">
      <c r="A181" s="4"/>
      <c r="B181" s="4"/>
      <c r="H181" s="11"/>
      <c r="X181" s="4"/>
      <c r="AF181" s="4"/>
      <c r="DF181" s="4"/>
    </row>
    <row r="182" spans="1:110">
      <c r="A182" s="4"/>
      <c r="B182" s="4"/>
      <c r="H182" s="11"/>
      <c r="X182" s="4"/>
      <c r="AF182" s="4"/>
      <c r="DF182" s="4"/>
    </row>
    <row r="183" spans="1:110">
      <c r="A183" s="4"/>
      <c r="B183" s="4"/>
      <c r="H183" s="11"/>
      <c r="X183" s="4"/>
      <c r="AF183" s="4"/>
      <c r="DF183" s="4"/>
    </row>
    <row r="184" spans="1:110">
      <c r="A184" s="4"/>
      <c r="B184" s="4"/>
      <c r="H184" s="11"/>
      <c r="X184" s="4"/>
      <c r="AF184" s="4"/>
      <c r="DF184" s="4"/>
    </row>
    <row r="185" spans="1:110">
      <c r="A185" s="4"/>
      <c r="B185" s="4"/>
      <c r="H185" s="11"/>
      <c r="X185" s="4"/>
      <c r="AF185" s="4"/>
      <c r="DF185" s="4"/>
    </row>
    <row r="186" spans="1:110">
      <c r="A186" s="4"/>
      <c r="B186" s="4"/>
      <c r="H186" s="11"/>
      <c r="X186" s="4"/>
      <c r="AF186" s="4"/>
      <c r="DF186" s="4"/>
    </row>
    <row r="187" spans="1:110">
      <c r="A187" s="4"/>
      <c r="B187" s="4"/>
      <c r="H187" s="11"/>
      <c r="X187" s="4"/>
      <c r="AF187" s="4"/>
      <c r="DF187" s="4"/>
    </row>
    <row r="188" spans="1:110">
      <c r="A188" s="4"/>
      <c r="B188" s="4"/>
      <c r="H188" s="11"/>
      <c r="X188" s="4"/>
      <c r="AF188" s="4"/>
      <c r="DF188" s="4"/>
    </row>
    <row r="189" spans="1:110">
      <c r="A189" s="4"/>
      <c r="B189" s="4"/>
      <c r="H189" s="11"/>
      <c r="X189" s="4"/>
      <c r="AF189" s="4"/>
      <c r="DF189" s="4"/>
    </row>
    <row r="190" spans="1:110">
      <c r="A190" s="4"/>
      <c r="B190" s="4"/>
      <c r="H190" s="11"/>
      <c r="X190" s="4"/>
      <c r="AF190" s="4"/>
      <c r="DF190" s="4"/>
    </row>
    <row r="191" spans="1:110">
      <c r="A191" s="4"/>
      <c r="B191" s="4"/>
      <c r="H191" s="11"/>
      <c r="X191" s="4"/>
      <c r="AF191" s="4"/>
      <c r="DF191" s="4"/>
    </row>
    <row r="192" spans="1:110">
      <c r="A192" s="4"/>
      <c r="B192" s="4"/>
      <c r="H192" s="11"/>
      <c r="X192" s="4"/>
      <c r="AF192" s="4"/>
      <c r="DF192" s="4"/>
    </row>
    <row r="193" spans="1:110">
      <c r="A193" s="4"/>
      <c r="B193" s="4"/>
      <c r="H193" s="11"/>
      <c r="X193" s="4"/>
      <c r="AF193" s="4"/>
      <c r="DF193" s="4"/>
    </row>
    <row r="194" spans="1:110">
      <c r="A194" s="4"/>
      <c r="B194" s="4"/>
      <c r="H194" s="11"/>
      <c r="X194" s="4"/>
      <c r="AF194" s="4"/>
      <c r="DF194" s="4"/>
    </row>
    <row r="195" spans="1:110">
      <c r="A195" s="4"/>
      <c r="B195" s="4"/>
      <c r="H195" s="11"/>
      <c r="X195" s="4"/>
      <c r="AF195" s="4"/>
      <c r="DF195" s="4"/>
    </row>
    <row r="196" spans="1:110">
      <c r="A196" s="4"/>
      <c r="B196" s="4"/>
      <c r="H196" s="11"/>
      <c r="X196" s="4"/>
      <c r="AF196" s="4"/>
      <c r="DF196" s="4"/>
    </row>
    <row r="197" spans="1:110">
      <c r="A197" s="4"/>
      <c r="B197" s="4"/>
      <c r="H197" s="11"/>
      <c r="X197" s="4"/>
      <c r="AF197" s="4"/>
      <c r="DF197" s="4"/>
    </row>
    <row r="198" spans="1:110">
      <c r="A198" s="4"/>
      <c r="B198" s="4"/>
      <c r="H198" s="11"/>
      <c r="X198" s="4"/>
      <c r="AF198" s="4"/>
      <c r="DF198" s="4"/>
    </row>
    <row r="199" spans="1:110">
      <c r="A199" s="4"/>
      <c r="B199" s="4"/>
      <c r="H199" s="11"/>
      <c r="X199" s="4"/>
      <c r="AF199" s="4"/>
      <c r="DF199" s="4"/>
    </row>
    <row r="200" spans="1:110">
      <c r="A200" s="4"/>
      <c r="B200" s="4"/>
      <c r="H200" s="11"/>
      <c r="X200" s="4"/>
      <c r="AF200" s="4"/>
      <c r="DF200" s="4"/>
    </row>
    <row r="201" spans="1:110">
      <c r="A201" s="4"/>
      <c r="B201" s="4"/>
      <c r="H201" s="11"/>
      <c r="X201" s="4"/>
      <c r="AF201" s="4"/>
      <c r="DF201" s="4"/>
    </row>
    <row r="202" spans="1:110">
      <c r="A202" s="4"/>
      <c r="B202" s="4"/>
      <c r="H202" s="11"/>
      <c r="X202" s="4"/>
      <c r="AF202" s="4"/>
      <c r="DF202" s="4"/>
    </row>
    <row r="203" spans="1:110">
      <c r="A203" s="4"/>
      <c r="B203" s="4"/>
      <c r="H203" s="11"/>
      <c r="X203" s="4"/>
      <c r="AF203" s="4"/>
      <c r="DF203" s="4"/>
    </row>
    <row r="204" spans="1:110">
      <c r="A204" s="4"/>
      <c r="B204" s="4"/>
      <c r="H204" s="11"/>
      <c r="X204" s="4"/>
      <c r="AF204" s="4"/>
      <c r="DF204" s="4"/>
    </row>
    <row r="205" spans="1:110">
      <c r="A205" s="4"/>
      <c r="B205" s="4"/>
      <c r="H205" s="11"/>
      <c r="X205" s="4"/>
      <c r="AF205" s="4"/>
      <c r="DF205" s="4"/>
    </row>
    <row r="206" spans="1:110">
      <c r="A206" s="4"/>
      <c r="B206" s="4"/>
      <c r="H206" s="11"/>
      <c r="X206" s="4"/>
      <c r="AF206" s="4"/>
      <c r="DF206" s="4"/>
    </row>
    <row r="207" spans="1:110">
      <c r="A207" s="4"/>
      <c r="B207" s="4"/>
      <c r="H207" s="11"/>
      <c r="X207" s="4"/>
      <c r="AF207" s="4"/>
      <c r="DF207" s="4"/>
    </row>
    <row r="208" spans="1:110">
      <c r="A208" s="4"/>
      <c r="B208" s="4"/>
      <c r="H208" s="11"/>
      <c r="X208" s="4"/>
      <c r="AF208" s="4"/>
      <c r="DF208" s="4"/>
    </row>
    <row r="209" spans="1:110">
      <c r="A209" s="4"/>
      <c r="B209" s="4"/>
      <c r="H209" s="11"/>
      <c r="X209" s="4"/>
      <c r="AF209" s="4"/>
      <c r="DF209" s="4"/>
    </row>
    <row r="210" spans="1:110">
      <c r="A210" s="4"/>
      <c r="B210" s="4"/>
      <c r="H210" s="11"/>
      <c r="X210" s="4"/>
      <c r="AF210" s="4"/>
      <c r="DF210" s="4"/>
    </row>
    <row r="211" spans="1:110">
      <c r="A211" s="4"/>
      <c r="B211" s="4"/>
      <c r="H211" s="11"/>
      <c r="X211" s="4"/>
      <c r="AF211" s="4"/>
      <c r="DF211" s="4"/>
    </row>
    <row r="212" spans="1:110">
      <c r="A212" s="4"/>
      <c r="B212" s="4"/>
      <c r="H212" s="11"/>
      <c r="X212" s="4"/>
      <c r="AF212" s="4"/>
      <c r="DF212" s="4"/>
    </row>
    <row r="213" spans="1:110">
      <c r="A213" s="4"/>
      <c r="B213" s="4"/>
      <c r="H213" s="11"/>
      <c r="X213" s="4"/>
      <c r="AF213" s="4"/>
      <c r="DF213" s="4"/>
    </row>
    <row r="214" spans="1:110">
      <c r="A214" s="4"/>
      <c r="B214" s="4"/>
      <c r="H214" s="11"/>
      <c r="X214" s="4"/>
      <c r="AF214" s="4"/>
      <c r="DF214" s="4"/>
    </row>
    <row r="215" spans="1:110">
      <c r="A215" s="4"/>
      <c r="B215" s="4"/>
      <c r="H215" s="11"/>
      <c r="X215" s="4"/>
      <c r="AF215" s="4"/>
      <c r="DF215" s="4"/>
    </row>
    <row r="216" spans="1:110">
      <c r="A216" s="4"/>
      <c r="B216" s="4"/>
      <c r="H216" s="11"/>
      <c r="X216" s="4"/>
      <c r="AF216" s="4"/>
      <c r="DF216" s="4"/>
    </row>
    <row r="217" spans="1:110">
      <c r="A217" s="4"/>
      <c r="B217" s="4"/>
      <c r="H217" s="11"/>
      <c r="X217" s="4"/>
      <c r="AF217" s="4"/>
      <c r="DF217" s="4"/>
    </row>
    <row r="218" spans="1:110">
      <c r="A218" s="4"/>
      <c r="B218" s="4"/>
      <c r="H218" s="11"/>
      <c r="X218" s="4"/>
      <c r="AF218" s="4"/>
      <c r="DF218" s="4"/>
    </row>
    <row r="219" spans="1:110">
      <c r="A219" s="4"/>
      <c r="B219" s="4"/>
      <c r="H219" s="11"/>
      <c r="X219" s="4"/>
      <c r="AF219" s="4"/>
      <c r="DF219" s="4"/>
    </row>
    <row r="220" spans="1:110">
      <c r="A220" s="4"/>
      <c r="B220" s="4"/>
      <c r="H220" s="11"/>
      <c r="X220" s="4"/>
      <c r="AF220" s="4"/>
      <c r="DF220" s="4"/>
    </row>
    <row r="221" spans="1:110">
      <c r="A221" s="4"/>
      <c r="B221" s="4"/>
      <c r="H221" s="11"/>
      <c r="X221" s="4"/>
      <c r="AF221" s="4"/>
      <c r="DF221" s="4"/>
    </row>
    <row r="222" spans="1:110">
      <c r="A222" s="4"/>
      <c r="B222" s="4"/>
      <c r="H222" s="11"/>
      <c r="X222" s="4"/>
      <c r="AF222" s="4"/>
      <c r="DF222" s="4"/>
    </row>
    <row r="223" spans="1:110">
      <c r="A223" s="4"/>
      <c r="B223" s="4"/>
      <c r="H223" s="11"/>
      <c r="X223" s="4"/>
      <c r="AF223" s="4"/>
      <c r="DF223" s="4"/>
    </row>
    <row r="224" spans="1:110">
      <c r="A224" s="4"/>
      <c r="B224" s="4"/>
      <c r="H224" s="11"/>
      <c r="X224" s="4"/>
      <c r="AF224" s="4"/>
      <c r="DF224" s="4"/>
    </row>
    <row r="225" spans="1:110">
      <c r="A225" s="4"/>
      <c r="B225" s="4"/>
      <c r="H225" s="11"/>
      <c r="X225" s="4"/>
      <c r="AF225" s="4"/>
      <c r="DF225" s="4"/>
    </row>
    <row r="226" spans="1:110">
      <c r="A226" s="4"/>
      <c r="B226" s="4"/>
      <c r="H226" s="11"/>
      <c r="X226" s="4"/>
      <c r="AF226" s="4"/>
      <c r="DF226" s="4"/>
    </row>
    <row r="227" spans="1:110">
      <c r="A227" s="4"/>
      <c r="B227" s="4"/>
      <c r="H227" s="11"/>
      <c r="X227" s="4"/>
      <c r="AF227" s="4"/>
      <c r="DF227" s="4"/>
    </row>
    <row r="228" spans="1:110">
      <c r="A228" s="4"/>
      <c r="B228" s="4"/>
      <c r="H228" s="11"/>
      <c r="X228" s="4"/>
      <c r="AF228" s="4"/>
      <c r="DF228" s="4"/>
    </row>
    <row r="229" spans="1:110">
      <c r="A229" s="4"/>
      <c r="B229" s="4"/>
      <c r="H229" s="11"/>
      <c r="X229" s="4"/>
      <c r="AF229" s="4"/>
      <c r="DF229" s="4"/>
    </row>
    <row r="230" spans="1:110">
      <c r="A230" s="4"/>
      <c r="B230" s="4"/>
      <c r="H230" s="11"/>
      <c r="X230" s="4"/>
      <c r="AF230" s="4"/>
      <c r="DF230" s="4"/>
    </row>
    <row r="231" spans="1:110">
      <c r="A231" s="4"/>
      <c r="B231" s="4"/>
      <c r="H231" s="11"/>
      <c r="X231" s="4"/>
      <c r="AF231" s="4"/>
      <c r="DF231" s="4"/>
    </row>
    <row r="232" spans="1:110">
      <c r="A232" s="4"/>
      <c r="B232" s="4"/>
      <c r="H232" s="11"/>
      <c r="X232" s="4"/>
      <c r="AF232" s="4"/>
      <c r="DF232" s="4"/>
    </row>
    <row r="233" spans="1:110">
      <c r="A233" s="4"/>
      <c r="B233" s="4"/>
      <c r="H233" s="11"/>
      <c r="X233" s="4"/>
      <c r="AF233" s="4"/>
      <c r="DF233" s="4"/>
    </row>
    <row r="234" spans="1:110">
      <c r="A234" s="4"/>
      <c r="B234" s="4"/>
      <c r="H234" s="11"/>
      <c r="X234" s="4"/>
      <c r="AF234" s="4"/>
      <c r="DF234" s="4"/>
    </row>
    <row r="235" spans="1:110">
      <c r="A235" s="4"/>
      <c r="B235" s="4"/>
      <c r="H235" s="11"/>
      <c r="X235" s="4"/>
      <c r="AF235" s="4"/>
      <c r="DF235" s="4"/>
    </row>
    <row r="236" spans="1:110">
      <c r="A236" s="4"/>
      <c r="B236" s="4"/>
      <c r="H236" s="11"/>
      <c r="X236" s="4"/>
      <c r="AF236" s="4"/>
      <c r="DF236" s="4"/>
    </row>
    <row r="237" spans="1:110">
      <c r="A237" s="4"/>
      <c r="B237" s="4"/>
      <c r="H237" s="11"/>
      <c r="X237" s="4"/>
      <c r="AF237" s="4"/>
      <c r="DF237" s="4"/>
    </row>
    <row r="238" spans="1:110">
      <c r="A238" s="4"/>
      <c r="B238" s="4"/>
      <c r="H238" s="11"/>
      <c r="X238" s="4"/>
      <c r="AF238" s="4"/>
      <c r="DF238" s="4"/>
    </row>
    <row r="239" spans="1:110">
      <c r="A239" s="4"/>
      <c r="B239" s="4"/>
      <c r="H239" s="11"/>
      <c r="X239" s="4"/>
      <c r="AF239" s="4"/>
      <c r="DF239" s="4"/>
    </row>
    <row r="240" spans="1:110">
      <c r="A240" s="4"/>
      <c r="B240" s="4"/>
      <c r="H240" s="11"/>
      <c r="X240" s="4"/>
      <c r="AF240" s="4"/>
      <c r="DF240" s="4"/>
    </row>
    <row r="241" spans="1:110">
      <c r="A241" s="4"/>
      <c r="B241" s="4"/>
      <c r="H241" s="11"/>
      <c r="X241" s="4"/>
      <c r="AF241" s="4"/>
      <c r="DF241" s="4"/>
    </row>
    <row r="242" spans="1:110">
      <c r="A242" s="4"/>
      <c r="B242" s="4"/>
      <c r="H242" s="11"/>
      <c r="X242" s="4"/>
      <c r="AF242" s="4"/>
      <c r="DF242" s="4"/>
    </row>
    <row r="243" spans="1:110">
      <c r="A243" s="4"/>
      <c r="B243" s="4"/>
      <c r="H243" s="11"/>
      <c r="X243" s="4"/>
      <c r="AF243" s="4"/>
      <c r="DF243" s="4"/>
    </row>
    <row r="244" spans="1:110">
      <c r="A244" s="4"/>
      <c r="B244" s="4"/>
      <c r="H244" s="11"/>
      <c r="X244" s="4"/>
      <c r="AF244" s="4"/>
      <c r="DF244" s="4"/>
    </row>
    <row r="245" spans="1:110">
      <c r="A245" s="4"/>
      <c r="B245" s="4"/>
      <c r="H245" s="11"/>
      <c r="X245" s="4"/>
      <c r="AF245" s="4"/>
      <c r="DF245" s="4"/>
    </row>
    <row r="246" spans="1:110">
      <c r="A246" s="4"/>
      <c r="B246" s="4"/>
      <c r="H246" s="11"/>
      <c r="X246" s="4"/>
      <c r="AF246" s="4"/>
      <c r="DF246" s="4"/>
    </row>
    <row r="247" spans="1:110">
      <c r="A247" s="4"/>
      <c r="B247" s="4"/>
      <c r="H247" s="11"/>
      <c r="X247" s="4"/>
      <c r="AF247" s="4"/>
      <c r="DF247" s="4"/>
    </row>
    <row r="248" spans="1:110">
      <c r="A248" s="4"/>
      <c r="B248" s="4"/>
      <c r="H248" s="11"/>
      <c r="X248" s="4"/>
      <c r="AF248" s="4"/>
      <c r="DF248" s="4"/>
    </row>
    <row r="249" spans="1:110">
      <c r="A249" s="4"/>
      <c r="B249" s="4"/>
      <c r="H249" s="11"/>
      <c r="X249" s="4"/>
      <c r="AF249" s="4"/>
      <c r="DF249" s="4"/>
    </row>
    <row r="250" spans="1:110">
      <c r="A250" s="4"/>
      <c r="B250" s="4"/>
      <c r="H250" s="11"/>
      <c r="X250" s="4"/>
      <c r="AF250" s="4"/>
      <c r="DF250" s="4"/>
    </row>
    <row r="251" spans="1:110">
      <c r="A251" s="4"/>
      <c r="B251" s="4"/>
      <c r="H251" s="11"/>
      <c r="X251" s="4"/>
      <c r="AF251" s="4"/>
      <c r="DF251" s="4"/>
    </row>
    <row r="252" spans="1:110">
      <c r="A252" s="4"/>
      <c r="B252" s="4"/>
      <c r="H252" s="11"/>
      <c r="X252" s="4"/>
      <c r="AF252" s="4"/>
      <c r="DF252" s="4"/>
    </row>
    <row r="253" spans="1:110">
      <c r="A253" s="4"/>
      <c r="B253" s="4"/>
      <c r="H253" s="11"/>
      <c r="X253" s="4"/>
      <c r="AF253" s="4"/>
      <c r="DF253" s="4"/>
    </row>
    <row r="254" spans="1:110">
      <c r="A254" s="4"/>
      <c r="B254" s="4"/>
      <c r="H254" s="11"/>
      <c r="X254" s="4"/>
      <c r="AF254" s="4"/>
      <c r="DF254" s="4"/>
    </row>
    <row r="255" spans="1:110">
      <c r="A255" s="4"/>
      <c r="B255" s="4"/>
      <c r="H255" s="11"/>
      <c r="X255" s="4"/>
      <c r="AF255" s="4"/>
      <c r="DF255" s="4"/>
    </row>
    <row r="256" spans="1:110">
      <c r="A256" s="4"/>
      <c r="B256" s="4"/>
      <c r="H256" s="11"/>
      <c r="X256" s="4"/>
      <c r="AF256" s="4"/>
      <c r="DF256" s="4"/>
    </row>
    <row r="257" spans="1:110">
      <c r="A257" s="4"/>
      <c r="B257" s="4"/>
      <c r="H257" s="11"/>
      <c r="X257" s="4"/>
      <c r="AF257" s="4"/>
      <c r="DF257" s="4"/>
    </row>
    <row r="258" spans="1:110">
      <c r="A258" s="4"/>
      <c r="B258" s="4"/>
      <c r="H258" s="11"/>
      <c r="X258" s="4"/>
      <c r="AF258" s="4"/>
      <c r="DF258" s="4"/>
    </row>
    <row r="259" spans="1:110">
      <c r="A259" s="4"/>
      <c r="B259" s="4"/>
      <c r="H259" s="11"/>
      <c r="X259" s="4"/>
      <c r="AF259" s="4"/>
      <c r="DF259" s="4"/>
    </row>
    <row r="260" spans="1:110">
      <c r="A260" s="4"/>
      <c r="B260" s="4"/>
      <c r="H260" s="11"/>
      <c r="X260" s="4"/>
      <c r="AF260" s="4"/>
      <c r="DF260" s="4"/>
    </row>
    <row r="261" spans="1:110">
      <c r="A261" s="4"/>
      <c r="B261" s="4"/>
      <c r="H261" s="11"/>
      <c r="X261" s="4"/>
      <c r="AF261" s="4"/>
      <c r="DF261" s="4"/>
    </row>
    <row r="262" spans="1:110">
      <c r="A262" s="4"/>
      <c r="B262" s="4"/>
      <c r="H262" s="11"/>
      <c r="X262" s="4"/>
      <c r="AF262" s="4"/>
      <c r="DF262" s="4"/>
    </row>
    <row r="263" spans="1:110">
      <c r="A263" s="4"/>
      <c r="B263" s="4"/>
      <c r="H263" s="11"/>
      <c r="X263" s="4"/>
      <c r="AF263" s="4"/>
      <c r="DF263" s="4"/>
    </row>
    <row r="264" spans="1:110">
      <c r="A264" s="4"/>
      <c r="B264" s="4"/>
      <c r="H264" s="11"/>
      <c r="X264" s="4"/>
      <c r="AF264" s="4"/>
      <c r="DF264" s="4"/>
    </row>
    <row r="265" spans="1:110">
      <c r="A265" s="4"/>
      <c r="B265" s="4"/>
      <c r="H265" s="11"/>
      <c r="X265" s="4"/>
      <c r="AF265" s="4"/>
      <c r="DF265" s="4"/>
    </row>
    <row r="266" spans="1:110">
      <c r="A266" s="4"/>
      <c r="B266" s="4"/>
      <c r="H266" s="11"/>
      <c r="X266" s="4"/>
      <c r="AF266" s="4"/>
      <c r="DF266" s="4"/>
    </row>
    <row r="267" spans="1:110">
      <c r="A267" s="4"/>
      <c r="B267" s="4"/>
      <c r="H267" s="11"/>
      <c r="X267" s="4"/>
      <c r="AF267" s="4"/>
      <c r="DF267" s="4"/>
    </row>
    <row r="268" spans="1:110">
      <c r="A268" s="4"/>
      <c r="B268" s="4"/>
      <c r="H268" s="11"/>
      <c r="X268" s="4"/>
      <c r="AF268" s="4"/>
      <c r="DF268" s="4"/>
    </row>
    <row r="269" spans="1:110">
      <c r="A269" s="4"/>
      <c r="B269" s="4"/>
      <c r="H269" s="11"/>
      <c r="X269" s="4"/>
      <c r="AF269" s="4"/>
      <c r="DF269" s="4"/>
    </row>
    <row r="270" spans="1:110">
      <c r="A270" s="4"/>
      <c r="B270" s="4"/>
      <c r="H270" s="11"/>
      <c r="X270" s="4"/>
      <c r="AF270" s="4"/>
      <c r="DF270" s="4"/>
    </row>
    <row r="271" spans="1:110">
      <c r="A271" s="4"/>
      <c r="B271" s="4"/>
      <c r="H271" s="11"/>
      <c r="X271" s="4"/>
      <c r="AF271" s="4"/>
      <c r="DF271" s="4"/>
    </row>
    <row r="272" spans="1:110">
      <c r="A272" s="4"/>
      <c r="B272" s="4"/>
      <c r="H272" s="11"/>
      <c r="X272" s="4"/>
      <c r="AF272" s="4"/>
      <c r="DF272" s="4"/>
    </row>
    <row r="273" spans="1:110">
      <c r="A273" s="4"/>
      <c r="B273" s="4"/>
      <c r="H273" s="11"/>
      <c r="X273" s="4"/>
      <c r="AF273" s="4"/>
      <c r="DF273" s="4"/>
    </row>
    <row r="274" spans="1:110">
      <c r="A274" s="4"/>
      <c r="B274" s="4"/>
      <c r="H274" s="11"/>
      <c r="X274" s="4"/>
      <c r="AF274" s="4"/>
      <c r="DF274" s="4"/>
    </row>
    <row r="275" spans="1:110">
      <c r="A275" s="4"/>
      <c r="B275" s="4"/>
      <c r="H275" s="11"/>
      <c r="X275" s="4"/>
      <c r="AF275" s="4"/>
      <c r="DF275" s="4"/>
    </row>
    <row r="276" spans="1:110">
      <c r="A276" s="4"/>
      <c r="B276" s="4"/>
      <c r="H276" s="11"/>
      <c r="X276" s="4"/>
      <c r="AF276" s="4"/>
      <c r="DF276" s="4"/>
    </row>
    <row r="277" spans="1:110">
      <c r="A277" s="4"/>
      <c r="B277" s="4"/>
      <c r="H277" s="11"/>
      <c r="X277" s="4"/>
      <c r="AF277" s="4"/>
      <c r="DF277" s="4"/>
    </row>
    <row r="278" spans="1:110">
      <c r="A278" s="4"/>
      <c r="B278" s="4"/>
      <c r="H278" s="11"/>
      <c r="X278" s="4"/>
      <c r="AF278" s="4"/>
      <c r="DF278" s="4"/>
    </row>
    <row r="279" spans="1:110">
      <c r="A279" s="4"/>
      <c r="B279" s="4"/>
      <c r="H279" s="11"/>
      <c r="X279" s="4"/>
      <c r="AF279" s="4"/>
      <c r="DF279" s="4"/>
    </row>
    <row r="280" spans="1:110">
      <c r="A280" s="4"/>
      <c r="B280" s="4"/>
      <c r="H280" s="11"/>
      <c r="X280" s="4"/>
      <c r="AF280" s="4"/>
      <c r="DF280" s="4"/>
    </row>
    <row r="281" spans="1:110">
      <c r="A281" s="4"/>
      <c r="B281" s="4"/>
      <c r="H281" s="11"/>
      <c r="X281" s="4"/>
      <c r="AF281" s="4"/>
      <c r="DF281" s="4"/>
    </row>
    <row r="282" spans="1:110">
      <c r="A282" s="4"/>
      <c r="B282" s="4"/>
      <c r="H282" s="11"/>
      <c r="X282" s="4"/>
      <c r="AF282" s="4"/>
      <c r="DF282" s="4"/>
    </row>
    <row r="283" spans="1:110">
      <c r="A283" s="4"/>
      <c r="B283" s="4"/>
      <c r="H283" s="11"/>
      <c r="X283" s="4"/>
      <c r="AF283" s="4"/>
      <c r="DF283" s="4"/>
    </row>
    <row r="284" spans="1:110">
      <c r="A284" s="4"/>
      <c r="B284" s="4"/>
      <c r="H284" s="11"/>
      <c r="X284" s="4"/>
      <c r="AF284" s="4"/>
      <c r="DF284" s="4"/>
    </row>
    <row r="285" spans="1:110">
      <c r="A285" s="4"/>
      <c r="B285" s="4"/>
      <c r="H285" s="11"/>
      <c r="X285" s="4"/>
      <c r="AF285" s="4"/>
      <c r="DF285" s="4"/>
    </row>
    <row r="286" spans="1:110">
      <c r="A286" s="4"/>
      <c r="B286" s="4"/>
      <c r="H286" s="11"/>
      <c r="X286" s="4"/>
      <c r="AF286" s="4"/>
      <c r="DF286" s="4"/>
    </row>
    <row r="287" spans="1:110">
      <c r="A287" s="4"/>
      <c r="B287" s="4"/>
      <c r="H287" s="11"/>
      <c r="X287" s="4"/>
      <c r="AF287" s="4"/>
      <c r="DF287" s="4"/>
    </row>
    <row r="288" spans="1:110">
      <c r="A288" s="4"/>
      <c r="B288" s="4"/>
      <c r="H288" s="11"/>
      <c r="X288" s="4"/>
      <c r="AF288" s="4"/>
      <c r="DF288" s="4"/>
    </row>
    <row r="289" spans="1:110">
      <c r="A289" s="4"/>
      <c r="B289" s="4"/>
      <c r="H289" s="11"/>
      <c r="X289" s="4"/>
      <c r="AF289" s="4"/>
      <c r="DF289" s="4"/>
    </row>
    <row r="290" spans="1:110">
      <c r="A290" s="4"/>
      <c r="B290" s="4"/>
      <c r="H290" s="11"/>
      <c r="X290" s="4"/>
      <c r="AF290" s="4"/>
      <c r="DF290" s="4"/>
    </row>
    <row r="291" spans="1:110">
      <c r="A291" s="4"/>
      <c r="B291" s="4"/>
      <c r="H291" s="11"/>
      <c r="X291" s="4"/>
      <c r="AF291" s="4"/>
      <c r="DF291" s="4"/>
    </row>
    <row r="292" spans="1:110">
      <c r="A292" s="4"/>
      <c r="B292" s="4"/>
      <c r="H292" s="11"/>
      <c r="X292" s="4"/>
      <c r="AF292" s="4"/>
      <c r="DF292" s="4"/>
    </row>
    <row r="293" spans="1:110">
      <c r="A293" s="4"/>
      <c r="B293" s="4"/>
      <c r="H293" s="11"/>
      <c r="X293" s="4"/>
      <c r="AF293" s="4"/>
      <c r="DF293" s="4"/>
    </row>
    <row r="294" spans="1:110">
      <c r="A294" s="4"/>
      <c r="B294" s="4"/>
      <c r="H294" s="11"/>
      <c r="X294" s="4"/>
      <c r="AF294" s="4"/>
      <c r="DF294" s="4"/>
    </row>
    <row r="295" spans="1:110">
      <c r="A295" s="4"/>
      <c r="B295" s="4"/>
      <c r="H295" s="11"/>
      <c r="X295" s="4"/>
      <c r="AF295" s="4"/>
      <c r="DF295" s="4"/>
    </row>
    <row r="296" spans="1:110">
      <c r="A296" s="4"/>
      <c r="B296" s="4"/>
      <c r="H296" s="11"/>
      <c r="X296" s="4"/>
      <c r="AF296" s="4"/>
      <c r="DF296" s="4"/>
    </row>
    <row r="297" spans="1:110">
      <c r="A297" s="4"/>
      <c r="B297" s="4"/>
      <c r="H297" s="11"/>
      <c r="X297" s="4"/>
      <c r="AF297" s="4"/>
      <c r="DF297" s="4"/>
    </row>
    <row r="298" spans="1:110">
      <c r="A298" s="4"/>
      <c r="B298" s="4"/>
      <c r="H298" s="11"/>
      <c r="X298" s="4"/>
      <c r="AF298" s="4"/>
      <c r="DF298" s="4"/>
    </row>
    <row r="299" spans="1:110">
      <c r="A299" s="4"/>
      <c r="B299" s="4"/>
      <c r="H299" s="11"/>
      <c r="X299" s="4"/>
      <c r="AF299" s="4"/>
      <c r="DF299" s="4"/>
    </row>
    <row r="300" spans="1:110">
      <c r="A300" s="4"/>
      <c r="B300" s="4"/>
      <c r="H300" s="11"/>
      <c r="X300" s="4"/>
      <c r="AF300" s="4"/>
      <c r="DF300" s="4"/>
    </row>
    <row r="301" spans="1:110">
      <c r="A301" s="4"/>
      <c r="B301" s="4"/>
      <c r="H301" s="11"/>
      <c r="X301" s="4"/>
      <c r="AF301" s="4"/>
      <c r="DF301" s="4"/>
    </row>
    <row r="302" spans="1:110">
      <c r="A302" s="4"/>
      <c r="B302" s="4"/>
      <c r="H302" s="11"/>
      <c r="X302" s="4"/>
      <c r="AF302" s="4"/>
      <c r="DF302" s="4"/>
    </row>
    <row r="303" spans="1:110">
      <c r="A303" s="4"/>
      <c r="B303" s="4"/>
      <c r="H303" s="11"/>
      <c r="X303" s="4"/>
      <c r="AF303" s="4"/>
      <c r="DF303" s="4"/>
    </row>
    <row r="304" spans="1:110">
      <c r="A304" s="4"/>
      <c r="B304" s="4"/>
      <c r="H304" s="11"/>
      <c r="X304" s="4"/>
      <c r="AF304" s="4"/>
      <c r="DF304" s="4"/>
    </row>
    <row r="305" spans="1:110">
      <c r="A305" s="4"/>
      <c r="B305" s="4"/>
      <c r="H305" s="11"/>
      <c r="X305" s="4"/>
      <c r="AF305" s="4"/>
      <c r="DF305" s="4"/>
    </row>
    <row r="306" spans="1:110">
      <c r="A306" s="4"/>
      <c r="B306" s="4"/>
      <c r="H306" s="11"/>
      <c r="X306" s="4"/>
      <c r="AF306" s="4"/>
      <c r="DF306" s="4"/>
    </row>
    <row r="307" spans="1:110">
      <c r="A307" s="4"/>
      <c r="B307" s="4"/>
      <c r="H307" s="11"/>
      <c r="X307" s="4"/>
      <c r="AF307" s="4"/>
      <c r="DF307" s="4"/>
    </row>
    <row r="308" spans="1:110">
      <c r="A308" s="4"/>
      <c r="B308" s="4"/>
      <c r="H308" s="11"/>
      <c r="X308" s="4"/>
      <c r="AF308" s="4"/>
      <c r="DF308" s="4"/>
    </row>
    <row r="309" spans="1:110">
      <c r="A309" s="4"/>
      <c r="B309" s="4"/>
      <c r="H309" s="11"/>
      <c r="X309" s="4"/>
      <c r="AF309" s="4"/>
      <c r="DF309" s="4"/>
    </row>
    <row r="310" spans="1:110">
      <c r="A310" s="4"/>
      <c r="B310" s="4"/>
      <c r="H310" s="11"/>
      <c r="X310" s="4"/>
      <c r="AF310" s="4"/>
      <c r="DF310" s="4"/>
    </row>
    <row r="311" spans="1:110">
      <c r="A311" s="4"/>
      <c r="B311" s="4"/>
      <c r="H311" s="11"/>
      <c r="X311" s="4"/>
      <c r="AF311" s="4"/>
      <c r="DF311" s="4"/>
    </row>
    <row r="312" spans="1:110">
      <c r="A312" s="4"/>
      <c r="B312" s="4"/>
      <c r="H312" s="11"/>
      <c r="X312" s="4"/>
      <c r="AF312" s="4"/>
      <c r="DF312" s="4"/>
    </row>
    <row r="313" spans="1:110">
      <c r="A313" s="4"/>
      <c r="B313" s="4"/>
      <c r="H313" s="11"/>
      <c r="X313" s="4"/>
      <c r="AF313" s="4"/>
      <c r="DF313" s="4"/>
    </row>
    <row r="314" spans="1:110">
      <c r="A314" s="4"/>
      <c r="B314" s="4"/>
      <c r="H314" s="11"/>
      <c r="X314" s="4"/>
      <c r="AF314" s="4"/>
      <c r="DF314" s="4"/>
    </row>
    <row r="315" spans="1:110">
      <c r="A315" s="4"/>
      <c r="B315" s="4"/>
      <c r="H315" s="11"/>
      <c r="X315" s="4"/>
      <c r="AF315" s="4"/>
      <c r="DF315" s="4"/>
    </row>
    <row r="316" spans="1:110">
      <c r="A316" s="4"/>
      <c r="B316" s="4"/>
      <c r="H316" s="11"/>
      <c r="X316" s="4"/>
      <c r="AF316" s="4"/>
      <c r="DF316" s="4"/>
    </row>
    <row r="317" spans="1:110">
      <c r="A317" s="4"/>
      <c r="B317" s="4"/>
      <c r="H317" s="11"/>
      <c r="X317" s="4"/>
      <c r="AF317" s="4"/>
      <c r="DF317" s="4"/>
    </row>
    <row r="318" spans="1:110">
      <c r="A318" s="4"/>
      <c r="B318" s="4"/>
      <c r="H318" s="11"/>
      <c r="X318" s="4"/>
      <c r="AF318" s="4"/>
      <c r="DF318" s="4"/>
    </row>
    <row r="319" spans="1:110">
      <c r="A319" s="4"/>
      <c r="B319" s="4"/>
      <c r="H319" s="11"/>
      <c r="X319" s="4"/>
      <c r="AF319" s="4"/>
      <c r="DF319" s="4"/>
    </row>
    <row r="320" spans="1:110">
      <c r="A320" s="4"/>
      <c r="B320" s="4"/>
      <c r="H320" s="11"/>
      <c r="X320" s="4"/>
      <c r="AF320" s="4"/>
      <c r="DF320" s="4"/>
    </row>
    <row r="321" spans="1:110">
      <c r="A321" s="4"/>
      <c r="B321" s="4"/>
      <c r="H321" s="11"/>
      <c r="X321" s="4"/>
      <c r="AF321" s="4"/>
      <c r="DF321" s="4"/>
    </row>
    <row r="322" spans="1:110">
      <c r="A322" s="4"/>
      <c r="B322" s="4"/>
      <c r="H322" s="11"/>
      <c r="X322" s="4"/>
      <c r="AF322" s="4"/>
      <c r="DF322" s="4"/>
    </row>
    <row r="323" spans="1:110">
      <c r="A323" s="4"/>
      <c r="B323" s="4"/>
      <c r="H323" s="11"/>
      <c r="X323" s="4"/>
      <c r="AF323" s="4"/>
      <c r="DF323" s="4"/>
    </row>
    <row r="324" spans="1:110">
      <c r="A324" s="4"/>
      <c r="B324" s="4"/>
      <c r="H324" s="11"/>
      <c r="X324" s="4"/>
      <c r="AF324" s="4"/>
      <c r="DF324" s="4"/>
    </row>
    <row r="325" spans="1:110">
      <c r="A325" s="4"/>
      <c r="B325" s="4"/>
      <c r="H325" s="11"/>
      <c r="X325" s="4"/>
      <c r="AF325" s="4"/>
      <c r="DF325" s="4"/>
    </row>
    <row r="326" spans="1:110">
      <c r="A326" s="4"/>
      <c r="B326" s="4"/>
      <c r="H326" s="11"/>
      <c r="X326" s="4"/>
      <c r="AF326" s="4"/>
      <c r="DF326" s="4"/>
    </row>
    <row r="327" spans="1:110">
      <c r="A327" s="4"/>
      <c r="B327" s="4"/>
      <c r="H327" s="11"/>
      <c r="X327" s="4"/>
      <c r="AF327" s="4"/>
      <c r="DF327" s="4"/>
    </row>
    <row r="328" spans="1:110">
      <c r="A328" s="4"/>
      <c r="B328" s="4"/>
      <c r="H328" s="11"/>
      <c r="X328" s="4"/>
      <c r="AF328" s="4"/>
      <c r="DF328" s="4"/>
    </row>
    <row r="329" spans="1:110">
      <c r="A329" s="4"/>
      <c r="B329" s="4"/>
      <c r="H329" s="11"/>
      <c r="X329" s="4"/>
      <c r="AF329" s="4"/>
      <c r="DF329" s="4"/>
    </row>
    <row r="330" spans="1:110">
      <c r="A330" s="4"/>
      <c r="B330" s="4"/>
      <c r="H330" s="11"/>
      <c r="X330" s="4"/>
      <c r="AF330" s="4"/>
      <c r="DF330" s="4"/>
    </row>
    <row r="331" spans="1:110">
      <c r="A331" s="4"/>
      <c r="B331" s="4"/>
      <c r="H331" s="11"/>
      <c r="X331" s="4"/>
      <c r="AF331" s="4"/>
      <c r="DF331" s="4"/>
    </row>
    <row r="332" spans="1:110">
      <c r="A332" s="4"/>
      <c r="B332" s="4"/>
      <c r="H332" s="11"/>
      <c r="X332" s="4"/>
      <c r="AF332" s="4"/>
      <c r="DF332" s="4"/>
    </row>
    <row r="333" spans="1:110">
      <c r="A333" s="4"/>
      <c r="B333" s="4"/>
      <c r="H333" s="11"/>
      <c r="X333" s="4"/>
      <c r="AF333" s="4"/>
      <c r="DF333" s="4"/>
    </row>
    <row r="334" spans="1:110">
      <c r="A334" s="4"/>
      <c r="B334" s="4"/>
      <c r="H334" s="11"/>
      <c r="X334" s="4"/>
      <c r="AF334" s="4"/>
      <c r="DF334" s="4"/>
    </row>
    <row r="335" spans="1:110">
      <c r="A335" s="4"/>
      <c r="B335" s="4"/>
      <c r="H335" s="11"/>
      <c r="X335" s="4"/>
      <c r="AF335" s="4"/>
      <c r="DF335" s="4"/>
    </row>
    <row r="336" spans="1:110">
      <c r="A336" s="4"/>
      <c r="B336" s="4"/>
      <c r="H336" s="11"/>
      <c r="X336" s="4"/>
      <c r="AF336" s="4"/>
      <c r="DF336" s="4"/>
    </row>
    <row r="337" spans="1:110">
      <c r="A337" s="4"/>
      <c r="B337" s="4"/>
      <c r="H337" s="11"/>
      <c r="X337" s="4"/>
      <c r="AF337" s="4"/>
      <c r="DF337" s="4"/>
    </row>
    <row r="338" spans="1:110">
      <c r="A338" s="4"/>
      <c r="B338" s="4"/>
      <c r="H338" s="11"/>
      <c r="X338" s="4"/>
      <c r="AF338" s="4"/>
      <c r="DF338" s="4"/>
    </row>
    <row r="339" spans="1:110">
      <c r="A339" s="4"/>
      <c r="B339" s="4"/>
      <c r="H339" s="11"/>
      <c r="X339" s="4"/>
      <c r="AF339" s="4"/>
      <c r="DF339" s="4"/>
    </row>
    <row r="340" spans="1:110">
      <c r="A340" s="4"/>
      <c r="B340" s="4"/>
      <c r="H340" s="11"/>
      <c r="X340" s="4"/>
      <c r="AF340" s="4"/>
      <c r="DF340" s="4"/>
    </row>
    <row r="341" spans="1:110">
      <c r="A341" s="4"/>
      <c r="B341" s="4"/>
      <c r="H341" s="11"/>
      <c r="X341" s="4"/>
      <c r="AF341" s="4"/>
      <c r="DF341" s="4"/>
    </row>
    <row r="342" spans="1:110">
      <c r="A342" s="4"/>
      <c r="B342" s="4"/>
      <c r="H342" s="11"/>
      <c r="X342" s="4"/>
      <c r="AF342" s="4"/>
      <c r="DF342" s="4"/>
    </row>
    <row r="343" spans="1:110">
      <c r="A343" s="4"/>
      <c r="B343" s="4"/>
      <c r="H343" s="11"/>
      <c r="X343" s="4"/>
      <c r="AF343" s="4"/>
      <c r="DF343" s="4"/>
    </row>
    <row r="344" spans="1:110">
      <c r="A344" s="4"/>
      <c r="B344" s="4"/>
      <c r="H344" s="11"/>
      <c r="X344" s="4"/>
      <c r="AF344" s="4"/>
      <c r="DF344" s="4"/>
    </row>
    <row r="345" spans="1:110">
      <c r="A345" s="4"/>
      <c r="B345" s="4"/>
      <c r="H345" s="11"/>
      <c r="X345" s="4"/>
      <c r="AF345" s="4"/>
      <c r="DF345" s="4"/>
    </row>
    <row r="346" spans="1:110">
      <c r="A346" s="4"/>
      <c r="B346" s="4"/>
      <c r="H346" s="11"/>
      <c r="X346" s="4"/>
      <c r="AF346" s="4"/>
      <c r="DF346" s="4"/>
    </row>
    <row r="347" spans="1:110">
      <c r="A347" s="4"/>
      <c r="B347" s="4"/>
      <c r="H347" s="11"/>
      <c r="X347" s="4"/>
      <c r="AF347" s="4"/>
      <c r="DF347" s="4"/>
    </row>
    <row r="348" spans="1:110">
      <c r="A348" s="4"/>
      <c r="B348" s="4"/>
      <c r="H348" s="11"/>
      <c r="X348" s="4"/>
      <c r="AF348" s="4"/>
      <c r="DF348" s="4"/>
    </row>
    <row r="349" spans="1:110">
      <c r="A349" s="4"/>
      <c r="B349" s="4"/>
      <c r="H349" s="11"/>
      <c r="X349" s="4"/>
      <c r="AF349" s="4"/>
      <c r="DF349" s="4"/>
    </row>
    <row r="350" spans="1:110">
      <c r="A350" s="4"/>
      <c r="B350" s="4"/>
      <c r="H350" s="11"/>
      <c r="X350" s="4"/>
      <c r="AF350" s="4"/>
      <c r="DF350" s="4"/>
    </row>
    <row r="351" spans="1:110">
      <c r="A351" s="4"/>
      <c r="B351" s="4"/>
      <c r="H351" s="11"/>
      <c r="X351" s="4"/>
      <c r="AF351" s="4"/>
      <c r="DF351" s="4"/>
    </row>
    <row r="352" spans="1:110">
      <c r="A352" s="4"/>
      <c r="B352" s="4"/>
      <c r="H352" s="11"/>
      <c r="X352" s="4"/>
      <c r="AF352" s="4"/>
      <c r="DF352" s="4"/>
    </row>
    <row r="353" spans="1:110">
      <c r="A353" s="4"/>
      <c r="B353" s="4"/>
      <c r="H353" s="11"/>
      <c r="X353" s="4"/>
      <c r="AF353" s="4"/>
      <c r="DF353" s="4"/>
    </row>
    <row r="354" spans="1:110">
      <c r="A354" s="4"/>
      <c r="B354" s="4"/>
      <c r="H354" s="11"/>
      <c r="X354" s="4"/>
      <c r="AF354" s="4"/>
      <c r="DF354" s="4"/>
    </row>
    <row r="355" spans="1:110">
      <c r="A355" s="4"/>
      <c r="B355" s="4"/>
      <c r="H355" s="11"/>
      <c r="X355" s="4"/>
      <c r="AF355" s="4"/>
      <c r="DF355" s="4"/>
    </row>
    <row r="356" spans="1:110">
      <c r="A356" s="4"/>
      <c r="B356" s="4"/>
      <c r="H356" s="11"/>
      <c r="X356" s="4"/>
      <c r="AF356" s="4"/>
      <c r="DF356" s="4"/>
    </row>
    <row r="357" spans="1:110">
      <c r="A357" s="4"/>
      <c r="B357" s="4"/>
      <c r="H357" s="11"/>
      <c r="X357" s="4"/>
      <c r="AF357" s="4"/>
      <c r="DF357" s="4"/>
    </row>
    <row r="358" spans="1:110">
      <c r="A358" s="4"/>
      <c r="B358" s="4"/>
      <c r="H358" s="11"/>
      <c r="X358" s="4"/>
      <c r="AF358" s="4"/>
      <c r="DF358" s="4"/>
    </row>
    <row r="359" spans="1:110">
      <c r="A359" s="4"/>
      <c r="B359" s="4"/>
      <c r="H359" s="11"/>
      <c r="X359" s="4"/>
      <c r="AF359" s="4"/>
      <c r="DF359" s="4"/>
    </row>
    <row r="360" spans="1:110">
      <c r="A360" s="4"/>
      <c r="B360" s="4"/>
      <c r="H360" s="11"/>
      <c r="X360" s="4"/>
      <c r="AF360" s="4"/>
      <c r="DF360" s="4"/>
    </row>
    <row r="361" spans="1:110">
      <c r="A361" s="4"/>
      <c r="B361" s="4"/>
      <c r="H361" s="11"/>
      <c r="X361" s="4"/>
      <c r="AF361" s="4"/>
      <c r="DF361" s="4"/>
    </row>
    <row r="362" spans="1:110">
      <c r="A362" s="4"/>
      <c r="B362" s="4"/>
      <c r="H362" s="11"/>
      <c r="X362" s="4"/>
      <c r="AF362" s="4"/>
      <c r="DF362" s="4"/>
    </row>
    <row r="363" spans="1:110">
      <c r="A363" s="4"/>
      <c r="B363" s="4"/>
      <c r="H363" s="11"/>
      <c r="X363" s="4"/>
      <c r="AF363" s="4"/>
      <c r="DF363" s="4"/>
    </row>
    <row r="364" spans="1:110">
      <c r="A364" s="4"/>
      <c r="B364" s="4"/>
      <c r="H364" s="11"/>
      <c r="X364" s="4"/>
      <c r="AF364" s="4"/>
      <c r="DF364" s="4"/>
    </row>
    <row r="365" spans="1:110">
      <c r="A365" s="4"/>
      <c r="B365" s="4"/>
      <c r="H365" s="11"/>
      <c r="X365" s="4"/>
      <c r="AF365" s="4"/>
      <c r="DF365" s="4"/>
    </row>
    <row r="366" spans="1:110">
      <c r="A366" s="4"/>
      <c r="B366" s="4"/>
      <c r="H366" s="11"/>
      <c r="X366" s="4"/>
      <c r="AF366" s="4"/>
      <c r="DF366" s="4"/>
    </row>
    <row r="367" spans="1:110">
      <c r="A367" s="4"/>
      <c r="B367" s="4"/>
      <c r="H367" s="11"/>
      <c r="X367" s="4"/>
      <c r="AF367" s="4"/>
      <c r="DF367" s="4"/>
    </row>
    <row r="368" spans="1:110">
      <c r="A368" s="4"/>
      <c r="B368" s="4"/>
      <c r="H368" s="11"/>
      <c r="X368" s="4"/>
      <c r="AF368" s="4"/>
      <c r="DF368" s="4"/>
    </row>
    <row r="369" spans="1:110">
      <c r="A369" s="4"/>
      <c r="B369" s="4"/>
      <c r="H369" s="11"/>
      <c r="X369" s="4"/>
      <c r="AF369" s="4"/>
      <c r="DF369" s="4"/>
    </row>
    <row r="370" spans="1:110">
      <c r="A370" s="4"/>
      <c r="B370" s="4"/>
      <c r="H370" s="11"/>
      <c r="X370" s="4"/>
      <c r="AF370" s="4"/>
      <c r="DF370" s="4"/>
    </row>
    <row r="371" spans="1:110">
      <c r="A371" s="4"/>
      <c r="B371" s="4"/>
      <c r="H371" s="11"/>
      <c r="X371" s="4"/>
      <c r="AF371" s="4"/>
      <c r="DF371" s="4"/>
    </row>
    <row r="372" spans="1:110">
      <c r="A372" s="4"/>
      <c r="B372" s="4"/>
      <c r="H372" s="11"/>
      <c r="X372" s="4"/>
      <c r="AF372" s="4"/>
      <c r="DF372" s="4"/>
    </row>
    <row r="373" spans="1:110">
      <c r="A373" s="4"/>
      <c r="B373" s="4"/>
      <c r="H373" s="11"/>
      <c r="X373" s="4"/>
      <c r="AF373" s="4"/>
      <c r="DF373" s="4"/>
    </row>
    <row r="374" spans="1:110">
      <c r="A374" s="4"/>
      <c r="B374" s="4"/>
      <c r="H374" s="11"/>
      <c r="X374" s="4"/>
      <c r="AF374" s="4"/>
      <c r="DF374" s="4"/>
    </row>
    <row r="375" spans="1:110">
      <c r="A375" s="4"/>
      <c r="B375" s="4"/>
      <c r="H375" s="11"/>
      <c r="X375" s="4"/>
      <c r="AF375" s="4"/>
      <c r="DF375" s="4"/>
    </row>
    <row r="376" spans="1:110">
      <c r="A376" s="4"/>
      <c r="B376" s="4"/>
      <c r="H376" s="11"/>
      <c r="X376" s="4"/>
      <c r="AF376" s="4"/>
      <c r="DF376" s="4"/>
    </row>
    <row r="377" spans="1:110">
      <c r="A377" s="4"/>
      <c r="B377" s="4"/>
      <c r="H377" s="11"/>
      <c r="X377" s="4"/>
      <c r="AF377" s="4"/>
      <c r="DF377" s="4"/>
    </row>
    <row r="378" spans="1:110">
      <c r="A378" s="4"/>
      <c r="B378" s="4"/>
      <c r="H378" s="11"/>
      <c r="X378" s="4"/>
      <c r="AF378" s="4"/>
      <c r="DF378" s="4"/>
    </row>
    <row r="379" spans="1:110">
      <c r="A379" s="4"/>
      <c r="B379" s="4"/>
      <c r="H379" s="11"/>
      <c r="X379" s="4"/>
      <c r="AF379" s="4"/>
      <c r="DF379" s="4"/>
    </row>
    <row r="380" spans="1:110">
      <c r="A380" s="4"/>
      <c r="B380" s="4"/>
      <c r="H380" s="11"/>
      <c r="X380" s="4"/>
      <c r="AF380" s="4"/>
      <c r="DF380" s="4"/>
    </row>
    <row r="381" spans="1:110">
      <c r="A381" s="4"/>
      <c r="B381" s="4"/>
      <c r="H381" s="11"/>
      <c r="X381" s="4"/>
      <c r="AF381" s="4"/>
      <c r="DF381" s="4"/>
    </row>
    <row r="382" spans="1:110">
      <c r="A382" s="4"/>
      <c r="B382" s="4"/>
      <c r="H382" s="11"/>
      <c r="X382" s="4"/>
      <c r="AF382" s="4"/>
      <c r="DF382" s="4"/>
    </row>
    <row r="383" spans="1:110">
      <c r="A383" s="4"/>
      <c r="B383" s="4"/>
      <c r="H383" s="11"/>
      <c r="X383" s="4"/>
      <c r="AF383" s="4"/>
      <c r="DF383" s="4"/>
    </row>
    <row r="384" spans="1:110">
      <c r="A384" s="4"/>
      <c r="B384" s="4"/>
      <c r="H384" s="11"/>
      <c r="X384" s="4"/>
      <c r="AF384" s="4"/>
      <c r="DF384" s="4"/>
    </row>
    <row r="385" spans="1:110">
      <c r="A385" s="4"/>
      <c r="B385" s="4"/>
      <c r="H385" s="11"/>
      <c r="X385" s="4"/>
      <c r="AF385" s="4"/>
      <c r="DF385" s="4"/>
    </row>
    <row r="386" spans="1:110">
      <c r="A386" s="4"/>
      <c r="B386" s="4"/>
      <c r="H386" s="11"/>
      <c r="X386" s="4"/>
      <c r="AF386" s="4"/>
      <c r="DF386" s="4"/>
    </row>
    <row r="387" spans="1:110">
      <c r="A387" s="4"/>
      <c r="B387" s="4"/>
      <c r="H387" s="11"/>
      <c r="X387" s="4"/>
      <c r="AF387" s="4"/>
      <c r="DF387" s="4"/>
    </row>
    <row r="388" spans="1:110">
      <c r="A388" s="4"/>
      <c r="B388" s="4"/>
      <c r="H388" s="11"/>
      <c r="X388" s="4"/>
      <c r="AF388" s="4"/>
      <c r="DF388" s="4"/>
    </row>
    <row r="389" spans="1:110">
      <c r="A389" s="4"/>
      <c r="B389" s="4"/>
      <c r="H389" s="11"/>
      <c r="X389" s="4"/>
      <c r="AF389" s="4"/>
      <c r="DF389" s="4"/>
    </row>
    <row r="390" spans="1:110">
      <c r="A390" s="4"/>
      <c r="B390" s="4"/>
      <c r="H390" s="11"/>
      <c r="X390" s="4"/>
      <c r="AF390" s="4"/>
      <c r="DF390" s="4"/>
    </row>
    <row r="391" spans="1:110">
      <c r="A391" s="4"/>
      <c r="B391" s="4"/>
      <c r="H391" s="11"/>
      <c r="X391" s="4"/>
      <c r="AF391" s="4"/>
      <c r="DF391" s="4"/>
    </row>
    <row r="392" spans="1:110">
      <c r="A392" s="4"/>
      <c r="B392" s="4"/>
      <c r="H392" s="11"/>
      <c r="X392" s="4"/>
      <c r="AF392" s="4"/>
      <c r="DF392" s="4"/>
    </row>
    <row r="393" spans="1:110">
      <c r="A393" s="4"/>
      <c r="B393" s="4"/>
      <c r="H393" s="11"/>
      <c r="X393" s="4"/>
      <c r="AF393" s="4"/>
      <c r="DF393" s="4"/>
    </row>
    <row r="394" spans="1:110">
      <c r="A394" s="4"/>
      <c r="B394" s="4"/>
      <c r="H394" s="11"/>
      <c r="X394" s="4"/>
      <c r="AF394" s="4"/>
      <c r="DF394" s="4"/>
    </row>
    <row r="395" spans="1:110">
      <c r="A395" s="4"/>
      <c r="B395" s="4"/>
      <c r="H395" s="11"/>
      <c r="X395" s="4"/>
      <c r="AF395" s="4"/>
      <c r="DF395" s="4"/>
    </row>
    <row r="396" spans="1:110">
      <c r="A396" s="4"/>
      <c r="B396" s="4"/>
      <c r="H396" s="11"/>
      <c r="X396" s="4"/>
      <c r="AF396" s="4"/>
      <c r="DF396" s="4"/>
    </row>
    <row r="397" spans="1:110">
      <c r="A397" s="4"/>
      <c r="B397" s="4"/>
      <c r="H397" s="11"/>
      <c r="X397" s="4"/>
      <c r="AF397" s="4"/>
      <c r="DF397" s="4"/>
    </row>
    <row r="398" spans="1:110">
      <c r="A398" s="4"/>
      <c r="B398" s="4"/>
      <c r="H398" s="11"/>
      <c r="X398" s="4"/>
      <c r="AF398" s="4"/>
      <c r="DF398" s="4"/>
    </row>
    <row r="399" spans="1:110">
      <c r="A399" s="4"/>
      <c r="B399" s="4"/>
      <c r="H399" s="11"/>
      <c r="X399" s="4"/>
      <c r="AF399" s="4"/>
      <c r="DF399" s="4"/>
    </row>
    <row r="400" spans="1:110">
      <c r="A400" s="4"/>
      <c r="B400" s="4"/>
      <c r="H400" s="11"/>
      <c r="X400" s="4"/>
      <c r="AF400" s="4"/>
      <c r="DF400" s="4"/>
    </row>
    <row r="401" spans="1:110">
      <c r="A401" s="4"/>
      <c r="B401" s="4"/>
      <c r="H401" s="11"/>
      <c r="X401" s="4"/>
      <c r="AF401" s="4"/>
      <c r="DF401" s="4"/>
    </row>
    <row r="402" spans="1:110">
      <c r="A402" s="4"/>
      <c r="B402" s="4"/>
      <c r="H402" s="11"/>
      <c r="X402" s="4"/>
      <c r="AF402" s="4"/>
      <c r="DF402" s="4"/>
    </row>
    <row r="403" spans="1:110">
      <c r="A403" s="4"/>
      <c r="B403" s="4"/>
      <c r="H403" s="11"/>
      <c r="X403" s="4"/>
      <c r="AF403" s="4"/>
      <c r="DF403" s="4"/>
    </row>
    <row r="404" spans="1:110">
      <c r="A404" s="4"/>
      <c r="B404" s="4"/>
      <c r="H404" s="11"/>
      <c r="X404" s="4"/>
      <c r="AF404" s="4"/>
      <c r="DF404" s="4"/>
    </row>
    <row r="405" spans="1:110">
      <c r="A405" s="4"/>
      <c r="B405" s="4"/>
      <c r="H405" s="11"/>
      <c r="X405" s="4"/>
      <c r="AF405" s="4"/>
      <c r="DF405" s="4"/>
    </row>
    <row r="406" spans="1:110">
      <c r="A406" s="4"/>
      <c r="B406" s="4"/>
      <c r="H406" s="11"/>
      <c r="X406" s="4"/>
      <c r="AF406" s="4"/>
      <c r="DF406" s="4"/>
    </row>
    <row r="407" spans="1:110">
      <c r="A407" s="4"/>
      <c r="B407" s="4"/>
      <c r="H407" s="11"/>
      <c r="X407" s="4"/>
      <c r="AF407" s="4"/>
      <c r="DF407" s="4"/>
    </row>
    <row r="408" spans="1:110">
      <c r="A408" s="4"/>
      <c r="B408" s="4"/>
      <c r="H408" s="11"/>
      <c r="X408" s="4"/>
      <c r="AF408" s="4"/>
      <c r="DF408" s="4"/>
    </row>
    <row r="409" spans="1:110">
      <c r="A409" s="4"/>
      <c r="B409" s="4"/>
      <c r="H409" s="11"/>
      <c r="X409" s="4"/>
      <c r="AF409" s="4"/>
      <c r="DF409" s="4"/>
    </row>
    <row r="410" spans="1:110">
      <c r="A410" s="4"/>
      <c r="B410" s="4"/>
      <c r="H410" s="11"/>
      <c r="X410" s="4"/>
      <c r="AF410" s="4"/>
      <c r="DF410" s="4"/>
    </row>
    <row r="411" spans="1:110">
      <c r="A411" s="4"/>
      <c r="B411" s="4"/>
      <c r="H411" s="11"/>
      <c r="X411" s="4"/>
      <c r="AF411" s="4"/>
      <c r="DF411" s="4"/>
    </row>
    <row r="412" spans="1:110">
      <c r="A412" s="4"/>
      <c r="B412" s="4"/>
      <c r="H412" s="11"/>
      <c r="X412" s="4"/>
      <c r="AF412" s="4"/>
      <c r="DF412" s="4"/>
    </row>
    <row r="413" spans="1:110">
      <c r="A413" s="4"/>
      <c r="B413" s="4"/>
      <c r="H413" s="11"/>
      <c r="X413" s="4"/>
      <c r="AF413" s="4"/>
      <c r="DF413" s="4"/>
    </row>
    <row r="414" spans="1:110">
      <c r="A414" s="4"/>
      <c r="B414" s="4"/>
      <c r="H414" s="11"/>
      <c r="X414" s="4"/>
      <c r="AF414" s="4"/>
      <c r="DF414" s="4"/>
    </row>
    <row r="415" spans="1:110">
      <c r="A415" s="4"/>
      <c r="B415" s="4"/>
      <c r="H415" s="11"/>
      <c r="X415" s="4"/>
      <c r="AF415" s="4"/>
      <c r="DF415" s="4"/>
    </row>
    <row r="416" spans="1:110">
      <c r="A416" s="4"/>
      <c r="B416" s="4"/>
      <c r="H416" s="11"/>
      <c r="X416" s="4"/>
      <c r="AF416" s="4"/>
      <c r="DF416" s="4"/>
    </row>
    <row r="417" spans="1:110">
      <c r="A417" s="4"/>
      <c r="B417" s="4"/>
      <c r="H417" s="11"/>
      <c r="X417" s="4"/>
      <c r="AF417" s="4"/>
      <c r="DF417" s="4"/>
    </row>
    <row r="418" spans="1:110">
      <c r="A418" s="4"/>
      <c r="B418" s="4"/>
      <c r="H418" s="11"/>
      <c r="X418" s="4"/>
      <c r="AF418" s="4"/>
      <c r="DF418" s="4"/>
    </row>
    <row r="419" spans="1:110">
      <c r="A419" s="4"/>
      <c r="B419" s="4"/>
      <c r="H419" s="11"/>
      <c r="X419" s="4"/>
      <c r="AF419" s="4"/>
      <c r="DF419" s="4"/>
    </row>
    <row r="420" spans="1:110">
      <c r="A420" s="4"/>
      <c r="B420" s="4"/>
      <c r="H420" s="11"/>
      <c r="X420" s="4"/>
      <c r="AF420" s="4"/>
      <c r="DF420" s="4"/>
    </row>
    <row r="421" spans="1:110">
      <c r="A421" s="4"/>
      <c r="B421" s="4"/>
      <c r="H421" s="11"/>
      <c r="X421" s="4"/>
      <c r="AF421" s="4"/>
      <c r="DF421" s="4"/>
    </row>
    <row r="422" spans="1:110">
      <c r="A422" s="4"/>
      <c r="B422" s="4"/>
      <c r="H422" s="11"/>
      <c r="X422" s="4"/>
      <c r="AF422" s="4"/>
      <c r="DF422" s="4"/>
    </row>
    <row r="423" spans="1:110">
      <c r="A423" s="4"/>
      <c r="B423" s="4"/>
      <c r="H423" s="11"/>
      <c r="X423" s="4"/>
      <c r="AF423" s="4"/>
      <c r="DF423" s="4"/>
    </row>
    <row r="424" spans="1:110">
      <c r="A424" s="4"/>
      <c r="B424" s="4"/>
      <c r="H424" s="11"/>
      <c r="X424" s="4"/>
      <c r="AF424" s="4"/>
      <c r="DF424" s="4"/>
    </row>
    <row r="425" spans="1:110">
      <c r="A425" s="4"/>
      <c r="B425" s="4"/>
      <c r="H425" s="11"/>
      <c r="X425" s="4"/>
      <c r="AF425" s="4"/>
      <c r="DF425" s="4"/>
    </row>
    <row r="426" spans="1:110">
      <c r="A426" s="4"/>
      <c r="B426" s="4"/>
      <c r="H426" s="11"/>
      <c r="X426" s="4"/>
      <c r="AF426" s="4"/>
      <c r="DF426" s="4"/>
    </row>
    <row r="427" spans="1:110">
      <c r="A427" s="4"/>
      <c r="B427" s="4"/>
      <c r="H427" s="11"/>
      <c r="X427" s="4"/>
      <c r="AF427" s="4"/>
      <c r="DF427" s="4"/>
    </row>
    <row r="428" spans="1:110">
      <c r="A428" s="4"/>
      <c r="B428" s="4"/>
      <c r="H428" s="11"/>
      <c r="X428" s="4"/>
      <c r="AF428" s="4"/>
      <c r="DF428" s="4"/>
    </row>
    <row r="429" spans="1:110">
      <c r="A429" s="4"/>
      <c r="B429" s="4"/>
      <c r="H429" s="11"/>
      <c r="X429" s="4"/>
      <c r="AF429" s="4"/>
      <c r="DF429" s="4"/>
    </row>
    <row r="430" spans="1:110">
      <c r="A430" s="4"/>
      <c r="B430" s="4"/>
      <c r="H430" s="11"/>
      <c r="X430" s="4"/>
      <c r="AF430" s="4"/>
      <c r="DF430" s="4"/>
    </row>
    <row r="431" spans="1:110">
      <c r="A431" s="4"/>
      <c r="B431" s="4"/>
      <c r="H431" s="11"/>
      <c r="X431" s="4"/>
      <c r="AF431" s="4"/>
      <c r="DF431" s="4"/>
    </row>
    <row r="432" spans="1:110">
      <c r="A432" s="4"/>
      <c r="B432" s="4"/>
      <c r="H432" s="11"/>
      <c r="X432" s="4"/>
      <c r="AF432" s="4"/>
      <c r="DF432" s="4"/>
    </row>
    <row r="433" spans="1:110">
      <c r="A433" s="4"/>
      <c r="B433" s="4"/>
      <c r="H433" s="11"/>
      <c r="X433" s="4"/>
      <c r="AF433" s="4"/>
      <c r="DF433" s="4"/>
    </row>
    <row r="434" spans="1:110">
      <c r="A434" s="4"/>
      <c r="B434" s="4"/>
      <c r="H434" s="11"/>
      <c r="X434" s="4"/>
      <c r="AF434" s="4"/>
      <c r="DF434" s="4"/>
    </row>
    <row r="435" spans="1:110">
      <c r="A435" s="4"/>
      <c r="B435" s="4"/>
      <c r="H435" s="11"/>
      <c r="X435" s="4"/>
      <c r="AF435" s="4"/>
      <c r="DF435" s="4"/>
    </row>
    <row r="436" spans="1:110">
      <c r="A436" s="4"/>
      <c r="B436" s="4"/>
      <c r="H436" s="11"/>
      <c r="X436" s="4"/>
      <c r="AF436" s="4"/>
      <c r="DF436" s="4"/>
    </row>
    <row r="437" spans="1:110">
      <c r="A437" s="4"/>
      <c r="B437" s="4"/>
      <c r="H437" s="11"/>
      <c r="X437" s="4"/>
      <c r="AF437" s="4"/>
      <c r="DF437" s="4"/>
    </row>
    <row r="438" spans="1:110">
      <c r="A438" s="4"/>
      <c r="B438" s="4"/>
      <c r="H438" s="11"/>
      <c r="X438" s="4"/>
      <c r="AF438" s="4"/>
      <c r="DF438" s="4"/>
    </row>
    <row r="439" spans="1:110">
      <c r="A439" s="4"/>
      <c r="B439" s="4"/>
      <c r="H439" s="11"/>
      <c r="X439" s="4"/>
      <c r="AF439" s="4"/>
      <c r="DF439" s="4"/>
    </row>
    <row r="440" spans="1:110">
      <c r="A440" s="4"/>
      <c r="B440" s="4"/>
      <c r="H440" s="11"/>
      <c r="X440" s="4"/>
      <c r="AF440" s="4"/>
      <c r="DF440" s="4"/>
    </row>
    <row r="441" spans="1:110">
      <c r="A441" s="4"/>
      <c r="B441" s="4"/>
      <c r="H441" s="11"/>
      <c r="X441" s="4"/>
      <c r="AF441" s="4"/>
      <c r="DF441" s="4"/>
    </row>
    <row r="442" spans="1:110">
      <c r="A442" s="4"/>
      <c r="B442" s="4"/>
      <c r="H442" s="11"/>
      <c r="X442" s="4"/>
      <c r="AF442" s="4"/>
      <c r="DF442" s="4"/>
    </row>
    <row r="443" spans="1:110">
      <c r="A443" s="4"/>
      <c r="B443" s="4"/>
      <c r="H443" s="11"/>
      <c r="X443" s="4"/>
      <c r="AF443" s="4"/>
      <c r="DF443" s="4"/>
    </row>
    <row r="444" spans="1:110">
      <c r="A444" s="4"/>
      <c r="B444" s="4"/>
      <c r="H444" s="11"/>
      <c r="X444" s="4"/>
      <c r="AF444" s="4"/>
      <c r="DF444" s="4"/>
    </row>
    <row r="445" spans="1:110">
      <c r="A445" s="4"/>
      <c r="B445" s="4"/>
      <c r="H445" s="11"/>
      <c r="X445" s="4"/>
      <c r="AF445" s="4"/>
      <c r="DF445" s="4"/>
    </row>
    <row r="446" spans="1:110">
      <c r="A446" s="4"/>
      <c r="B446" s="4"/>
      <c r="H446" s="11"/>
      <c r="X446" s="4"/>
      <c r="AF446" s="4"/>
      <c r="DF446" s="4"/>
    </row>
    <row r="447" spans="1:110">
      <c r="A447" s="4"/>
      <c r="B447" s="4"/>
      <c r="H447" s="11"/>
      <c r="X447" s="4"/>
      <c r="AF447" s="4"/>
      <c r="DF447" s="4"/>
    </row>
    <row r="448" spans="1:110">
      <c r="A448" s="4"/>
      <c r="B448" s="4"/>
      <c r="H448" s="11"/>
      <c r="X448" s="4"/>
      <c r="AF448" s="4"/>
      <c r="DF448" s="4"/>
    </row>
    <row r="449" spans="1:110">
      <c r="A449" s="4"/>
      <c r="B449" s="4"/>
      <c r="H449" s="11"/>
      <c r="X449" s="4"/>
      <c r="AF449" s="4"/>
      <c r="DF449" s="4"/>
    </row>
    <row r="450" spans="1:110">
      <c r="A450" s="4"/>
      <c r="B450" s="4"/>
      <c r="H450" s="11"/>
      <c r="X450" s="4"/>
      <c r="AF450" s="4"/>
      <c r="DF450" s="4"/>
    </row>
    <row r="451" spans="1:110">
      <c r="A451" s="4"/>
      <c r="B451" s="4"/>
      <c r="H451" s="11"/>
      <c r="X451" s="4"/>
      <c r="AF451" s="4"/>
      <c r="DF451" s="4"/>
    </row>
    <row r="452" spans="1:110">
      <c r="A452" s="4"/>
      <c r="B452" s="4"/>
      <c r="H452" s="11"/>
      <c r="X452" s="4"/>
      <c r="AF452" s="4"/>
      <c r="DF452" s="4"/>
    </row>
    <row r="453" spans="1:110">
      <c r="A453" s="4"/>
      <c r="B453" s="4"/>
      <c r="H453" s="11"/>
      <c r="X453" s="4"/>
      <c r="AF453" s="4"/>
      <c r="DF453" s="4"/>
    </row>
    <row r="454" spans="1:110">
      <c r="A454" s="4"/>
      <c r="B454" s="4"/>
      <c r="H454" s="11"/>
      <c r="X454" s="4"/>
      <c r="AF454" s="4"/>
      <c r="DF454" s="4"/>
    </row>
    <row r="455" spans="1:110">
      <c r="A455" s="4"/>
      <c r="B455" s="4"/>
      <c r="H455" s="11"/>
      <c r="X455" s="4"/>
      <c r="AF455" s="4"/>
      <c r="DF455" s="4"/>
    </row>
    <row r="456" spans="1:110">
      <c r="A456" s="4"/>
      <c r="B456" s="4"/>
      <c r="H456" s="11"/>
      <c r="X456" s="4"/>
      <c r="AF456" s="4"/>
      <c r="DF456" s="4"/>
    </row>
    <row r="457" spans="1:110">
      <c r="A457" s="4"/>
      <c r="B457" s="4"/>
      <c r="H457" s="11"/>
      <c r="X457" s="4"/>
      <c r="AF457" s="4"/>
      <c r="DF457" s="4"/>
    </row>
    <row r="458" spans="1:110">
      <c r="A458" s="4"/>
      <c r="B458" s="4"/>
      <c r="H458" s="11"/>
      <c r="X458" s="4"/>
      <c r="AF458" s="4"/>
      <c r="DF458" s="4"/>
    </row>
    <row r="459" spans="1:110">
      <c r="A459" s="4"/>
      <c r="B459" s="4"/>
      <c r="H459" s="11"/>
      <c r="X459" s="4"/>
      <c r="AF459" s="4"/>
      <c r="DF459" s="4"/>
    </row>
    <row r="460" spans="1:110">
      <c r="A460" s="4"/>
      <c r="B460" s="4"/>
      <c r="H460" s="11"/>
      <c r="X460" s="4"/>
      <c r="AF460" s="4"/>
      <c r="DF460" s="4"/>
    </row>
    <row r="461" spans="1:110">
      <c r="A461" s="4"/>
      <c r="B461" s="4"/>
      <c r="H461" s="11"/>
      <c r="X461" s="4"/>
      <c r="AF461" s="4"/>
      <c r="DF461" s="4"/>
    </row>
    <row r="462" spans="1:110">
      <c r="A462" s="4"/>
      <c r="B462" s="4"/>
      <c r="H462" s="11"/>
      <c r="X462" s="4"/>
      <c r="AF462" s="4"/>
      <c r="DF462" s="4"/>
    </row>
    <row r="463" spans="1:110">
      <c r="A463" s="4"/>
      <c r="B463" s="4"/>
      <c r="H463" s="11"/>
      <c r="X463" s="4"/>
      <c r="AF463" s="4"/>
      <c r="DF463" s="4"/>
    </row>
    <row r="464" spans="1:110">
      <c r="A464" s="4"/>
      <c r="B464" s="4"/>
      <c r="H464" s="11"/>
      <c r="X464" s="4"/>
      <c r="AF464" s="4"/>
      <c r="DF464" s="4"/>
    </row>
    <row r="465" spans="1:110">
      <c r="A465" s="4"/>
      <c r="B465" s="4"/>
      <c r="H465" s="11"/>
      <c r="X465" s="4"/>
      <c r="AF465" s="4"/>
      <c r="DF465" s="4"/>
    </row>
    <row r="466" spans="1:110">
      <c r="A466" s="4"/>
      <c r="B466" s="4"/>
      <c r="H466" s="11"/>
      <c r="X466" s="4"/>
      <c r="AF466" s="4"/>
      <c r="DF466" s="4"/>
    </row>
    <row r="467" spans="1:110">
      <c r="A467" s="4"/>
      <c r="B467" s="4"/>
      <c r="H467" s="11"/>
      <c r="X467" s="4"/>
      <c r="AF467" s="4"/>
      <c r="DF467" s="4"/>
    </row>
    <row r="468" spans="1:110">
      <c r="A468" s="4"/>
      <c r="B468" s="4"/>
      <c r="H468" s="11"/>
      <c r="X468" s="4"/>
      <c r="AF468" s="4"/>
      <c r="DF468" s="4"/>
    </row>
    <row r="469" spans="1:110">
      <c r="A469" s="4"/>
      <c r="B469" s="4"/>
      <c r="H469" s="11"/>
      <c r="X469" s="4"/>
      <c r="AF469" s="4"/>
      <c r="DF469" s="4"/>
    </row>
    <row r="470" spans="1:110">
      <c r="A470" s="4"/>
      <c r="B470" s="4"/>
      <c r="H470" s="11"/>
      <c r="X470" s="4"/>
      <c r="AF470" s="4"/>
      <c r="DF470" s="4"/>
    </row>
    <row r="471" spans="1:110">
      <c r="A471" s="4"/>
      <c r="B471" s="4"/>
      <c r="H471" s="11"/>
      <c r="X471" s="4"/>
      <c r="AF471" s="4"/>
      <c r="DF471" s="4"/>
    </row>
    <row r="472" spans="1:110">
      <c r="A472" s="4"/>
      <c r="B472" s="4"/>
      <c r="H472" s="11"/>
      <c r="X472" s="4"/>
      <c r="AF472" s="4"/>
      <c r="DF472" s="4"/>
    </row>
    <row r="473" spans="1:110">
      <c r="A473" s="4"/>
      <c r="B473" s="4"/>
      <c r="H473" s="11"/>
      <c r="X473" s="4"/>
      <c r="AF473" s="4"/>
      <c r="DF473" s="4"/>
    </row>
    <row r="474" spans="1:110">
      <c r="A474" s="4"/>
      <c r="B474" s="4"/>
      <c r="H474" s="11"/>
      <c r="X474" s="4"/>
      <c r="AF474" s="4"/>
      <c r="DF474" s="4"/>
    </row>
    <row r="475" spans="1:110">
      <c r="A475" s="4"/>
      <c r="B475" s="4"/>
      <c r="H475" s="11"/>
      <c r="X475" s="4"/>
      <c r="AF475" s="4"/>
      <c r="DF475" s="4"/>
    </row>
    <row r="476" spans="1:110">
      <c r="A476" s="4"/>
      <c r="B476" s="4"/>
      <c r="H476" s="11"/>
      <c r="X476" s="4"/>
      <c r="AF476" s="4"/>
      <c r="DF476" s="4"/>
    </row>
    <row r="477" spans="1:110">
      <c r="A477" s="4"/>
      <c r="B477" s="4"/>
      <c r="H477" s="11"/>
      <c r="X477" s="4"/>
      <c r="AF477" s="4"/>
      <c r="DF477" s="4"/>
    </row>
    <row r="478" spans="1:110">
      <c r="A478" s="4"/>
      <c r="B478" s="4"/>
      <c r="H478" s="11"/>
      <c r="X478" s="4"/>
      <c r="AF478" s="4"/>
      <c r="DF478" s="4"/>
    </row>
    <row r="479" spans="1:110">
      <c r="A479" s="4"/>
      <c r="B479" s="4"/>
      <c r="H479" s="11"/>
      <c r="X479" s="4"/>
      <c r="AF479" s="4"/>
      <c r="DF479" s="4"/>
    </row>
    <row r="480" spans="1:110">
      <c r="A480" s="4"/>
      <c r="B480" s="4"/>
      <c r="H480" s="11"/>
      <c r="X480" s="4"/>
      <c r="AF480" s="4"/>
      <c r="DF480" s="4"/>
    </row>
    <row r="481" spans="1:110">
      <c r="A481" s="4"/>
      <c r="B481" s="4"/>
      <c r="H481" s="11"/>
      <c r="X481" s="4"/>
      <c r="AF481" s="4"/>
      <c r="DF481" s="4"/>
    </row>
    <row r="482" spans="1:110">
      <c r="A482" s="4"/>
      <c r="B482" s="4"/>
      <c r="H482" s="11"/>
      <c r="X482" s="4"/>
      <c r="AF482" s="4"/>
      <c r="DF482" s="4"/>
    </row>
    <row r="483" spans="1:110">
      <c r="A483" s="4"/>
      <c r="B483" s="4"/>
      <c r="H483" s="11"/>
      <c r="X483" s="4"/>
      <c r="AF483" s="4"/>
      <c r="DF483" s="4"/>
    </row>
    <row r="484" spans="1:110">
      <c r="A484" s="4"/>
      <c r="B484" s="4"/>
      <c r="H484" s="11"/>
      <c r="X484" s="4"/>
      <c r="AF484" s="4"/>
      <c r="DF484" s="4"/>
    </row>
    <row r="485" spans="1:110">
      <c r="A485" s="4"/>
      <c r="B485" s="4"/>
      <c r="H485" s="11"/>
      <c r="X485" s="4"/>
      <c r="AF485" s="4"/>
      <c r="DF485" s="4"/>
    </row>
    <row r="486" spans="1:110">
      <c r="A486" s="4"/>
      <c r="B486" s="4"/>
      <c r="H486" s="11"/>
      <c r="X486" s="4"/>
      <c r="AF486" s="4"/>
      <c r="DF486" s="4"/>
    </row>
    <row r="487" spans="1:110">
      <c r="A487" s="4"/>
      <c r="B487" s="4"/>
      <c r="H487" s="11"/>
      <c r="X487" s="4"/>
      <c r="AF487" s="4"/>
      <c r="DF487" s="4"/>
    </row>
    <row r="488" spans="1:110">
      <c r="A488" s="4"/>
      <c r="B488" s="4"/>
      <c r="H488" s="11"/>
      <c r="X488" s="4"/>
      <c r="AF488" s="4"/>
      <c r="DF488" s="4"/>
    </row>
    <row r="489" spans="1:110">
      <c r="A489" s="4"/>
      <c r="B489" s="4"/>
      <c r="H489" s="11"/>
      <c r="X489" s="4"/>
      <c r="AF489" s="4"/>
      <c r="DF489" s="4"/>
    </row>
    <row r="490" spans="1:110">
      <c r="A490" s="4"/>
      <c r="B490" s="4"/>
      <c r="H490" s="11"/>
      <c r="X490" s="4"/>
      <c r="AF490" s="4"/>
      <c r="DF490" s="4"/>
    </row>
    <row r="491" spans="1:110">
      <c r="A491" s="4"/>
      <c r="B491" s="4"/>
      <c r="H491" s="11"/>
      <c r="X491" s="4"/>
      <c r="AF491" s="4"/>
      <c r="DF491" s="4"/>
    </row>
    <row r="492" spans="1:110">
      <c r="A492" s="4"/>
      <c r="B492" s="4"/>
      <c r="H492" s="11"/>
      <c r="X492" s="4"/>
      <c r="AF492" s="4"/>
      <c r="DF492" s="4"/>
    </row>
    <row r="493" spans="1:110">
      <c r="A493" s="4"/>
      <c r="B493" s="4"/>
      <c r="H493" s="11"/>
      <c r="X493" s="4"/>
      <c r="AF493" s="4"/>
      <c r="DF493" s="4"/>
    </row>
    <row r="494" spans="1:110">
      <c r="A494" s="4"/>
      <c r="B494" s="4"/>
      <c r="H494" s="11"/>
      <c r="X494" s="4"/>
      <c r="AF494" s="4"/>
      <c r="DF494" s="4"/>
    </row>
    <row r="495" spans="1:110">
      <c r="A495" s="4"/>
      <c r="B495" s="4"/>
      <c r="H495" s="11"/>
      <c r="X495" s="4"/>
      <c r="AF495" s="4"/>
      <c r="DF495" s="4"/>
    </row>
    <row r="496" spans="1:110">
      <c r="A496" s="4"/>
      <c r="B496" s="4"/>
      <c r="H496" s="11"/>
      <c r="X496" s="4"/>
      <c r="AF496" s="4"/>
      <c r="DF496" s="4"/>
    </row>
    <row r="497" spans="1:110">
      <c r="A497" s="4"/>
      <c r="B497" s="4"/>
      <c r="H497" s="11"/>
      <c r="X497" s="4"/>
      <c r="AF497" s="4"/>
      <c r="DF497" s="4"/>
    </row>
    <row r="498" spans="1:110">
      <c r="A498" s="4"/>
      <c r="B498" s="4"/>
      <c r="H498" s="11"/>
      <c r="X498" s="4"/>
      <c r="AF498" s="4"/>
      <c r="DF498" s="4"/>
    </row>
    <row r="499" spans="1:110">
      <c r="A499" s="4"/>
      <c r="B499" s="4"/>
      <c r="H499" s="11"/>
      <c r="X499" s="4"/>
      <c r="AF499" s="4"/>
      <c r="DF499" s="4"/>
    </row>
    <row r="500" spans="1:110">
      <c r="A500" s="4"/>
      <c r="B500" s="4"/>
      <c r="H500" s="11"/>
      <c r="X500" s="4"/>
      <c r="AF500" s="4"/>
      <c r="DF500" s="4"/>
    </row>
    <row r="501" spans="1:110">
      <c r="A501" s="4"/>
      <c r="B501" s="4"/>
      <c r="H501" s="11"/>
      <c r="X501" s="4"/>
      <c r="AF501" s="4"/>
      <c r="DF501" s="4"/>
    </row>
    <row r="502" spans="1:110">
      <c r="A502" s="4"/>
      <c r="B502" s="4"/>
      <c r="H502" s="11"/>
      <c r="X502" s="4"/>
      <c r="AF502" s="4"/>
      <c r="DF502" s="4"/>
    </row>
    <row r="503" spans="1:110">
      <c r="A503" s="4"/>
      <c r="B503" s="4"/>
      <c r="H503" s="11"/>
      <c r="X503" s="4"/>
      <c r="AF503" s="4"/>
      <c r="DF503" s="4"/>
    </row>
    <row r="504" spans="1:110">
      <c r="A504" s="4"/>
      <c r="B504" s="4"/>
      <c r="H504" s="11"/>
      <c r="X504" s="4"/>
      <c r="AF504" s="4"/>
      <c r="DF504" s="4"/>
    </row>
    <row r="505" spans="1:110">
      <c r="A505" s="4"/>
      <c r="B505" s="4"/>
      <c r="H505" s="11"/>
      <c r="X505" s="4"/>
      <c r="AF505" s="4"/>
      <c r="DF505" s="4"/>
    </row>
    <row r="506" spans="1:110">
      <c r="A506" s="4"/>
      <c r="B506" s="4"/>
      <c r="H506" s="11"/>
      <c r="X506" s="4"/>
      <c r="AF506" s="4"/>
      <c r="DF506" s="4"/>
    </row>
    <row r="507" spans="1:110">
      <c r="A507" s="4"/>
      <c r="B507" s="4"/>
      <c r="H507" s="11"/>
      <c r="X507" s="4"/>
      <c r="AF507" s="4"/>
      <c r="DF507" s="4"/>
    </row>
    <row r="508" spans="1:110">
      <c r="A508" s="4"/>
      <c r="B508" s="4"/>
      <c r="H508" s="11"/>
      <c r="X508" s="4"/>
      <c r="AF508" s="4"/>
      <c r="DF508" s="4"/>
    </row>
    <row r="509" spans="1:110">
      <c r="A509" s="4"/>
      <c r="B509" s="4"/>
      <c r="H509" s="11"/>
      <c r="X509" s="4"/>
      <c r="AF509" s="4"/>
      <c r="DF509" s="4"/>
    </row>
    <row r="510" spans="1:110">
      <c r="A510" s="4"/>
      <c r="B510" s="4"/>
      <c r="H510" s="11"/>
      <c r="X510" s="4"/>
      <c r="AF510" s="4"/>
      <c r="DF510" s="4"/>
    </row>
    <row r="511" spans="1:110">
      <c r="A511" s="4"/>
      <c r="B511" s="4"/>
      <c r="H511" s="11"/>
      <c r="X511" s="4"/>
      <c r="AF511" s="4"/>
      <c r="DF511" s="4"/>
    </row>
    <row r="512" spans="1:110">
      <c r="A512" s="4"/>
      <c r="B512" s="4"/>
      <c r="H512" s="11"/>
      <c r="X512" s="4"/>
      <c r="AF512" s="4"/>
      <c r="DF512" s="4"/>
    </row>
    <row r="513" spans="1:110">
      <c r="A513" s="4"/>
      <c r="B513" s="4"/>
      <c r="H513" s="11"/>
      <c r="X513" s="4"/>
      <c r="AF513" s="4"/>
      <c r="DF513" s="4"/>
    </row>
    <row r="514" spans="1:110">
      <c r="A514" s="4"/>
      <c r="B514" s="4"/>
      <c r="H514" s="11"/>
      <c r="X514" s="4"/>
      <c r="AF514" s="4"/>
      <c r="DF514" s="4"/>
    </row>
    <row r="515" spans="1:110">
      <c r="A515" s="4"/>
      <c r="B515" s="4"/>
      <c r="H515" s="11"/>
      <c r="X515" s="4"/>
      <c r="AF515" s="4"/>
      <c r="DF515" s="4"/>
    </row>
    <row r="516" spans="1:110">
      <c r="A516" s="4"/>
      <c r="B516" s="4"/>
      <c r="H516" s="11"/>
      <c r="X516" s="4"/>
      <c r="AF516" s="4"/>
      <c r="DF516" s="4"/>
    </row>
    <row r="517" spans="1:110">
      <c r="A517" s="4"/>
      <c r="B517" s="4"/>
      <c r="H517" s="11"/>
      <c r="X517" s="4"/>
      <c r="AF517" s="4"/>
      <c r="DF517" s="4"/>
    </row>
    <row r="518" spans="1:110">
      <c r="A518" s="4"/>
      <c r="B518" s="4"/>
      <c r="H518" s="11"/>
      <c r="X518" s="4"/>
      <c r="AF518" s="4"/>
      <c r="DF518" s="4"/>
    </row>
    <row r="519" spans="1:110">
      <c r="A519" s="4"/>
      <c r="B519" s="4"/>
      <c r="H519" s="11"/>
      <c r="X519" s="4"/>
      <c r="AF519" s="4"/>
      <c r="DF519" s="4"/>
    </row>
    <row r="520" spans="1:110">
      <c r="A520" s="4"/>
      <c r="B520" s="4"/>
      <c r="H520" s="11"/>
      <c r="X520" s="4"/>
      <c r="AF520" s="4"/>
      <c r="DF520" s="4"/>
    </row>
    <row r="521" spans="1:110">
      <c r="A521" s="4"/>
      <c r="B521" s="4"/>
      <c r="H521" s="11"/>
      <c r="X521" s="4"/>
      <c r="AF521" s="4"/>
      <c r="DF521" s="4"/>
    </row>
    <row r="522" spans="1:110">
      <c r="A522" s="4"/>
      <c r="B522" s="4"/>
      <c r="H522" s="11"/>
      <c r="X522" s="4"/>
      <c r="AF522" s="4"/>
      <c r="DF522" s="4"/>
    </row>
    <row r="523" spans="1:110">
      <c r="A523" s="4"/>
      <c r="B523" s="4"/>
      <c r="H523" s="11"/>
      <c r="X523" s="4"/>
      <c r="AF523" s="4"/>
      <c r="DF523" s="4"/>
    </row>
    <row r="524" spans="1:110">
      <c r="A524" s="4"/>
      <c r="B524" s="4"/>
      <c r="H524" s="11"/>
      <c r="X524" s="4"/>
      <c r="AF524" s="4"/>
      <c r="DF524" s="4"/>
    </row>
    <row r="525" spans="1:110">
      <c r="A525" s="4"/>
      <c r="B525" s="4"/>
      <c r="H525" s="11"/>
      <c r="X525" s="4"/>
      <c r="AF525" s="4"/>
      <c r="DF525" s="4"/>
    </row>
    <row r="526" spans="1:110">
      <c r="A526" s="4"/>
      <c r="B526" s="4"/>
      <c r="H526" s="11"/>
      <c r="X526" s="4"/>
      <c r="AF526" s="4"/>
      <c r="DF526" s="4"/>
    </row>
    <row r="527" spans="1:110">
      <c r="A527" s="4"/>
      <c r="B527" s="4"/>
      <c r="H527" s="11"/>
      <c r="X527" s="4"/>
      <c r="AF527" s="4"/>
      <c r="DF527" s="4"/>
    </row>
    <row r="528" spans="1:110">
      <c r="A528" s="4"/>
      <c r="B528" s="4"/>
      <c r="H528" s="11"/>
      <c r="X528" s="4"/>
      <c r="AF528" s="4"/>
      <c r="DF528" s="4"/>
    </row>
    <row r="529" spans="1:110">
      <c r="A529" s="4"/>
      <c r="B529" s="4"/>
      <c r="H529" s="11"/>
      <c r="X529" s="4"/>
      <c r="AF529" s="4"/>
      <c r="DF529" s="4"/>
    </row>
    <row r="530" spans="1:110">
      <c r="A530" s="4"/>
      <c r="B530" s="4"/>
      <c r="H530" s="11"/>
      <c r="X530" s="4"/>
      <c r="AF530" s="4"/>
      <c r="DF530" s="4"/>
    </row>
    <row r="531" spans="1:110">
      <c r="A531" s="4"/>
      <c r="B531" s="4"/>
      <c r="H531" s="11"/>
      <c r="X531" s="4"/>
      <c r="AF531" s="4"/>
      <c r="DF531" s="4"/>
    </row>
    <row r="532" spans="1:110">
      <c r="A532" s="4"/>
      <c r="B532" s="4"/>
      <c r="H532" s="11"/>
      <c r="X532" s="4"/>
      <c r="AF532" s="4"/>
      <c r="DF532" s="4"/>
    </row>
    <row r="533" spans="1:110">
      <c r="A533" s="4"/>
      <c r="B533" s="4"/>
      <c r="H533" s="11"/>
      <c r="X533" s="4"/>
      <c r="AF533" s="4"/>
      <c r="DF533" s="4"/>
    </row>
    <row r="534" spans="1:110">
      <c r="A534" s="4"/>
      <c r="B534" s="4"/>
      <c r="H534" s="11"/>
      <c r="X534" s="4"/>
      <c r="AF534" s="4"/>
      <c r="DF534" s="4"/>
    </row>
    <row r="535" spans="1:110">
      <c r="A535" s="4"/>
      <c r="B535" s="4"/>
      <c r="H535" s="11"/>
      <c r="X535" s="4"/>
      <c r="AF535" s="4"/>
      <c r="DF535" s="4"/>
    </row>
    <row r="536" spans="1:110">
      <c r="A536" s="4"/>
      <c r="B536" s="4"/>
      <c r="H536" s="11"/>
      <c r="X536" s="4"/>
      <c r="AF536" s="4"/>
      <c r="DF536" s="4"/>
    </row>
    <row r="537" spans="1:110">
      <c r="A537" s="4"/>
      <c r="B537" s="4"/>
      <c r="H537" s="11"/>
      <c r="X537" s="4"/>
      <c r="AF537" s="4"/>
      <c r="DF537" s="4"/>
    </row>
    <row r="538" spans="1:110">
      <c r="A538" s="4"/>
      <c r="B538" s="4"/>
      <c r="H538" s="11"/>
      <c r="X538" s="4"/>
      <c r="AF538" s="4"/>
      <c r="DF538" s="4"/>
    </row>
    <row r="539" spans="1:110">
      <c r="A539" s="4"/>
      <c r="B539" s="4"/>
      <c r="H539" s="11"/>
      <c r="X539" s="4"/>
      <c r="AF539" s="4"/>
      <c r="DF539" s="4"/>
    </row>
    <row r="540" spans="1:110">
      <c r="A540" s="4"/>
      <c r="B540" s="4"/>
      <c r="H540" s="11"/>
      <c r="X540" s="4"/>
      <c r="AF540" s="4"/>
      <c r="DF540" s="4"/>
    </row>
    <row r="541" spans="1:110">
      <c r="A541" s="4"/>
      <c r="B541" s="4"/>
      <c r="H541" s="11"/>
      <c r="X541" s="4"/>
      <c r="AF541" s="4"/>
      <c r="DF541" s="4"/>
    </row>
    <row r="542" spans="1:110">
      <c r="A542" s="4"/>
      <c r="B542" s="4"/>
      <c r="H542" s="11"/>
      <c r="X542" s="4"/>
      <c r="AF542" s="4"/>
      <c r="DF542" s="4"/>
    </row>
    <row r="543" spans="1:110">
      <c r="A543" s="4"/>
      <c r="B543" s="4"/>
      <c r="H543" s="11"/>
      <c r="X543" s="4"/>
      <c r="AF543" s="4"/>
      <c r="DF543" s="4"/>
    </row>
    <row r="544" spans="1:110">
      <c r="A544" s="4"/>
      <c r="B544" s="4"/>
      <c r="H544" s="11"/>
      <c r="X544" s="4"/>
      <c r="AF544" s="4"/>
      <c r="DF544" s="4"/>
    </row>
    <row r="545" spans="1:110">
      <c r="A545" s="4"/>
      <c r="B545" s="4"/>
      <c r="H545" s="11"/>
      <c r="X545" s="4"/>
      <c r="AF545" s="4"/>
      <c r="DF545" s="4"/>
    </row>
    <row r="546" spans="1:110">
      <c r="A546" s="4"/>
      <c r="B546" s="4"/>
      <c r="H546" s="11"/>
      <c r="X546" s="4"/>
      <c r="AF546" s="4"/>
      <c r="DF546" s="4"/>
    </row>
    <row r="547" spans="1:110">
      <c r="A547" s="4"/>
      <c r="B547" s="4"/>
      <c r="H547" s="11"/>
      <c r="X547" s="4"/>
      <c r="AF547" s="4"/>
      <c r="DF547" s="4"/>
    </row>
    <row r="548" spans="1:110">
      <c r="A548" s="4"/>
      <c r="B548" s="4"/>
      <c r="H548" s="11"/>
      <c r="X548" s="4"/>
      <c r="AF548" s="4"/>
      <c r="DF548" s="4"/>
    </row>
    <row r="549" spans="1:110">
      <c r="A549" s="4"/>
      <c r="B549" s="4"/>
      <c r="H549" s="11"/>
      <c r="X549" s="4"/>
      <c r="AF549" s="4"/>
      <c r="DF549" s="4"/>
    </row>
    <row r="550" spans="1:110">
      <c r="A550" s="4"/>
      <c r="B550" s="4"/>
      <c r="H550" s="11"/>
      <c r="X550" s="4"/>
      <c r="AF550" s="4"/>
      <c r="DF550" s="4"/>
    </row>
    <row r="551" spans="1:110">
      <c r="A551" s="4"/>
      <c r="B551" s="4"/>
      <c r="H551" s="11"/>
      <c r="X551" s="4"/>
      <c r="AF551" s="4"/>
      <c r="DF551" s="4"/>
    </row>
    <row r="552" spans="1:110">
      <c r="A552" s="4"/>
      <c r="B552" s="4"/>
      <c r="H552" s="11"/>
      <c r="X552" s="4"/>
      <c r="AF552" s="4"/>
      <c r="DF552" s="4"/>
    </row>
    <row r="553" spans="1:110">
      <c r="A553" s="4"/>
      <c r="B553" s="4"/>
      <c r="H553" s="11"/>
      <c r="X553" s="4"/>
      <c r="AF553" s="4"/>
      <c r="DF553" s="4"/>
    </row>
    <row r="554" spans="1:110">
      <c r="A554" s="4"/>
      <c r="B554" s="4"/>
      <c r="H554" s="11"/>
      <c r="X554" s="4"/>
      <c r="AF554" s="4"/>
      <c r="DF554" s="4"/>
    </row>
    <row r="555" spans="1:110">
      <c r="A555" s="4"/>
      <c r="B555" s="4"/>
      <c r="H555" s="11"/>
      <c r="X555" s="4"/>
      <c r="AF555" s="4"/>
      <c r="DF555" s="4"/>
    </row>
    <row r="556" spans="1:110">
      <c r="A556" s="4"/>
      <c r="B556" s="4"/>
      <c r="H556" s="11"/>
      <c r="X556" s="4"/>
      <c r="AF556" s="4"/>
      <c r="DF556" s="4"/>
    </row>
    <row r="557" spans="1:110">
      <c r="A557" s="4"/>
      <c r="B557" s="4"/>
      <c r="H557" s="11"/>
      <c r="X557" s="4"/>
      <c r="AF557" s="4"/>
      <c r="DF557" s="4"/>
    </row>
    <row r="558" spans="1:110">
      <c r="A558" s="4"/>
      <c r="B558" s="4"/>
      <c r="H558" s="11"/>
      <c r="X558" s="4"/>
      <c r="AF558" s="4"/>
      <c r="DF558" s="4"/>
    </row>
    <row r="559" spans="1:110">
      <c r="A559" s="4"/>
      <c r="B559" s="4"/>
      <c r="H559" s="11"/>
      <c r="X559" s="4"/>
      <c r="AF559" s="4"/>
      <c r="DF559" s="4"/>
    </row>
    <row r="560" spans="1:110">
      <c r="A560" s="4"/>
      <c r="B560" s="4"/>
      <c r="H560" s="11"/>
      <c r="X560" s="4"/>
      <c r="AF560" s="4"/>
      <c r="DF560" s="4"/>
    </row>
    <row r="561" spans="1:110">
      <c r="A561" s="4"/>
      <c r="B561" s="4"/>
      <c r="H561" s="11"/>
      <c r="X561" s="4"/>
      <c r="AF561" s="4"/>
      <c r="DF561" s="4"/>
    </row>
    <row r="562" spans="1:110">
      <c r="A562" s="4"/>
      <c r="B562" s="4"/>
      <c r="H562" s="11"/>
      <c r="X562" s="4"/>
      <c r="AF562" s="4"/>
      <c r="DF562" s="4"/>
    </row>
    <row r="563" spans="1:110">
      <c r="A563" s="4"/>
      <c r="B563" s="4"/>
      <c r="H563" s="11"/>
      <c r="X563" s="4"/>
      <c r="AF563" s="4"/>
      <c r="DF563" s="4"/>
    </row>
    <row r="564" spans="1:110">
      <c r="A564" s="4"/>
      <c r="B564" s="4"/>
      <c r="H564" s="11"/>
      <c r="X564" s="4"/>
      <c r="AF564" s="4"/>
      <c r="DF564" s="4"/>
    </row>
    <row r="565" spans="1:110">
      <c r="A565" s="4"/>
      <c r="B565" s="4"/>
      <c r="H565" s="11"/>
      <c r="X565" s="4"/>
      <c r="AF565" s="4"/>
      <c r="DF565" s="4"/>
    </row>
    <row r="566" spans="1:110">
      <c r="A566" s="4"/>
      <c r="B566" s="4"/>
      <c r="H566" s="11"/>
      <c r="X566" s="4"/>
      <c r="AF566" s="4"/>
      <c r="DF566" s="4"/>
    </row>
    <row r="567" spans="1:110">
      <c r="A567" s="4"/>
      <c r="B567" s="4"/>
      <c r="H567" s="11"/>
      <c r="X567" s="4"/>
      <c r="AF567" s="4"/>
      <c r="DF567" s="4"/>
    </row>
    <row r="568" spans="1:110">
      <c r="A568" s="4"/>
      <c r="B568" s="4"/>
      <c r="H568" s="11"/>
      <c r="X568" s="4"/>
      <c r="AF568" s="4"/>
      <c r="DF568" s="4"/>
    </row>
    <row r="569" spans="1:110">
      <c r="A569" s="4"/>
      <c r="B569" s="4"/>
      <c r="H569" s="11"/>
      <c r="X569" s="4"/>
      <c r="AF569" s="4"/>
      <c r="DF569" s="4"/>
    </row>
    <row r="570" spans="1:110">
      <c r="A570" s="4"/>
      <c r="B570" s="4"/>
      <c r="H570" s="11"/>
      <c r="X570" s="4"/>
      <c r="AF570" s="4"/>
      <c r="DF570" s="4"/>
    </row>
    <row r="571" spans="1:110">
      <c r="A571" s="4"/>
      <c r="B571" s="4"/>
      <c r="H571" s="11"/>
      <c r="X571" s="4"/>
      <c r="AF571" s="4"/>
      <c r="DF571" s="4"/>
    </row>
    <row r="572" spans="1:110">
      <c r="A572" s="4"/>
      <c r="B572" s="4"/>
      <c r="H572" s="11"/>
      <c r="X572" s="4"/>
      <c r="AF572" s="4"/>
      <c r="DF572" s="4"/>
    </row>
    <row r="573" spans="1:110">
      <c r="A573" s="4"/>
      <c r="B573" s="4"/>
      <c r="H573" s="11"/>
      <c r="X573" s="4"/>
      <c r="AF573" s="4"/>
      <c r="DF573" s="4"/>
    </row>
    <row r="574" spans="1:110">
      <c r="A574" s="4"/>
      <c r="B574" s="4"/>
      <c r="H574" s="11"/>
      <c r="X574" s="4"/>
      <c r="AF574" s="4"/>
      <c r="DF574" s="4"/>
    </row>
    <row r="575" spans="1:110">
      <c r="A575" s="4"/>
      <c r="B575" s="4"/>
      <c r="H575" s="11"/>
      <c r="X575" s="4"/>
      <c r="AF575" s="4"/>
      <c r="DF575" s="4"/>
    </row>
    <row r="576" spans="1:110">
      <c r="A576" s="4"/>
      <c r="B576" s="4"/>
      <c r="H576" s="11"/>
      <c r="X576" s="4"/>
      <c r="AF576" s="4"/>
      <c r="DF576" s="4"/>
    </row>
    <row r="577" spans="1:110">
      <c r="A577" s="4"/>
      <c r="B577" s="4"/>
      <c r="H577" s="11"/>
      <c r="X577" s="4"/>
      <c r="AF577" s="4"/>
      <c r="DF577" s="4"/>
    </row>
    <row r="578" spans="1:110">
      <c r="A578" s="4"/>
      <c r="B578" s="4"/>
      <c r="H578" s="11"/>
      <c r="X578" s="4"/>
      <c r="AF578" s="4"/>
      <c r="DF578" s="4"/>
    </row>
    <row r="579" spans="1:110">
      <c r="A579" s="4"/>
      <c r="B579" s="4"/>
      <c r="H579" s="11"/>
      <c r="X579" s="4"/>
      <c r="AF579" s="4"/>
      <c r="DF579" s="4"/>
    </row>
    <row r="580" spans="1:110">
      <c r="A580" s="4"/>
      <c r="B580" s="4"/>
      <c r="H580" s="11"/>
      <c r="X580" s="4"/>
      <c r="AF580" s="4"/>
      <c r="DF580" s="4"/>
    </row>
    <row r="581" spans="1:110">
      <c r="A581" s="4"/>
      <c r="B581" s="4"/>
      <c r="H581" s="11"/>
      <c r="X581" s="4"/>
      <c r="AF581" s="4"/>
      <c r="DF581" s="4"/>
    </row>
    <row r="582" spans="1:110">
      <c r="A582" s="4"/>
      <c r="B582" s="4"/>
      <c r="H582" s="11"/>
      <c r="X582" s="4"/>
      <c r="AF582" s="4"/>
      <c r="DF582" s="4"/>
    </row>
    <row r="583" spans="1:110">
      <c r="A583" s="4"/>
      <c r="B583" s="4"/>
      <c r="H583" s="11"/>
      <c r="X583" s="4"/>
      <c r="AF583" s="4"/>
      <c r="DF583" s="4"/>
    </row>
    <row r="584" spans="1:110">
      <c r="A584" s="4"/>
      <c r="B584" s="4"/>
      <c r="H584" s="11"/>
      <c r="X584" s="4"/>
      <c r="AF584" s="4"/>
      <c r="DF584" s="4"/>
    </row>
    <row r="585" spans="1:110">
      <c r="A585" s="4"/>
      <c r="B585" s="4"/>
      <c r="H585" s="11"/>
      <c r="X585" s="4"/>
      <c r="AF585" s="4"/>
      <c r="DF585" s="4"/>
    </row>
    <row r="586" spans="1:110">
      <c r="A586" s="4"/>
      <c r="B586" s="4"/>
      <c r="H586" s="11"/>
      <c r="X586" s="4"/>
      <c r="AF586" s="4"/>
      <c r="DF586" s="4"/>
    </row>
    <row r="587" spans="1:110">
      <c r="A587" s="4"/>
      <c r="B587" s="4"/>
      <c r="H587" s="11"/>
      <c r="X587" s="4"/>
      <c r="AF587" s="4"/>
      <c r="DF587" s="4"/>
    </row>
    <row r="588" spans="1:110">
      <c r="A588" s="4"/>
      <c r="B588" s="4"/>
      <c r="H588" s="11"/>
      <c r="X588" s="4"/>
      <c r="AF588" s="4"/>
      <c r="DF588" s="4"/>
    </row>
    <row r="589" spans="1:110">
      <c r="A589" s="4"/>
      <c r="B589" s="4"/>
      <c r="H589" s="11"/>
      <c r="X589" s="4"/>
      <c r="AF589" s="4"/>
      <c r="DF589" s="4"/>
    </row>
    <row r="590" spans="1:110">
      <c r="A590" s="4"/>
      <c r="B590" s="4"/>
      <c r="H590" s="11"/>
      <c r="X590" s="4"/>
      <c r="AF590" s="4"/>
      <c r="DF590" s="4"/>
    </row>
    <row r="591" spans="1:110">
      <c r="A591" s="4"/>
      <c r="B591" s="4"/>
      <c r="H591" s="11"/>
      <c r="X591" s="4"/>
      <c r="AF591" s="4"/>
      <c r="DF591" s="4"/>
    </row>
    <row r="592" spans="1:110">
      <c r="A592" s="4"/>
      <c r="B592" s="4"/>
      <c r="H592" s="11"/>
      <c r="X592" s="4"/>
      <c r="AF592" s="4"/>
      <c r="DF592" s="4"/>
    </row>
    <row r="593" spans="1:110">
      <c r="A593" s="4"/>
      <c r="B593" s="4"/>
      <c r="H593" s="11"/>
      <c r="X593" s="4"/>
      <c r="AF593" s="4"/>
      <c r="DF593" s="4"/>
    </row>
    <row r="594" spans="1:110">
      <c r="A594" s="4"/>
      <c r="B594" s="4"/>
      <c r="H594" s="11"/>
      <c r="X594" s="4"/>
      <c r="AF594" s="4"/>
      <c r="DF594" s="4"/>
    </row>
    <row r="595" spans="1:110">
      <c r="A595" s="4"/>
      <c r="B595" s="4"/>
      <c r="H595" s="11"/>
      <c r="X595" s="4"/>
      <c r="AF595" s="4"/>
      <c r="DF595" s="4"/>
    </row>
    <row r="596" spans="1:110">
      <c r="A596" s="4"/>
      <c r="B596" s="4"/>
      <c r="H596" s="11"/>
      <c r="X596" s="4"/>
      <c r="AF596" s="4"/>
      <c r="DF596" s="4"/>
    </row>
    <row r="597" spans="1:110">
      <c r="A597" s="4"/>
      <c r="B597" s="4"/>
      <c r="H597" s="11"/>
      <c r="X597" s="4"/>
      <c r="AF597" s="4"/>
      <c r="DF597" s="4"/>
    </row>
    <row r="598" spans="1:110">
      <c r="A598" s="4"/>
      <c r="B598" s="4"/>
      <c r="H598" s="11"/>
      <c r="X598" s="4"/>
      <c r="AF598" s="4"/>
      <c r="DF598" s="4"/>
    </row>
    <row r="599" spans="1:110">
      <c r="A599" s="4"/>
      <c r="B599" s="4"/>
      <c r="H599" s="11"/>
      <c r="X599" s="4"/>
      <c r="AF599" s="4"/>
      <c r="DF599" s="4"/>
    </row>
    <row r="600" spans="1:110">
      <c r="A600" s="4"/>
      <c r="B600" s="4"/>
      <c r="H600" s="11"/>
      <c r="X600" s="4"/>
      <c r="AF600" s="4"/>
      <c r="DF600" s="4"/>
    </row>
    <row r="601" spans="1:110">
      <c r="A601" s="4"/>
      <c r="B601" s="4"/>
      <c r="H601" s="11"/>
      <c r="X601" s="4"/>
      <c r="AF601" s="4"/>
      <c r="DF601" s="4"/>
    </row>
    <row r="602" spans="1:110">
      <c r="A602" s="4"/>
      <c r="B602" s="4"/>
      <c r="H602" s="11"/>
      <c r="X602" s="4"/>
      <c r="AF602" s="4"/>
      <c r="DF602" s="4"/>
    </row>
    <row r="603" spans="1:110">
      <c r="A603" s="4"/>
      <c r="B603" s="4"/>
      <c r="H603" s="11"/>
      <c r="X603" s="4"/>
      <c r="AF603" s="4"/>
      <c r="DF603" s="4"/>
    </row>
    <row r="604" spans="1:110">
      <c r="A604" s="4"/>
      <c r="B604" s="4"/>
      <c r="H604" s="11"/>
      <c r="X604" s="4"/>
      <c r="AF604" s="4"/>
      <c r="DF604" s="4"/>
    </row>
    <row r="605" spans="1:110">
      <c r="A605" s="4"/>
      <c r="B605" s="4"/>
      <c r="H605" s="11"/>
      <c r="X605" s="4"/>
      <c r="AF605" s="4"/>
      <c r="DF605" s="4"/>
    </row>
    <row r="606" spans="1:110">
      <c r="A606" s="4"/>
      <c r="B606" s="4"/>
      <c r="H606" s="11"/>
      <c r="X606" s="4"/>
      <c r="AF606" s="4"/>
      <c r="DF606" s="4"/>
    </row>
    <row r="607" spans="1:110">
      <c r="A607" s="4"/>
      <c r="B607" s="4"/>
      <c r="H607" s="11"/>
      <c r="X607" s="4"/>
      <c r="AF607" s="4"/>
      <c r="DF607" s="4"/>
    </row>
    <row r="608" spans="1:110">
      <c r="A608" s="4"/>
      <c r="B608" s="4"/>
      <c r="H608" s="11"/>
      <c r="X608" s="4"/>
      <c r="AF608" s="4"/>
      <c r="DF608" s="4"/>
    </row>
    <row r="609" spans="1:110">
      <c r="A609" s="4"/>
      <c r="B609" s="4"/>
      <c r="H609" s="11"/>
      <c r="X609" s="4"/>
      <c r="AF609" s="4"/>
      <c r="DF609" s="4"/>
    </row>
    <row r="610" spans="1:110">
      <c r="A610" s="4"/>
      <c r="B610" s="4"/>
      <c r="H610" s="11"/>
      <c r="X610" s="4"/>
      <c r="AF610" s="4"/>
      <c r="DF610" s="4"/>
    </row>
    <row r="611" spans="1:110">
      <c r="A611" s="4"/>
      <c r="B611" s="4"/>
      <c r="H611" s="11"/>
      <c r="X611" s="4"/>
      <c r="AF611" s="4"/>
      <c r="DF611" s="4"/>
    </row>
    <row r="612" spans="1:110">
      <c r="A612" s="4"/>
      <c r="B612" s="4"/>
      <c r="H612" s="11"/>
      <c r="X612" s="4"/>
      <c r="AF612" s="4"/>
      <c r="DF612" s="4"/>
    </row>
    <row r="613" spans="1:110">
      <c r="A613" s="4"/>
      <c r="B613" s="4"/>
      <c r="H613" s="11"/>
      <c r="X613" s="4"/>
      <c r="AF613" s="4"/>
      <c r="DF613" s="4"/>
    </row>
    <row r="614" spans="1:110">
      <c r="A614" s="4"/>
      <c r="B614" s="4"/>
      <c r="H614" s="11"/>
      <c r="X614" s="4"/>
      <c r="AF614" s="4"/>
      <c r="DF614" s="4"/>
    </row>
    <row r="615" spans="1:110">
      <c r="A615" s="4"/>
      <c r="B615" s="4"/>
      <c r="H615" s="11"/>
      <c r="X615" s="4"/>
      <c r="AF615" s="4"/>
      <c r="DF615" s="4"/>
    </row>
    <row r="616" spans="1:110">
      <c r="A616" s="4"/>
      <c r="B616" s="4"/>
      <c r="H616" s="11"/>
      <c r="X616" s="4"/>
      <c r="AF616" s="4"/>
      <c r="DF616" s="4"/>
    </row>
    <row r="617" spans="1:110">
      <c r="A617" s="4"/>
      <c r="B617" s="4"/>
      <c r="H617" s="11"/>
      <c r="X617" s="4"/>
      <c r="AF617" s="4"/>
      <c r="DF617" s="4"/>
    </row>
    <row r="618" spans="1:110">
      <c r="A618" s="4"/>
      <c r="B618" s="4"/>
      <c r="H618" s="11"/>
      <c r="X618" s="4"/>
      <c r="AF618" s="4"/>
      <c r="DF618" s="4"/>
    </row>
    <row r="619" spans="1:110">
      <c r="A619" s="4"/>
      <c r="B619" s="4"/>
      <c r="H619" s="11"/>
      <c r="X619" s="4"/>
      <c r="AF619" s="4"/>
      <c r="DF619" s="4"/>
    </row>
    <row r="620" spans="1:110">
      <c r="A620" s="4"/>
      <c r="B620" s="4"/>
      <c r="H620" s="11"/>
      <c r="X620" s="4"/>
      <c r="AF620" s="4"/>
      <c r="DF620" s="4"/>
    </row>
    <row r="621" spans="1:110">
      <c r="A621" s="4"/>
      <c r="B621" s="4"/>
      <c r="H621" s="11"/>
      <c r="X621" s="4"/>
      <c r="AF621" s="4"/>
      <c r="DF621" s="4"/>
    </row>
    <row r="622" spans="1:110">
      <c r="A622" s="4"/>
      <c r="B622" s="4"/>
      <c r="H622" s="11"/>
      <c r="X622" s="4"/>
      <c r="AF622" s="4"/>
      <c r="DF622" s="4"/>
    </row>
    <row r="623" spans="1:110">
      <c r="A623" s="4"/>
      <c r="B623" s="4"/>
      <c r="H623" s="11"/>
      <c r="X623" s="4"/>
      <c r="AF623" s="4"/>
      <c r="DF623" s="4"/>
    </row>
    <row r="624" spans="1:110">
      <c r="A624" s="4"/>
      <c r="B624" s="4"/>
      <c r="H624" s="11"/>
      <c r="X624" s="4"/>
      <c r="AF624" s="4"/>
      <c r="DF624" s="4"/>
    </row>
    <row r="625" spans="1:110">
      <c r="A625" s="4"/>
      <c r="B625" s="4"/>
      <c r="H625" s="11"/>
      <c r="X625" s="4"/>
      <c r="AF625" s="4"/>
      <c r="DF625" s="4"/>
    </row>
    <row r="626" spans="1:110">
      <c r="A626" s="4"/>
      <c r="B626" s="4"/>
      <c r="H626" s="11"/>
      <c r="X626" s="4"/>
      <c r="AF626" s="4"/>
      <c r="DF626" s="4"/>
    </row>
    <row r="627" spans="1:110">
      <c r="A627" s="4"/>
      <c r="B627" s="4"/>
      <c r="H627" s="11"/>
      <c r="X627" s="4"/>
      <c r="AF627" s="4"/>
      <c r="DF627" s="4"/>
    </row>
    <row r="628" spans="1:110">
      <c r="A628" s="4"/>
      <c r="B628" s="4"/>
      <c r="H628" s="11"/>
      <c r="X628" s="4"/>
      <c r="AF628" s="4"/>
      <c r="DF628" s="4"/>
    </row>
    <row r="629" spans="1:110">
      <c r="A629" s="4"/>
      <c r="B629" s="4"/>
      <c r="H629" s="11"/>
      <c r="X629" s="4"/>
      <c r="AF629" s="4"/>
      <c r="DF629" s="4"/>
    </row>
    <row r="630" spans="1:110">
      <c r="A630" s="4"/>
      <c r="B630" s="4"/>
      <c r="H630" s="11"/>
      <c r="X630" s="4"/>
      <c r="AF630" s="4"/>
      <c r="DF630" s="4"/>
    </row>
    <row r="631" spans="1:110">
      <c r="A631" s="4"/>
      <c r="B631" s="4"/>
      <c r="H631" s="11"/>
      <c r="X631" s="4"/>
      <c r="AF631" s="4"/>
      <c r="DF631" s="4"/>
    </row>
    <row r="632" spans="1:110">
      <c r="A632" s="4"/>
      <c r="B632" s="4"/>
      <c r="H632" s="11"/>
      <c r="X632" s="4"/>
      <c r="AF632" s="4"/>
      <c r="DF632" s="4"/>
    </row>
    <row r="633" spans="1:110">
      <c r="A633" s="4"/>
      <c r="B633" s="4"/>
      <c r="H633" s="11"/>
      <c r="X633" s="4"/>
      <c r="AF633" s="4"/>
      <c r="DF633" s="4"/>
    </row>
    <row r="634" spans="1:110">
      <c r="A634" s="4"/>
      <c r="B634" s="4"/>
      <c r="H634" s="11"/>
      <c r="X634" s="4"/>
      <c r="AF634" s="4"/>
      <c r="DF634" s="4"/>
    </row>
    <row r="635" spans="1:110">
      <c r="A635" s="4"/>
      <c r="B635" s="4"/>
      <c r="H635" s="11"/>
      <c r="X635" s="4"/>
      <c r="AF635" s="4"/>
      <c r="DF635" s="4"/>
    </row>
    <row r="636" spans="1:110">
      <c r="A636" s="4"/>
      <c r="B636" s="4"/>
      <c r="H636" s="11"/>
      <c r="X636" s="4"/>
      <c r="AF636" s="4"/>
      <c r="DF636" s="4"/>
    </row>
    <row r="637" spans="1:110">
      <c r="A637" s="4"/>
      <c r="B637" s="4"/>
      <c r="H637" s="11"/>
      <c r="X637" s="4"/>
      <c r="AF637" s="4"/>
      <c r="DF637" s="4"/>
    </row>
    <row r="638" spans="1:110">
      <c r="A638" s="4"/>
      <c r="B638" s="4"/>
      <c r="H638" s="11"/>
      <c r="X638" s="4"/>
      <c r="AF638" s="4"/>
      <c r="DF638" s="4"/>
    </row>
    <row r="639" spans="1:110">
      <c r="A639" s="4"/>
      <c r="B639" s="4"/>
      <c r="H639" s="11"/>
      <c r="X639" s="4"/>
      <c r="AF639" s="4"/>
      <c r="DF639" s="4"/>
    </row>
    <row r="640" spans="1:110">
      <c r="A640" s="4"/>
      <c r="B640" s="4"/>
      <c r="H640" s="11"/>
      <c r="X640" s="4"/>
      <c r="AF640" s="4"/>
      <c r="DF640" s="4"/>
    </row>
    <row r="641" spans="1:110">
      <c r="A641" s="4"/>
      <c r="B641" s="4"/>
      <c r="H641" s="11"/>
      <c r="X641" s="4"/>
      <c r="AF641" s="4"/>
      <c r="DF641" s="4"/>
    </row>
    <row r="642" spans="1:110">
      <c r="A642" s="4"/>
      <c r="B642" s="4"/>
      <c r="H642" s="11"/>
      <c r="X642" s="4"/>
      <c r="AF642" s="4"/>
      <c r="DF642" s="4"/>
    </row>
    <row r="643" spans="1:110">
      <c r="A643" s="4"/>
      <c r="B643" s="4"/>
      <c r="H643" s="11"/>
      <c r="X643" s="4"/>
      <c r="AF643" s="4"/>
      <c r="DF643" s="4"/>
    </row>
    <row r="644" spans="1:110">
      <c r="A644" s="4"/>
      <c r="B644" s="4"/>
      <c r="H644" s="11"/>
      <c r="X644" s="4"/>
      <c r="AF644" s="4"/>
      <c r="DF644" s="4"/>
    </row>
    <row r="645" spans="1:110">
      <c r="A645" s="4"/>
      <c r="B645" s="4"/>
      <c r="H645" s="11"/>
      <c r="X645" s="4"/>
      <c r="AF645" s="4"/>
      <c r="DF645" s="4"/>
    </row>
    <row r="646" spans="1:110">
      <c r="A646" s="4"/>
      <c r="B646" s="4"/>
      <c r="H646" s="11"/>
      <c r="X646" s="4"/>
      <c r="AF646" s="4"/>
      <c r="DF646" s="4"/>
    </row>
    <row r="647" spans="1:110">
      <c r="A647" s="4"/>
      <c r="B647" s="4"/>
      <c r="H647" s="11"/>
      <c r="X647" s="4"/>
      <c r="AF647" s="4"/>
      <c r="DF647" s="4"/>
    </row>
    <row r="648" spans="1:110">
      <c r="A648" s="4"/>
      <c r="B648" s="4"/>
      <c r="H648" s="11"/>
      <c r="X648" s="4"/>
      <c r="AF648" s="4"/>
      <c r="DF648" s="4"/>
    </row>
    <row r="649" spans="1:110">
      <c r="A649" s="4"/>
      <c r="B649" s="4"/>
      <c r="H649" s="11"/>
      <c r="X649" s="4"/>
      <c r="AF649" s="4"/>
      <c r="DF649" s="4"/>
    </row>
    <row r="650" spans="1:110">
      <c r="A650" s="4"/>
      <c r="B650" s="4"/>
      <c r="H650" s="11"/>
      <c r="X650" s="4"/>
      <c r="AF650" s="4"/>
      <c r="DF650" s="4"/>
    </row>
    <row r="651" spans="1:110">
      <c r="A651" s="4"/>
      <c r="B651" s="4"/>
      <c r="H651" s="11"/>
      <c r="X651" s="4"/>
      <c r="AF651" s="4"/>
      <c r="DF651" s="4"/>
    </row>
    <row r="652" spans="1:110">
      <c r="A652" s="4"/>
      <c r="B652" s="4"/>
      <c r="H652" s="11"/>
      <c r="X652" s="4"/>
      <c r="AF652" s="4"/>
      <c r="DF652" s="4"/>
    </row>
    <row r="653" spans="1:110">
      <c r="A653" s="4"/>
      <c r="B653" s="4"/>
      <c r="H653" s="11"/>
      <c r="X653" s="4"/>
      <c r="AF653" s="4"/>
      <c r="DF653" s="4"/>
    </row>
    <row r="654" spans="1:110">
      <c r="A654" s="4"/>
      <c r="B654" s="4"/>
      <c r="H654" s="11"/>
      <c r="X654" s="4"/>
      <c r="AF654" s="4"/>
      <c r="DF654" s="4"/>
    </row>
    <row r="655" spans="1:110">
      <c r="A655" s="4"/>
      <c r="B655" s="4"/>
      <c r="H655" s="11"/>
      <c r="X655" s="4"/>
      <c r="AF655" s="4"/>
      <c r="DF655" s="4"/>
    </row>
    <row r="656" spans="1:110">
      <c r="A656" s="4"/>
      <c r="B656" s="4"/>
      <c r="H656" s="11"/>
      <c r="X656" s="4"/>
      <c r="AF656" s="4"/>
      <c r="DF656" s="4"/>
    </row>
    <row r="657" spans="1:110">
      <c r="A657" s="4"/>
      <c r="B657" s="4"/>
      <c r="H657" s="11"/>
      <c r="X657" s="4"/>
      <c r="AF657" s="4"/>
      <c r="DF657" s="4"/>
    </row>
    <row r="658" spans="1:110">
      <c r="A658" s="4"/>
      <c r="B658" s="4"/>
      <c r="H658" s="11"/>
      <c r="X658" s="4"/>
      <c r="AF658" s="4"/>
      <c r="DF658" s="4"/>
    </row>
    <row r="659" spans="1:110">
      <c r="A659" s="4"/>
      <c r="B659" s="4"/>
      <c r="H659" s="11"/>
      <c r="X659" s="4"/>
      <c r="AF659" s="4"/>
      <c r="DF659" s="4"/>
    </row>
    <row r="660" spans="1:110">
      <c r="A660" s="4"/>
      <c r="B660" s="4"/>
      <c r="H660" s="11"/>
      <c r="X660" s="4"/>
      <c r="AF660" s="4"/>
      <c r="DF660" s="4"/>
    </row>
    <row r="661" spans="1:110">
      <c r="A661" s="4"/>
      <c r="B661" s="4"/>
      <c r="H661" s="11"/>
      <c r="X661" s="4"/>
      <c r="AF661" s="4"/>
      <c r="DF661" s="4"/>
    </row>
    <row r="662" spans="1:110">
      <c r="A662" s="4"/>
      <c r="B662" s="4"/>
      <c r="H662" s="11"/>
      <c r="X662" s="4"/>
      <c r="AF662" s="4"/>
      <c r="DF662" s="4"/>
    </row>
    <row r="663" spans="1:110">
      <c r="A663" s="4"/>
      <c r="B663" s="4"/>
      <c r="H663" s="11"/>
      <c r="X663" s="4"/>
      <c r="AF663" s="4"/>
      <c r="DF663" s="4"/>
    </row>
    <row r="664" spans="1:110">
      <c r="A664" s="4"/>
      <c r="B664" s="4"/>
      <c r="H664" s="11"/>
      <c r="X664" s="4"/>
      <c r="AF664" s="4"/>
      <c r="DF664" s="4"/>
    </row>
    <row r="665" spans="1:110">
      <c r="A665" s="4"/>
      <c r="B665" s="4"/>
      <c r="H665" s="11"/>
      <c r="X665" s="4"/>
      <c r="AF665" s="4"/>
      <c r="DF665" s="4"/>
    </row>
    <row r="666" spans="1:110">
      <c r="A666" s="4"/>
      <c r="B666" s="4"/>
      <c r="H666" s="11"/>
      <c r="X666" s="4"/>
      <c r="AF666" s="4"/>
      <c r="DF666" s="4"/>
    </row>
    <row r="667" spans="1:110">
      <c r="A667" s="4"/>
      <c r="B667" s="4"/>
      <c r="H667" s="11"/>
      <c r="X667" s="4"/>
      <c r="AF667" s="4"/>
      <c r="DF667" s="4"/>
    </row>
    <row r="668" spans="1:110">
      <c r="A668" s="4"/>
      <c r="B668" s="4"/>
      <c r="H668" s="11"/>
      <c r="X668" s="4"/>
      <c r="AF668" s="4"/>
      <c r="DF668" s="4"/>
    </row>
    <row r="669" spans="1:110">
      <c r="A669" s="4"/>
      <c r="B669" s="4"/>
      <c r="H669" s="11"/>
      <c r="X669" s="4"/>
      <c r="AF669" s="4"/>
      <c r="DF669" s="4"/>
    </row>
    <row r="670" spans="1:110">
      <c r="A670" s="4"/>
      <c r="B670" s="4"/>
      <c r="H670" s="11"/>
      <c r="X670" s="4"/>
      <c r="AF670" s="4"/>
      <c r="DF670" s="4"/>
    </row>
    <row r="671" spans="1:110">
      <c r="A671" s="4"/>
      <c r="B671" s="4"/>
      <c r="H671" s="11"/>
      <c r="X671" s="4"/>
      <c r="AF671" s="4"/>
      <c r="DF671" s="4"/>
    </row>
    <row r="672" spans="1:110">
      <c r="A672" s="4"/>
      <c r="B672" s="4"/>
      <c r="H672" s="11"/>
      <c r="X672" s="4"/>
      <c r="AF672" s="4"/>
      <c r="DF672" s="4"/>
    </row>
    <row r="673" spans="1:110">
      <c r="A673" s="4"/>
      <c r="B673" s="4"/>
      <c r="H673" s="11"/>
      <c r="X673" s="4"/>
      <c r="AF673" s="4"/>
      <c r="DF673" s="4"/>
    </row>
    <row r="674" spans="1:110">
      <c r="A674" s="4"/>
      <c r="B674" s="4"/>
      <c r="H674" s="11"/>
      <c r="X674" s="4"/>
      <c r="AF674" s="4"/>
      <c r="DF674" s="4"/>
    </row>
    <row r="675" spans="1:110">
      <c r="A675" s="4"/>
      <c r="B675" s="4"/>
      <c r="H675" s="11"/>
      <c r="X675" s="4"/>
      <c r="AF675" s="4"/>
      <c r="DF675" s="4"/>
    </row>
    <row r="676" spans="1:110">
      <c r="A676" s="4"/>
      <c r="B676" s="4"/>
      <c r="H676" s="11"/>
      <c r="X676" s="4"/>
      <c r="AF676" s="4"/>
      <c r="DF676" s="4"/>
    </row>
    <row r="677" spans="1:110">
      <c r="A677" s="4"/>
      <c r="B677" s="4"/>
      <c r="H677" s="11"/>
      <c r="X677" s="4"/>
      <c r="AF677" s="4"/>
      <c r="DF677" s="4"/>
    </row>
    <row r="678" spans="1:110">
      <c r="A678" s="4"/>
      <c r="B678" s="4"/>
      <c r="H678" s="11"/>
      <c r="X678" s="4"/>
      <c r="AF678" s="4"/>
      <c r="DF678" s="4"/>
    </row>
    <row r="679" spans="1:110">
      <c r="A679" s="4"/>
      <c r="B679" s="4"/>
      <c r="H679" s="11"/>
      <c r="X679" s="4"/>
      <c r="AF679" s="4"/>
      <c r="DF679" s="4"/>
    </row>
    <row r="680" spans="1:110">
      <c r="A680" s="4"/>
      <c r="B680" s="4"/>
      <c r="H680" s="11"/>
      <c r="X680" s="4"/>
      <c r="AF680" s="4"/>
      <c r="DF680" s="4"/>
    </row>
    <row r="681" spans="1:110">
      <c r="A681" s="4"/>
      <c r="B681" s="4"/>
      <c r="H681" s="11"/>
      <c r="X681" s="4"/>
      <c r="AF681" s="4"/>
      <c r="DF681" s="4"/>
    </row>
    <row r="682" spans="1:110">
      <c r="A682" s="4"/>
      <c r="B682" s="4"/>
      <c r="H682" s="11"/>
      <c r="X682" s="4"/>
      <c r="AF682" s="4"/>
      <c r="DF682" s="4"/>
    </row>
    <row r="683" spans="1:110">
      <c r="A683" s="4"/>
      <c r="B683" s="4"/>
      <c r="H683" s="11"/>
      <c r="X683" s="4"/>
      <c r="AF683" s="4"/>
      <c r="DF683" s="4"/>
    </row>
    <row r="684" spans="1:110">
      <c r="A684" s="4"/>
      <c r="B684" s="4"/>
      <c r="H684" s="11"/>
      <c r="X684" s="4"/>
      <c r="AF684" s="4"/>
      <c r="DF684" s="4"/>
    </row>
    <row r="685" spans="1:110">
      <c r="A685" s="4"/>
      <c r="B685" s="4"/>
      <c r="H685" s="11"/>
      <c r="X685" s="4"/>
      <c r="AF685" s="4"/>
      <c r="DF685" s="4"/>
    </row>
    <row r="686" spans="1:110">
      <c r="A686" s="4"/>
      <c r="B686" s="4"/>
      <c r="H686" s="11"/>
      <c r="X686" s="4"/>
      <c r="AF686" s="4"/>
      <c r="DF686" s="4"/>
    </row>
    <row r="687" spans="1:110">
      <c r="A687" s="4"/>
      <c r="B687" s="4"/>
      <c r="H687" s="11"/>
      <c r="X687" s="4"/>
      <c r="AF687" s="4"/>
      <c r="DF687" s="4"/>
    </row>
    <row r="688" spans="1:110">
      <c r="A688" s="4"/>
      <c r="B688" s="4"/>
      <c r="H688" s="11"/>
      <c r="X688" s="4"/>
      <c r="AF688" s="4"/>
      <c r="DF688" s="4"/>
    </row>
    <row r="689" spans="1:110">
      <c r="A689" s="4"/>
      <c r="B689" s="4"/>
      <c r="H689" s="11"/>
      <c r="X689" s="4"/>
      <c r="AF689" s="4"/>
      <c r="DF689" s="4"/>
    </row>
    <row r="690" spans="1:110">
      <c r="A690" s="4"/>
      <c r="B690" s="4"/>
      <c r="H690" s="11"/>
      <c r="X690" s="4"/>
      <c r="AF690" s="4"/>
      <c r="DF690" s="4"/>
    </row>
    <row r="691" spans="1:110">
      <c r="A691" s="4"/>
      <c r="B691" s="4"/>
      <c r="H691" s="11"/>
      <c r="X691" s="4"/>
      <c r="AF691" s="4"/>
      <c r="DF691" s="4"/>
    </row>
    <row r="692" spans="1:110">
      <c r="A692" s="4"/>
      <c r="B692" s="4"/>
      <c r="H692" s="11"/>
      <c r="X692" s="4"/>
      <c r="AF692" s="4"/>
      <c r="DF692" s="4"/>
    </row>
    <row r="693" spans="1:110">
      <c r="A693" s="4"/>
      <c r="B693" s="4"/>
      <c r="H693" s="11"/>
      <c r="X693" s="4"/>
      <c r="AF693" s="4"/>
      <c r="DF693" s="4"/>
    </row>
    <row r="694" spans="1:110">
      <c r="A694" s="4"/>
      <c r="B694" s="4"/>
      <c r="H694" s="11"/>
      <c r="X694" s="4"/>
      <c r="AF694" s="4"/>
      <c r="DF694" s="4"/>
    </row>
    <row r="695" spans="1:110">
      <c r="A695" s="4"/>
      <c r="B695" s="4"/>
      <c r="H695" s="11"/>
      <c r="X695" s="4"/>
      <c r="AF695" s="4"/>
      <c r="DF695" s="4"/>
    </row>
    <row r="696" spans="1:110">
      <c r="A696" s="4"/>
      <c r="B696" s="4"/>
      <c r="H696" s="11"/>
      <c r="X696" s="4"/>
      <c r="AF696" s="4"/>
      <c r="DF696" s="4"/>
    </row>
    <row r="697" spans="1:110">
      <c r="A697" s="4"/>
      <c r="B697" s="4"/>
      <c r="H697" s="11"/>
      <c r="X697" s="4"/>
      <c r="AF697" s="4"/>
      <c r="DF697" s="4"/>
    </row>
    <row r="698" spans="1:110">
      <c r="A698" s="4"/>
      <c r="B698" s="4"/>
      <c r="H698" s="11"/>
      <c r="X698" s="4"/>
      <c r="AF698" s="4"/>
      <c r="DF698" s="4"/>
    </row>
    <row r="699" spans="1:110">
      <c r="A699" s="4"/>
      <c r="B699" s="4"/>
      <c r="H699" s="11"/>
      <c r="X699" s="4"/>
      <c r="AF699" s="4"/>
      <c r="DF699" s="4"/>
    </row>
    <row r="700" spans="1:110">
      <c r="A700" s="4"/>
      <c r="B700" s="4"/>
      <c r="H700" s="11"/>
      <c r="X700" s="4"/>
      <c r="AF700" s="4"/>
      <c r="DF700" s="4"/>
    </row>
    <row r="701" spans="1:110">
      <c r="A701" s="4"/>
      <c r="B701" s="4"/>
      <c r="H701" s="11"/>
      <c r="X701" s="4"/>
      <c r="AF701" s="4"/>
      <c r="DF701" s="4"/>
    </row>
    <row r="702" spans="1:110">
      <c r="A702" s="4"/>
      <c r="B702" s="4"/>
      <c r="H702" s="11"/>
      <c r="X702" s="4"/>
      <c r="AF702" s="4"/>
      <c r="DF702" s="4"/>
    </row>
    <row r="703" spans="1:110">
      <c r="A703" s="4"/>
      <c r="B703" s="4"/>
      <c r="H703" s="11"/>
      <c r="X703" s="4"/>
      <c r="AF703" s="4"/>
      <c r="DF703" s="4"/>
    </row>
    <row r="704" spans="1:110">
      <c r="A704" s="4"/>
      <c r="B704" s="4"/>
      <c r="H704" s="11"/>
      <c r="X704" s="4"/>
      <c r="AF704" s="4"/>
      <c r="DF704" s="4"/>
    </row>
    <row r="705" spans="1:110">
      <c r="A705" s="4"/>
      <c r="B705" s="4"/>
      <c r="H705" s="11"/>
      <c r="X705" s="4"/>
      <c r="AF705" s="4"/>
      <c r="DF705" s="4"/>
    </row>
    <row r="706" spans="1:110">
      <c r="A706" s="4"/>
      <c r="B706" s="4"/>
      <c r="H706" s="11"/>
      <c r="X706" s="4"/>
      <c r="AF706" s="4"/>
      <c r="DF706" s="4"/>
    </row>
    <row r="707" spans="1:110">
      <c r="A707" s="4"/>
      <c r="B707" s="4"/>
      <c r="H707" s="11"/>
      <c r="X707" s="4"/>
      <c r="AF707" s="4"/>
      <c r="DF707" s="4"/>
    </row>
    <row r="708" spans="1:110">
      <c r="A708" s="4"/>
      <c r="B708" s="4"/>
      <c r="H708" s="11"/>
      <c r="X708" s="4"/>
      <c r="AF708" s="4"/>
      <c r="DF708" s="4"/>
    </row>
    <row r="709" spans="1:110">
      <c r="A709" s="4"/>
      <c r="B709" s="4"/>
      <c r="H709" s="11"/>
      <c r="X709" s="4"/>
      <c r="AF709" s="4"/>
      <c r="DF709" s="4"/>
    </row>
    <row r="710" spans="1:110">
      <c r="A710" s="4"/>
      <c r="B710" s="4"/>
      <c r="H710" s="11"/>
      <c r="X710" s="4"/>
      <c r="AF710" s="4"/>
      <c r="DF710" s="4"/>
    </row>
    <row r="711" spans="1:110">
      <c r="A711" s="4"/>
      <c r="B711" s="4"/>
      <c r="H711" s="11"/>
      <c r="X711" s="4"/>
      <c r="AF711" s="4"/>
      <c r="DF711" s="4"/>
    </row>
    <row r="712" spans="1:110">
      <c r="A712" s="4"/>
      <c r="B712" s="4"/>
      <c r="H712" s="11"/>
      <c r="X712" s="4"/>
      <c r="AF712" s="4"/>
      <c r="DF712" s="4"/>
    </row>
    <row r="713" spans="1:110">
      <c r="A713" s="4"/>
      <c r="B713" s="4"/>
      <c r="H713" s="11"/>
      <c r="X713" s="4"/>
      <c r="AF713" s="4"/>
      <c r="DF713" s="4"/>
    </row>
    <row r="714" spans="1:110">
      <c r="A714" s="4"/>
      <c r="B714" s="4"/>
      <c r="H714" s="11"/>
      <c r="X714" s="4"/>
      <c r="AF714" s="4"/>
      <c r="DF714" s="4"/>
    </row>
    <row r="715" spans="1:110">
      <c r="A715" s="4"/>
      <c r="B715" s="4"/>
      <c r="H715" s="11"/>
      <c r="X715" s="4"/>
      <c r="AF715" s="4"/>
      <c r="DF715" s="4"/>
    </row>
    <row r="716" spans="1:110">
      <c r="A716" s="4"/>
      <c r="B716" s="4"/>
      <c r="H716" s="11"/>
      <c r="X716" s="4"/>
      <c r="AF716" s="4"/>
      <c r="DF716" s="4"/>
    </row>
    <row r="717" spans="1:110">
      <c r="A717" s="4"/>
      <c r="B717" s="4"/>
      <c r="H717" s="11"/>
      <c r="X717" s="4"/>
      <c r="AF717" s="4"/>
      <c r="DF717" s="4"/>
    </row>
    <row r="718" spans="1:110">
      <c r="A718" s="4"/>
      <c r="B718" s="4"/>
      <c r="H718" s="11"/>
      <c r="X718" s="4"/>
      <c r="AF718" s="4"/>
      <c r="DF718" s="4"/>
    </row>
    <row r="719" spans="1:110">
      <c r="A719" s="4"/>
      <c r="B719" s="4"/>
      <c r="H719" s="11"/>
      <c r="X719" s="4"/>
      <c r="AF719" s="4"/>
      <c r="DF719" s="4"/>
    </row>
    <row r="720" spans="1:110">
      <c r="A720" s="4"/>
      <c r="B720" s="4"/>
      <c r="H720" s="11"/>
      <c r="X720" s="4"/>
      <c r="AF720" s="4"/>
      <c r="DF720" s="4"/>
    </row>
    <row r="721" spans="1:110">
      <c r="A721" s="4"/>
      <c r="B721" s="4"/>
      <c r="H721" s="11"/>
      <c r="X721" s="4"/>
      <c r="AF721" s="4"/>
      <c r="DF721" s="4"/>
    </row>
    <row r="722" spans="1:110">
      <c r="A722" s="4"/>
      <c r="B722" s="4"/>
      <c r="H722" s="11"/>
      <c r="X722" s="4"/>
      <c r="AF722" s="4"/>
      <c r="DF722" s="4"/>
    </row>
    <row r="723" spans="1:110">
      <c r="A723" s="4"/>
      <c r="B723" s="4"/>
      <c r="H723" s="11"/>
      <c r="X723" s="4"/>
      <c r="AF723" s="4"/>
      <c r="DF723" s="4"/>
    </row>
    <row r="724" spans="1:110">
      <c r="A724" s="4"/>
      <c r="B724" s="4"/>
      <c r="H724" s="11"/>
      <c r="X724" s="4"/>
      <c r="AF724" s="4"/>
      <c r="DF724" s="4"/>
    </row>
    <row r="725" spans="1:110">
      <c r="A725" s="4"/>
      <c r="B725" s="4"/>
      <c r="H725" s="11"/>
      <c r="X725" s="4"/>
      <c r="AF725" s="4"/>
      <c r="DF725" s="4"/>
    </row>
    <row r="726" spans="1:110">
      <c r="A726" s="4"/>
      <c r="B726" s="4"/>
      <c r="H726" s="11"/>
      <c r="X726" s="4"/>
      <c r="AF726" s="4"/>
      <c r="DF726" s="4"/>
    </row>
    <row r="727" spans="1:110">
      <c r="A727" s="4"/>
      <c r="B727" s="4"/>
      <c r="H727" s="11"/>
      <c r="X727" s="4"/>
      <c r="AF727" s="4"/>
      <c r="DF727" s="4"/>
    </row>
    <row r="728" spans="1:110">
      <c r="A728" s="4"/>
      <c r="B728" s="4"/>
      <c r="H728" s="11"/>
      <c r="X728" s="4"/>
      <c r="AF728" s="4"/>
      <c r="DF728" s="4"/>
    </row>
    <row r="729" spans="1:110">
      <c r="A729" s="4"/>
      <c r="B729" s="4"/>
      <c r="H729" s="11"/>
      <c r="X729" s="4"/>
      <c r="AF729" s="4"/>
      <c r="DF729" s="4"/>
    </row>
    <row r="730" spans="1:110">
      <c r="A730" s="4"/>
      <c r="B730" s="4"/>
      <c r="H730" s="11"/>
      <c r="X730" s="4"/>
      <c r="AF730" s="4"/>
      <c r="DF730" s="4"/>
    </row>
    <row r="731" spans="1:110">
      <c r="A731" s="4"/>
      <c r="B731" s="4"/>
      <c r="H731" s="11"/>
      <c r="X731" s="4"/>
      <c r="AF731" s="4"/>
      <c r="DF731" s="4"/>
    </row>
    <row r="732" spans="1:110">
      <c r="A732" s="4"/>
      <c r="B732" s="4"/>
      <c r="H732" s="11"/>
      <c r="X732" s="4"/>
      <c r="AF732" s="4"/>
      <c r="DF732" s="4"/>
    </row>
    <row r="733" spans="1:110">
      <c r="A733" s="4"/>
      <c r="B733" s="4"/>
      <c r="H733" s="11"/>
      <c r="X733" s="4"/>
      <c r="AF733" s="4"/>
      <c r="DF733" s="4"/>
    </row>
    <row r="734" spans="1:110">
      <c r="A734" s="4"/>
      <c r="B734" s="4"/>
      <c r="H734" s="11"/>
      <c r="X734" s="4"/>
      <c r="AF734" s="4"/>
      <c r="DF734" s="4"/>
    </row>
    <row r="735" spans="1:110">
      <c r="A735" s="4"/>
      <c r="B735" s="4"/>
      <c r="H735" s="11"/>
      <c r="X735" s="4"/>
      <c r="AF735" s="4"/>
      <c r="DF735" s="4"/>
    </row>
    <row r="736" spans="1:110">
      <c r="A736" s="4"/>
      <c r="B736" s="4"/>
      <c r="H736" s="11"/>
      <c r="X736" s="4"/>
      <c r="AF736" s="4"/>
      <c r="DF736" s="4"/>
    </row>
    <row r="737" spans="1:110">
      <c r="A737" s="4"/>
      <c r="B737" s="4"/>
      <c r="H737" s="11"/>
      <c r="X737" s="4"/>
      <c r="AF737" s="4"/>
      <c r="DF737" s="4"/>
    </row>
    <row r="738" spans="1:110">
      <c r="A738" s="4"/>
      <c r="B738" s="4"/>
      <c r="H738" s="11"/>
      <c r="X738" s="4"/>
      <c r="AF738" s="4"/>
      <c r="DF738" s="4"/>
    </row>
    <row r="739" spans="1:110">
      <c r="A739" s="4"/>
      <c r="B739" s="4"/>
      <c r="H739" s="11"/>
      <c r="X739" s="4"/>
      <c r="AF739" s="4"/>
      <c r="DF739" s="4"/>
    </row>
    <row r="740" spans="1:110">
      <c r="A740" s="4"/>
      <c r="B740" s="4"/>
      <c r="H740" s="11"/>
      <c r="X740" s="4"/>
      <c r="AF740" s="4"/>
      <c r="DF740" s="4"/>
    </row>
    <row r="741" spans="1:110">
      <c r="A741" s="4"/>
      <c r="B741" s="4"/>
      <c r="H741" s="11"/>
      <c r="X741" s="4"/>
      <c r="AF741" s="4"/>
      <c r="DF741" s="4"/>
    </row>
    <row r="742" spans="1:110">
      <c r="A742" s="4"/>
      <c r="B742" s="4"/>
      <c r="H742" s="11"/>
      <c r="X742" s="4"/>
      <c r="AF742" s="4"/>
      <c r="DF742" s="4"/>
    </row>
    <row r="743" spans="1:110">
      <c r="A743" s="4"/>
      <c r="B743" s="4"/>
      <c r="H743" s="11"/>
      <c r="X743" s="4"/>
      <c r="AF743" s="4"/>
      <c r="DF743" s="4"/>
    </row>
    <row r="744" spans="1:110">
      <c r="A744" s="4"/>
      <c r="B744" s="4"/>
      <c r="H744" s="11"/>
      <c r="X744" s="4"/>
      <c r="AF744" s="4"/>
      <c r="DF744" s="4"/>
    </row>
    <row r="745" spans="1:110">
      <c r="A745" s="4"/>
      <c r="B745" s="4"/>
      <c r="H745" s="11"/>
      <c r="X745" s="4"/>
      <c r="AF745" s="4"/>
      <c r="DF745" s="4"/>
    </row>
    <row r="746" spans="1:110">
      <c r="A746" s="4"/>
      <c r="B746" s="4"/>
      <c r="H746" s="11"/>
      <c r="X746" s="4"/>
      <c r="AF746" s="4"/>
      <c r="DF746" s="4"/>
    </row>
    <row r="747" spans="1:110">
      <c r="A747" s="4"/>
      <c r="B747" s="4"/>
      <c r="H747" s="11"/>
      <c r="X747" s="4"/>
      <c r="AF747" s="4"/>
      <c r="DF747" s="4"/>
    </row>
    <row r="748" spans="1:110">
      <c r="A748" s="4"/>
      <c r="B748" s="4"/>
      <c r="H748" s="11"/>
      <c r="X748" s="4"/>
      <c r="AF748" s="4"/>
      <c r="DF748" s="4"/>
    </row>
    <row r="749" spans="1:110">
      <c r="A749" s="4"/>
      <c r="B749" s="4"/>
      <c r="H749" s="11"/>
      <c r="X749" s="4"/>
      <c r="AF749" s="4"/>
      <c r="DF749" s="4"/>
    </row>
    <row r="750" spans="1:110">
      <c r="A750" s="4"/>
      <c r="B750" s="4"/>
      <c r="H750" s="11"/>
      <c r="X750" s="4"/>
      <c r="AF750" s="4"/>
      <c r="DF750" s="4"/>
    </row>
    <row r="751" spans="1:110">
      <c r="A751" s="4"/>
      <c r="B751" s="4"/>
      <c r="H751" s="11"/>
      <c r="X751" s="4"/>
      <c r="AF751" s="4"/>
      <c r="DF751" s="4"/>
    </row>
    <row r="752" spans="1:110">
      <c r="A752" s="4"/>
      <c r="B752" s="4"/>
      <c r="H752" s="11"/>
      <c r="X752" s="4"/>
      <c r="AF752" s="4"/>
      <c r="DF752" s="4"/>
    </row>
    <row r="753" spans="1:110">
      <c r="A753" s="4"/>
      <c r="B753" s="4"/>
      <c r="H753" s="11"/>
      <c r="X753" s="4"/>
      <c r="AF753" s="4"/>
      <c r="DF753" s="4"/>
    </row>
    <row r="754" spans="1:110">
      <c r="A754" s="4"/>
      <c r="B754" s="4"/>
      <c r="H754" s="11"/>
      <c r="X754" s="4"/>
      <c r="AF754" s="4"/>
      <c r="DF754" s="4"/>
    </row>
    <row r="755" spans="1:110">
      <c r="A755" s="4"/>
      <c r="B755" s="4"/>
      <c r="H755" s="11"/>
      <c r="X755" s="4"/>
      <c r="AF755" s="4"/>
      <c r="DF755" s="4"/>
    </row>
    <row r="756" spans="1:110">
      <c r="A756" s="4"/>
      <c r="B756" s="4"/>
      <c r="H756" s="11"/>
      <c r="X756" s="4"/>
      <c r="AF756" s="4"/>
      <c r="DF756" s="4"/>
    </row>
    <row r="757" spans="1:110">
      <c r="A757" s="4"/>
      <c r="B757" s="4"/>
      <c r="H757" s="11"/>
      <c r="X757" s="4"/>
      <c r="AF757" s="4"/>
      <c r="DF757" s="4"/>
    </row>
    <row r="758" spans="1:110">
      <c r="A758" s="4"/>
      <c r="B758" s="4"/>
      <c r="H758" s="11"/>
      <c r="X758" s="4"/>
      <c r="AF758" s="4"/>
      <c r="DF758" s="4"/>
    </row>
    <row r="759" spans="1:110">
      <c r="A759" s="4"/>
      <c r="B759" s="4"/>
      <c r="H759" s="11"/>
      <c r="X759" s="4"/>
      <c r="AF759" s="4"/>
      <c r="DF759" s="4"/>
    </row>
    <row r="760" spans="1:110">
      <c r="A760" s="4"/>
      <c r="B760" s="4"/>
      <c r="H760" s="11"/>
      <c r="X760" s="4"/>
      <c r="AF760" s="4"/>
      <c r="DF760" s="4"/>
    </row>
    <row r="761" spans="1:110">
      <c r="A761" s="4"/>
      <c r="B761" s="4"/>
      <c r="H761" s="11"/>
      <c r="X761" s="4"/>
      <c r="AF761" s="4"/>
      <c r="DF761" s="4"/>
    </row>
    <row r="762" spans="1:110">
      <c r="A762" s="4"/>
      <c r="B762" s="4"/>
      <c r="H762" s="11"/>
      <c r="X762" s="4"/>
      <c r="AF762" s="4"/>
      <c r="DF762" s="4"/>
    </row>
    <row r="763" spans="1:110">
      <c r="A763" s="4"/>
      <c r="B763" s="4"/>
      <c r="H763" s="11"/>
      <c r="X763" s="4"/>
      <c r="AF763" s="4"/>
      <c r="DF763" s="4"/>
    </row>
    <row r="764" spans="1:110">
      <c r="A764" s="4"/>
      <c r="B764" s="4"/>
      <c r="H764" s="11"/>
      <c r="X764" s="4"/>
      <c r="AF764" s="4"/>
      <c r="DF764" s="4"/>
    </row>
    <row r="765" spans="1:110">
      <c r="A765" s="4"/>
      <c r="B765" s="4"/>
      <c r="H765" s="11"/>
      <c r="X765" s="4"/>
      <c r="AF765" s="4"/>
      <c r="DF765" s="4"/>
    </row>
    <row r="766" spans="1:110">
      <c r="A766" s="4"/>
      <c r="B766" s="4"/>
      <c r="H766" s="11"/>
      <c r="X766" s="4"/>
      <c r="AF766" s="4"/>
      <c r="DF766" s="4"/>
    </row>
    <row r="767" spans="1:110">
      <c r="A767" s="4"/>
      <c r="B767" s="4"/>
      <c r="H767" s="11"/>
      <c r="X767" s="4"/>
      <c r="AF767" s="4"/>
      <c r="DF767" s="4"/>
    </row>
    <row r="768" spans="1:110">
      <c r="A768" s="4"/>
      <c r="B768" s="4"/>
      <c r="H768" s="11"/>
      <c r="X768" s="4"/>
      <c r="AF768" s="4"/>
      <c r="DF768" s="4"/>
    </row>
    <row r="769" spans="1:110">
      <c r="A769" s="4"/>
      <c r="B769" s="4"/>
      <c r="H769" s="11"/>
      <c r="X769" s="4"/>
      <c r="AF769" s="4"/>
      <c r="DF769" s="4"/>
    </row>
    <row r="770" spans="1:110">
      <c r="A770" s="4"/>
      <c r="B770" s="4"/>
      <c r="H770" s="11"/>
      <c r="X770" s="4"/>
      <c r="AF770" s="4"/>
      <c r="DF770" s="4"/>
    </row>
    <row r="771" spans="1:110">
      <c r="A771" s="4"/>
      <c r="B771" s="4"/>
      <c r="H771" s="11"/>
      <c r="X771" s="4"/>
      <c r="AF771" s="4"/>
      <c r="DF771" s="4"/>
    </row>
    <row r="772" spans="1:110">
      <c r="A772" s="4"/>
      <c r="B772" s="4"/>
      <c r="H772" s="11"/>
      <c r="X772" s="4"/>
      <c r="AF772" s="4"/>
      <c r="DF772" s="4"/>
    </row>
    <row r="773" spans="1:110">
      <c r="A773" s="4"/>
      <c r="B773" s="4"/>
      <c r="H773" s="11"/>
      <c r="X773" s="4"/>
      <c r="AF773" s="4"/>
      <c r="DF773" s="4"/>
    </row>
    <row r="774" spans="1:110">
      <c r="A774" s="4"/>
      <c r="B774" s="4"/>
      <c r="H774" s="11"/>
      <c r="X774" s="4"/>
      <c r="AF774" s="4"/>
      <c r="DF774" s="4"/>
    </row>
    <row r="775" spans="1:110">
      <c r="A775" s="4"/>
      <c r="B775" s="4"/>
      <c r="H775" s="11"/>
      <c r="X775" s="4"/>
      <c r="AF775" s="4"/>
      <c r="DF775" s="4"/>
    </row>
    <row r="776" spans="1:110">
      <c r="A776" s="4"/>
      <c r="B776" s="4"/>
      <c r="H776" s="11"/>
      <c r="X776" s="4"/>
      <c r="AF776" s="4"/>
      <c r="DF776" s="4"/>
    </row>
    <row r="777" spans="1:110">
      <c r="A777" s="4"/>
      <c r="B777" s="4"/>
      <c r="H777" s="11"/>
      <c r="X777" s="4"/>
      <c r="AF777" s="4"/>
      <c r="DF777" s="4"/>
    </row>
    <row r="778" spans="1:110">
      <c r="A778" s="4"/>
      <c r="B778" s="4"/>
      <c r="H778" s="11"/>
      <c r="X778" s="4"/>
      <c r="AF778" s="4"/>
      <c r="DF778" s="4"/>
    </row>
    <row r="779" spans="1:110">
      <c r="A779" s="4"/>
      <c r="B779" s="4"/>
      <c r="H779" s="11"/>
      <c r="X779" s="4"/>
      <c r="AF779" s="4"/>
      <c r="DF779" s="4"/>
    </row>
    <row r="780" spans="1:110">
      <c r="A780" s="4"/>
      <c r="B780" s="4"/>
      <c r="H780" s="11"/>
      <c r="X780" s="4"/>
      <c r="AF780" s="4"/>
      <c r="DF780" s="4"/>
    </row>
    <row r="781" spans="1:110">
      <c r="A781" s="4"/>
      <c r="B781" s="4"/>
      <c r="H781" s="11"/>
      <c r="X781" s="4"/>
      <c r="AF781" s="4"/>
      <c r="DF781" s="4"/>
    </row>
    <row r="782" spans="1:110">
      <c r="A782" s="4"/>
      <c r="B782" s="4"/>
      <c r="H782" s="11"/>
      <c r="X782" s="4"/>
      <c r="AF782" s="4"/>
      <c r="DF782" s="4"/>
    </row>
    <row r="783" spans="1:110">
      <c r="A783" s="4"/>
      <c r="B783" s="4"/>
      <c r="H783" s="11"/>
      <c r="X783" s="4"/>
      <c r="AF783" s="4"/>
      <c r="DF783" s="4"/>
    </row>
    <row r="784" spans="1:110">
      <c r="A784" s="4"/>
      <c r="B784" s="4"/>
      <c r="H784" s="11"/>
      <c r="X784" s="4"/>
      <c r="AF784" s="4"/>
      <c r="DF784" s="4"/>
    </row>
    <row r="785" spans="1:110">
      <c r="A785" s="4"/>
      <c r="B785" s="4"/>
      <c r="H785" s="11"/>
      <c r="X785" s="4"/>
      <c r="AF785" s="4"/>
      <c r="DF785" s="4"/>
    </row>
    <row r="786" spans="1:110">
      <c r="A786" s="4"/>
      <c r="B786" s="4"/>
      <c r="H786" s="11"/>
      <c r="X786" s="4"/>
      <c r="AF786" s="4"/>
      <c r="DF786" s="4"/>
    </row>
    <row r="787" spans="1:110">
      <c r="A787" s="4"/>
      <c r="B787" s="4"/>
      <c r="H787" s="11"/>
      <c r="X787" s="4"/>
      <c r="AF787" s="4"/>
      <c r="DF787" s="4"/>
    </row>
    <row r="788" spans="1:110">
      <c r="A788" s="4"/>
      <c r="B788" s="4"/>
      <c r="H788" s="11"/>
      <c r="X788" s="4"/>
      <c r="AF788" s="4"/>
      <c r="DF788" s="4"/>
    </row>
    <row r="789" spans="1:110">
      <c r="A789" s="4"/>
      <c r="B789" s="4"/>
      <c r="H789" s="11"/>
      <c r="X789" s="4"/>
      <c r="AF789" s="4"/>
      <c r="DF789" s="4"/>
    </row>
    <row r="790" spans="1:110">
      <c r="A790" s="4"/>
      <c r="B790" s="4"/>
      <c r="H790" s="11"/>
      <c r="X790" s="4"/>
      <c r="AF790" s="4"/>
      <c r="DF790" s="4"/>
    </row>
    <row r="791" spans="1:110">
      <c r="A791" s="4"/>
      <c r="B791" s="4"/>
      <c r="H791" s="11"/>
      <c r="X791" s="4"/>
      <c r="AF791" s="4"/>
      <c r="DF791" s="4"/>
    </row>
    <row r="792" spans="1:110">
      <c r="A792" s="4"/>
      <c r="B792" s="4"/>
      <c r="H792" s="11"/>
      <c r="X792" s="4"/>
      <c r="AF792" s="4"/>
      <c r="DF792" s="4"/>
    </row>
    <row r="793" spans="1:110">
      <c r="A793" s="4"/>
      <c r="B793" s="4"/>
      <c r="H793" s="11"/>
      <c r="X793" s="4"/>
      <c r="AF793" s="4"/>
      <c r="DF793" s="4"/>
    </row>
    <row r="794" spans="1:110">
      <c r="A794" s="4"/>
      <c r="B794" s="4"/>
      <c r="H794" s="11"/>
      <c r="X794" s="4"/>
      <c r="AF794" s="4"/>
      <c r="DF794" s="4"/>
    </row>
    <row r="795" spans="1:110">
      <c r="A795" s="4"/>
      <c r="B795" s="4"/>
      <c r="H795" s="11"/>
      <c r="X795" s="4"/>
      <c r="AF795" s="4"/>
      <c r="DF795" s="4"/>
    </row>
    <row r="796" spans="1:110">
      <c r="A796" s="4"/>
      <c r="B796" s="4"/>
      <c r="H796" s="11"/>
      <c r="X796" s="4"/>
      <c r="AF796" s="4"/>
      <c r="DF796" s="4"/>
    </row>
    <row r="797" spans="1:110">
      <c r="A797" s="4"/>
      <c r="B797" s="4"/>
      <c r="H797" s="11"/>
      <c r="X797" s="4"/>
      <c r="AF797" s="4"/>
      <c r="DF797" s="4"/>
    </row>
    <row r="798" spans="1:110">
      <c r="A798" s="4"/>
      <c r="B798" s="4"/>
      <c r="H798" s="11"/>
      <c r="X798" s="4"/>
      <c r="AF798" s="4"/>
      <c r="DF798" s="4"/>
    </row>
    <row r="799" spans="1:110">
      <c r="A799" s="4"/>
      <c r="B799" s="4"/>
      <c r="H799" s="11"/>
      <c r="X799" s="4"/>
      <c r="AF799" s="4"/>
      <c r="DF799" s="4"/>
    </row>
    <row r="800" spans="1:110">
      <c r="A800" s="4"/>
      <c r="B800" s="4"/>
      <c r="H800" s="11"/>
      <c r="X800" s="4"/>
      <c r="AF800" s="4"/>
      <c r="DF800" s="4"/>
    </row>
    <row r="801" spans="1:110">
      <c r="A801" s="4"/>
      <c r="B801" s="4"/>
      <c r="H801" s="11"/>
      <c r="X801" s="4"/>
      <c r="AF801" s="4"/>
      <c r="DF801" s="4"/>
    </row>
    <row r="802" spans="1:110">
      <c r="A802" s="4"/>
      <c r="B802" s="4"/>
      <c r="H802" s="11"/>
      <c r="X802" s="4"/>
      <c r="AF802" s="4"/>
      <c r="DF802" s="4"/>
    </row>
    <row r="803" spans="1:110">
      <c r="A803" s="4"/>
      <c r="B803" s="4"/>
      <c r="H803" s="11"/>
      <c r="X803" s="4"/>
      <c r="AF803" s="4"/>
      <c r="DF803" s="4"/>
    </row>
    <row r="804" spans="1:110">
      <c r="A804" s="4"/>
      <c r="B804" s="4"/>
      <c r="H804" s="11"/>
      <c r="X804" s="4"/>
      <c r="AF804" s="4"/>
      <c r="DF804" s="4"/>
    </row>
    <row r="805" spans="1:110">
      <c r="A805" s="4"/>
      <c r="B805" s="4"/>
      <c r="H805" s="11"/>
      <c r="X805" s="4"/>
      <c r="AF805" s="4"/>
      <c r="DF805" s="4"/>
    </row>
    <row r="806" spans="1:110">
      <c r="A806" s="4"/>
      <c r="B806" s="4"/>
      <c r="H806" s="11"/>
      <c r="X806" s="4"/>
      <c r="AF806" s="4"/>
      <c r="DF806" s="4"/>
    </row>
    <row r="807" spans="1:110">
      <c r="A807" s="4"/>
      <c r="B807" s="4"/>
      <c r="H807" s="11"/>
      <c r="X807" s="4"/>
      <c r="AF807" s="4"/>
      <c r="DF807" s="4"/>
    </row>
    <row r="808" spans="1:110">
      <c r="A808" s="4"/>
      <c r="B808" s="4"/>
      <c r="H808" s="11"/>
      <c r="X808" s="4"/>
      <c r="AF808" s="4"/>
      <c r="DF808" s="4"/>
    </row>
    <row r="809" spans="1:110">
      <c r="A809" s="4"/>
      <c r="B809" s="4"/>
      <c r="H809" s="11"/>
      <c r="X809" s="4"/>
      <c r="AF809" s="4"/>
      <c r="DF809" s="4"/>
    </row>
    <row r="810" spans="1:110">
      <c r="A810" s="4"/>
      <c r="B810" s="4"/>
      <c r="H810" s="11"/>
      <c r="X810" s="4"/>
      <c r="AF810" s="4"/>
      <c r="DF810" s="4"/>
    </row>
    <row r="811" spans="1:110">
      <c r="A811" s="4"/>
      <c r="B811" s="4"/>
      <c r="H811" s="11"/>
      <c r="X811" s="4"/>
      <c r="AF811" s="4"/>
      <c r="DF811" s="4"/>
    </row>
    <row r="812" spans="1:110">
      <c r="A812" s="4"/>
      <c r="B812" s="4"/>
      <c r="H812" s="11"/>
      <c r="X812" s="4"/>
      <c r="AF812" s="4"/>
      <c r="DF812" s="4"/>
    </row>
    <row r="813" spans="1:110">
      <c r="A813" s="4"/>
      <c r="B813" s="4"/>
      <c r="H813" s="11"/>
      <c r="X813" s="4"/>
      <c r="AF813" s="4"/>
      <c r="DF813" s="4"/>
    </row>
    <row r="814" spans="1:110">
      <c r="A814" s="4"/>
      <c r="B814" s="4"/>
      <c r="H814" s="11"/>
      <c r="X814" s="4"/>
      <c r="AF814" s="4"/>
      <c r="DF814" s="4"/>
    </row>
    <row r="815" spans="1:110">
      <c r="A815" s="4"/>
      <c r="B815" s="4"/>
      <c r="H815" s="11"/>
      <c r="X815" s="4"/>
      <c r="AF815" s="4"/>
      <c r="DF815" s="4"/>
    </row>
    <row r="816" spans="1:110">
      <c r="A816" s="4"/>
      <c r="B816" s="4"/>
      <c r="H816" s="11"/>
      <c r="X816" s="4"/>
      <c r="AF816" s="4"/>
      <c r="DF816" s="4"/>
    </row>
    <row r="817" spans="1:110">
      <c r="A817" s="4"/>
      <c r="B817" s="4"/>
      <c r="H817" s="11"/>
      <c r="X817" s="4"/>
      <c r="AF817" s="4"/>
      <c r="DF817" s="4"/>
    </row>
    <row r="818" spans="1:110">
      <c r="A818" s="4"/>
      <c r="B818" s="4"/>
      <c r="H818" s="11"/>
      <c r="X818" s="4"/>
      <c r="AF818" s="4"/>
      <c r="DF818" s="4"/>
    </row>
    <row r="819" spans="1:110">
      <c r="A819" s="4"/>
      <c r="B819" s="4"/>
      <c r="H819" s="11"/>
      <c r="X819" s="4"/>
      <c r="AF819" s="4"/>
      <c r="DF819" s="4"/>
    </row>
    <row r="820" spans="1:110">
      <c r="A820" s="4"/>
      <c r="B820" s="4"/>
      <c r="H820" s="11"/>
      <c r="X820" s="4"/>
      <c r="AF820" s="4"/>
      <c r="DF820" s="4"/>
    </row>
    <row r="821" spans="1:110">
      <c r="A821" s="4"/>
      <c r="B821" s="4"/>
      <c r="H821" s="11"/>
      <c r="X821" s="4"/>
      <c r="AF821" s="4"/>
      <c r="DF821" s="4"/>
    </row>
    <row r="822" spans="1:110">
      <c r="A822" s="4"/>
      <c r="B822" s="4"/>
      <c r="H822" s="11"/>
      <c r="X822" s="4"/>
      <c r="AF822" s="4"/>
      <c r="DF822" s="4"/>
    </row>
    <row r="823" spans="1:110">
      <c r="A823" s="4"/>
      <c r="B823" s="4"/>
      <c r="H823" s="11"/>
      <c r="X823" s="4"/>
      <c r="AF823" s="4"/>
      <c r="DF823" s="4"/>
    </row>
    <row r="824" spans="1:110">
      <c r="A824" s="4"/>
      <c r="B824" s="4"/>
      <c r="H824" s="11"/>
      <c r="X824" s="4"/>
      <c r="AF824" s="4"/>
      <c r="DF824" s="4"/>
    </row>
    <row r="825" spans="1:110">
      <c r="A825" s="4"/>
      <c r="B825" s="4"/>
      <c r="H825" s="11"/>
      <c r="X825" s="4"/>
      <c r="AF825" s="4"/>
      <c r="DF825" s="4"/>
    </row>
    <row r="826" spans="1:110">
      <c r="A826" s="4"/>
      <c r="B826" s="4"/>
      <c r="H826" s="11"/>
      <c r="X826" s="4"/>
      <c r="AF826" s="4"/>
      <c r="DF826" s="4"/>
    </row>
    <row r="827" spans="1:110">
      <c r="A827" s="4"/>
      <c r="B827" s="4"/>
      <c r="H827" s="11"/>
      <c r="X827" s="4"/>
      <c r="AF827" s="4"/>
      <c r="DF827" s="4"/>
    </row>
    <row r="828" spans="1:110">
      <c r="A828" s="4"/>
      <c r="B828" s="4"/>
      <c r="H828" s="11"/>
      <c r="X828" s="4"/>
      <c r="AF828" s="4"/>
      <c r="DF828" s="4"/>
    </row>
    <row r="829" spans="1:110">
      <c r="A829" s="4"/>
      <c r="B829" s="4"/>
      <c r="H829" s="11"/>
      <c r="X829" s="4"/>
      <c r="AF829" s="4"/>
      <c r="DF829" s="4"/>
    </row>
    <row r="830" spans="1:110">
      <c r="A830" s="4"/>
      <c r="B830" s="4"/>
      <c r="H830" s="11"/>
      <c r="X830" s="4"/>
      <c r="AF830" s="4"/>
      <c r="DF830" s="4"/>
    </row>
    <row r="831" spans="1:110">
      <c r="A831" s="4"/>
      <c r="B831" s="4"/>
      <c r="H831" s="11"/>
      <c r="X831" s="4"/>
      <c r="AF831" s="4"/>
      <c r="DF831" s="4"/>
    </row>
    <row r="832" spans="1:110">
      <c r="A832" s="4"/>
      <c r="B832" s="4"/>
      <c r="H832" s="11"/>
      <c r="X832" s="4"/>
      <c r="AF832" s="4"/>
      <c r="DF832" s="4"/>
    </row>
    <row r="833" spans="1:110">
      <c r="A833" s="4"/>
      <c r="B833" s="4"/>
      <c r="H833" s="11"/>
      <c r="X833" s="4"/>
      <c r="AF833" s="4"/>
      <c r="DF833" s="4"/>
    </row>
    <row r="834" spans="1:110">
      <c r="A834" s="4"/>
      <c r="B834" s="4"/>
      <c r="H834" s="11"/>
      <c r="X834" s="4"/>
      <c r="AF834" s="4"/>
      <c r="DF834" s="4"/>
    </row>
    <row r="835" spans="1:110">
      <c r="A835" s="4"/>
      <c r="B835" s="4"/>
      <c r="H835" s="11"/>
      <c r="X835" s="4"/>
      <c r="AF835" s="4"/>
      <c r="DF835" s="4"/>
    </row>
    <row r="836" spans="1:110">
      <c r="A836" s="4"/>
      <c r="B836" s="4"/>
      <c r="H836" s="11"/>
      <c r="X836" s="4"/>
      <c r="AF836" s="4"/>
      <c r="DF836" s="4"/>
    </row>
    <row r="837" spans="1:110">
      <c r="A837" s="4"/>
      <c r="B837" s="4"/>
      <c r="H837" s="11"/>
      <c r="X837" s="4"/>
      <c r="AF837" s="4"/>
      <c r="DF837" s="4"/>
    </row>
    <row r="838" spans="1:110">
      <c r="A838" s="4"/>
      <c r="B838" s="4"/>
      <c r="H838" s="11"/>
      <c r="X838" s="4"/>
      <c r="AF838" s="4"/>
      <c r="DF838" s="4"/>
    </row>
    <row r="839" spans="1:110">
      <c r="A839" s="4"/>
      <c r="B839" s="4"/>
      <c r="H839" s="11"/>
      <c r="X839" s="4"/>
      <c r="AF839" s="4"/>
      <c r="DF839" s="4"/>
    </row>
    <row r="840" spans="1:110">
      <c r="A840" s="4"/>
      <c r="B840" s="4"/>
      <c r="H840" s="11"/>
      <c r="X840" s="4"/>
      <c r="AF840" s="4"/>
      <c r="DF840" s="4"/>
    </row>
    <row r="841" spans="1:110">
      <c r="A841" s="4"/>
      <c r="B841" s="4"/>
      <c r="H841" s="11"/>
      <c r="X841" s="4"/>
      <c r="AF841" s="4"/>
      <c r="DF841" s="4"/>
    </row>
    <row r="842" spans="1:110">
      <c r="A842" s="4"/>
      <c r="B842" s="4"/>
      <c r="H842" s="11"/>
      <c r="X842" s="4"/>
      <c r="AF842" s="4"/>
      <c r="DF842" s="4"/>
    </row>
    <row r="843" spans="1:110">
      <c r="A843" s="4"/>
      <c r="B843" s="4"/>
      <c r="H843" s="11"/>
      <c r="X843" s="4"/>
      <c r="AF843" s="4"/>
      <c r="DF843" s="4"/>
    </row>
    <row r="844" spans="1:110">
      <c r="A844" s="4"/>
      <c r="B844" s="4"/>
      <c r="H844" s="11"/>
      <c r="X844" s="4"/>
      <c r="AF844" s="4"/>
      <c r="DF844" s="4"/>
    </row>
    <row r="845" spans="1:110">
      <c r="A845" s="4"/>
      <c r="B845" s="4"/>
      <c r="H845" s="11"/>
      <c r="X845" s="4"/>
      <c r="AF845" s="4"/>
      <c r="DF845" s="4"/>
    </row>
    <row r="846" spans="1:110">
      <c r="A846" s="4"/>
      <c r="B846" s="4"/>
      <c r="H846" s="11"/>
      <c r="X846" s="4"/>
      <c r="AF846" s="4"/>
      <c r="DF846" s="4"/>
    </row>
    <row r="847" spans="1:110">
      <c r="A847" s="4"/>
      <c r="B847" s="4"/>
      <c r="H847" s="11"/>
      <c r="X847" s="4"/>
      <c r="AF847" s="4"/>
      <c r="DF847" s="4"/>
    </row>
    <row r="848" spans="1:110">
      <c r="A848" s="4"/>
      <c r="B848" s="4"/>
      <c r="H848" s="11"/>
      <c r="X848" s="4"/>
      <c r="AF848" s="4"/>
      <c r="DF848" s="4"/>
    </row>
    <row r="849" spans="1:110">
      <c r="A849" s="4"/>
      <c r="B849" s="4"/>
      <c r="H849" s="11"/>
      <c r="X849" s="4"/>
      <c r="AF849" s="4"/>
      <c r="DF849" s="4"/>
    </row>
    <row r="850" spans="1:110">
      <c r="A850" s="4"/>
      <c r="B850" s="4"/>
      <c r="H850" s="11"/>
      <c r="X850" s="4"/>
      <c r="AF850" s="4"/>
      <c r="DF850" s="4"/>
    </row>
    <row r="851" spans="1:110">
      <c r="A851" s="4"/>
      <c r="B851" s="4"/>
      <c r="H851" s="11"/>
      <c r="X851" s="4"/>
      <c r="AF851" s="4"/>
      <c r="DF851" s="4"/>
    </row>
    <row r="852" spans="1:110">
      <c r="A852" s="4"/>
      <c r="B852" s="4"/>
      <c r="H852" s="11"/>
      <c r="X852" s="4"/>
      <c r="AF852" s="4"/>
      <c r="DF852" s="4"/>
    </row>
    <row r="853" spans="1:110">
      <c r="A853" s="4"/>
      <c r="B853" s="4"/>
      <c r="H853" s="11"/>
      <c r="X853" s="4"/>
      <c r="AF853" s="4"/>
      <c r="DF853" s="4"/>
    </row>
    <row r="854" spans="1:110">
      <c r="A854" s="4"/>
      <c r="B854" s="4"/>
      <c r="H854" s="11"/>
      <c r="X854" s="4"/>
      <c r="AF854" s="4"/>
      <c r="DF854" s="4"/>
    </row>
    <row r="855" spans="1:110">
      <c r="A855" s="4"/>
      <c r="B855" s="4"/>
      <c r="H855" s="11"/>
      <c r="X855" s="4"/>
      <c r="AF855" s="4"/>
      <c r="DF855" s="4"/>
    </row>
    <row r="856" spans="1:110">
      <c r="A856" s="4"/>
      <c r="B856" s="4"/>
      <c r="H856" s="11"/>
      <c r="X856" s="4"/>
      <c r="AF856" s="4"/>
      <c r="DF856" s="4"/>
    </row>
    <row r="857" spans="1:110">
      <c r="A857" s="4"/>
      <c r="B857" s="4"/>
      <c r="H857" s="11"/>
      <c r="X857" s="4"/>
      <c r="AF857" s="4"/>
      <c r="DF857" s="4"/>
    </row>
    <row r="858" spans="1:110">
      <c r="A858" s="4"/>
      <c r="B858" s="4"/>
      <c r="H858" s="11"/>
      <c r="X858" s="4"/>
      <c r="AF858" s="4"/>
      <c r="DF858" s="4"/>
    </row>
    <row r="859" spans="1:110">
      <c r="A859" s="4"/>
      <c r="B859" s="4"/>
      <c r="H859" s="11"/>
      <c r="X859" s="4"/>
      <c r="AF859" s="4"/>
      <c r="DF859" s="4"/>
    </row>
    <row r="860" spans="1:110">
      <c r="A860" s="4"/>
      <c r="B860" s="4"/>
      <c r="H860" s="11"/>
      <c r="X860" s="4"/>
      <c r="AF860" s="4"/>
      <c r="DF860" s="4"/>
    </row>
    <row r="861" spans="1:110">
      <c r="A861" s="4"/>
      <c r="B861" s="4"/>
      <c r="H861" s="11"/>
      <c r="X861" s="4"/>
      <c r="AF861" s="4"/>
      <c r="DF861" s="4"/>
    </row>
    <row r="862" spans="1:110">
      <c r="A862" s="4"/>
      <c r="B862" s="4"/>
      <c r="H862" s="11"/>
      <c r="X862" s="4"/>
      <c r="AF862" s="4"/>
      <c r="DF862" s="4"/>
    </row>
    <row r="863" spans="1:110">
      <c r="A863" s="4"/>
      <c r="B863" s="4"/>
      <c r="H863" s="11"/>
      <c r="X863" s="4"/>
      <c r="AF863" s="4"/>
      <c r="DF863" s="4"/>
    </row>
    <row r="864" spans="1:110">
      <c r="A864" s="4"/>
      <c r="B864" s="4"/>
      <c r="H864" s="11"/>
      <c r="X864" s="4"/>
      <c r="AF864" s="4"/>
      <c r="DF864" s="4"/>
    </row>
    <row r="865" spans="1:110">
      <c r="A865" s="4"/>
      <c r="B865" s="4"/>
      <c r="H865" s="11"/>
      <c r="X865" s="4"/>
      <c r="AF865" s="4"/>
      <c r="DF865" s="4"/>
    </row>
    <row r="866" spans="1:110">
      <c r="A866" s="4"/>
      <c r="B866" s="4"/>
      <c r="H866" s="11"/>
      <c r="X866" s="4"/>
      <c r="AF866" s="4"/>
      <c r="DF866" s="4"/>
    </row>
    <row r="867" spans="1:110">
      <c r="A867" s="4"/>
      <c r="B867" s="4"/>
      <c r="H867" s="11"/>
      <c r="X867" s="4"/>
      <c r="AF867" s="4"/>
      <c r="DF867" s="4"/>
    </row>
    <row r="868" spans="1:110">
      <c r="A868" s="4"/>
      <c r="B868" s="4"/>
      <c r="H868" s="11"/>
      <c r="X868" s="4"/>
      <c r="AF868" s="4"/>
      <c r="DF868" s="4"/>
    </row>
    <row r="869" spans="1:110">
      <c r="A869" s="4"/>
      <c r="B869" s="4"/>
      <c r="H869" s="11"/>
      <c r="X869" s="4"/>
      <c r="AF869" s="4"/>
      <c r="DF869" s="4"/>
    </row>
    <row r="870" spans="1:110">
      <c r="A870" s="4"/>
      <c r="B870" s="4"/>
      <c r="H870" s="11"/>
      <c r="X870" s="4"/>
      <c r="AF870" s="4"/>
      <c r="DF870" s="4"/>
    </row>
    <row r="871" spans="1:110">
      <c r="A871" s="4"/>
      <c r="B871" s="4"/>
      <c r="H871" s="11"/>
      <c r="X871" s="4"/>
      <c r="AF871" s="4"/>
      <c r="DF871" s="4"/>
    </row>
    <row r="872" spans="1:110">
      <c r="A872" s="4"/>
      <c r="B872" s="4"/>
      <c r="H872" s="11"/>
      <c r="X872" s="4"/>
      <c r="AF872" s="4"/>
      <c r="DF872" s="4"/>
    </row>
    <row r="873" spans="1:110">
      <c r="A873" s="4"/>
      <c r="B873" s="4"/>
      <c r="H873" s="11"/>
      <c r="X873" s="4"/>
      <c r="AF873" s="4"/>
      <c r="DF873" s="4"/>
    </row>
    <row r="874" spans="1:110">
      <c r="A874" s="4"/>
      <c r="B874" s="4"/>
      <c r="H874" s="11"/>
      <c r="X874" s="4"/>
      <c r="AF874" s="4"/>
      <c r="DF874" s="4"/>
    </row>
    <row r="875" spans="1:110">
      <c r="A875" s="4"/>
      <c r="B875" s="4"/>
      <c r="H875" s="11"/>
      <c r="X875" s="4"/>
      <c r="AF875" s="4"/>
      <c r="DF875" s="4"/>
    </row>
    <row r="876" spans="1:110">
      <c r="A876" s="4"/>
      <c r="B876" s="4"/>
      <c r="H876" s="11"/>
      <c r="X876" s="4"/>
      <c r="AF876" s="4"/>
      <c r="DF876" s="4"/>
    </row>
    <row r="877" spans="1:110">
      <c r="A877" s="4"/>
      <c r="B877" s="4"/>
      <c r="H877" s="11"/>
      <c r="X877" s="4"/>
      <c r="AF877" s="4"/>
      <c r="DF877" s="4"/>
    </row>
    <row r="878" spans="1:110">
      <c r="A878" s="4"/>
      <c r="B878" s="4"/>
      <c r="H878" s="11"/>
      <c r="X878" s="4"/>
      <c r="AF878" s="4"/>
      <c r="DF878" s="4"/>
    </row>
    <row r="879" spans="1:110">
      <c r="A879" s="4"/>
      <c r="B879" s="4"/>
      <c r="H879" s="11"/>
      <c r="X879" s="4"/>
      <c r="AF879" s="4"/>
      <c r="DF879" s="4"/>
    </row>
    <row r="880" spans="1:110">
      <c r="A880" s="4"/>
      <c r="B880" s="4"/>
      <c r="H880" s="11"/>
      <c r="X880" s="4"/>
      <c r="AF880" s="4"/>
      <c r="DF880" s="4"/>
    </row>
    <row r="881" spans="1:110">
      <c r="A881" s="4"/>
      <c r="B881" s="4"/>
      <c r="H881" s="11"/>
      <c r="X881" s="4"/>
      <c r="AF881" s="4"/>
      <c r="DF881" s="4"/>
    </row>
    <row r="882" spans="1:110">
      <c r="A882" s="4"/>
      <c r="B882" s="4"/>
      <c r="H882" s="11"/>
      <c r="X882" s="4"/>
      <c r="AF882" s="4"/>
      <c r="DF882" s="4"/>
    </row>
    <row r="883" spans="1:110">
      <c r="A883" s="4"/>
      <c r="B883" s="4"/>
      <c r="H883" s="11"/>
      <c r="X883" s="4"/>
      <c r="AF883" s="4"/>
      <c r="DF883" s="4"/>
    </row>
    <row r="884" spans="1:110">
      <c r="A884" s="4"/>
      <c r="B884" s="4"/>
      <c r="H884" s="11"/>
      <c r="X884" s="4"/>
      <c r="AF884" s="4"/>
      <c r="DF884" s="4"/>
    </row>
    <row r="885" spans="1:110">
      <c r="A885" s="4"/>
      <c r="B885" s="4"/>
      <c r="H885" s="11"/>
      <c r="X885" s="4"/>
      <c r="AF885" s="4"/>
      <c r="DF885" s="4"/>
    </row>
    <row r="886" spans="1:110">
      <c r="A886" s="4"/>
      <c r="B886" s="4"/>
      <c r="H886" s="11"/>
      <c r="X886" s="4"/>
      <c r="AF886" s="4"/>
      <c r="DF886" s="4"/>
    </row>
    <row r="887" spans="1:110">
      <c r="A887" s="4"/>
      <c r="B887" s="4"/>
      <c r="H887" s="11"/>
      <c r="X887" s="4"/>
      <c r="AF887" s="4"/>
      <c r="DF887" s="4"/>
    </row>
    <row r="888" spans="1:110">
      <c r="A888" s="4"/>
      <c r="B888" s="4"/>
      <c r="H888" s="11"/>
      <c r="X888" s="4"/>
      <c r="AF888" s="4"/>
      <c r="DF888" s="4"/>
    </row>
    <row r="889" spans="1:110">
      <c r="A889" s="4"/>
      <c r="B889" s="4"/>
      <c r="H889" s="11"/>
      <c r="X889" s="4"/>
      <c r="AF889" s="4"/>
      <c r="DF889" s="4"/>
    </row>
    <row r="890" spans="1:110">
      <c r="A890" s="4"/>
      <c r="B890" s="4"/>
      <c r="H890" s="11"/>
      <c r="X890" s="4"/>
      <c r="AF890" s="4"/>
      <c r="DF890" s="4"/>
    </row>
    <row r="891" spans="1:110">
      <c r="A891" s="4"/>
      <c r="B891" s="4"/>
      <c r="H891" s="11"/>
      <c r="X891" s="4"/>
      <c r="AF891" s="4"/>
      <c r="DF891" s="4"/>
    </row>
    <row r="892" spans="1:110">
      <c r="A892" s="4"/>
      <c r="B892" s="4"/>
      <c r="H892" s="11"/>
      <c r="X892" s="4"/>
      <c r="AF892" s="4"/>
      <c r="DF892" s="4"/>
    </row>
    <row r="893" spans="1:110">
      <c r="A893" s="4"/>
      <c r="B893" s="4"/>
      <c r="H893" s="11"/>
      <c r="X893" s="4"/>
      <c r="AF893" s="4"/>
      <c r="DF893" s="4"/>
    </row>
    <row r="894" spans="1:110">
      <c r="A894" s="4"/>
      <c r="B894" s="4"/>
      <c r="H894" s="11"/>
      <c r="X894" s="4"/>
      <c r="AF894" s="4"/>
      <c r="DF894" s="4"/>
    </row>
    <row r="895" spans="1:110">
      <c r="A895" s="4"/>
      <c r="B895" s="4"/>
      <c r="H895" s="11"/>
      <c r="X895" s="4"/>
      <c r="AF895" s="4"/>
      <c r="DF895" s="4"/>
    </row>
    <row r="896" spans="1:110">
      <c r="A896" s="4"/>
      <c r="B896" s="4"/>
      <c r="H896" s="11"/>
      <c r="X896" s="4"/>
      <c r="AF896" s="4"/>
      <c r="DF896" s="4"/>
    </row>
    <row r="897" spans="1:110">
      <c r="A897" s="4"/>
      <c r="B897" s="4"/>
      <c r="H897" s="11"/>
      <c r="X897" s="4"/>
      <c r="AF897" s="4"/>
      <c r="DF897" s="4"/>
    </row>
    <row r="898" spans="1:110">
      <c r="A898" s="4"/>
      <c r="B898" s="4"/>
      <c r="H898" s="11"/>
      <c r="X898" s="4"/>
      <c r="AF898" s="4"/>
      <c r="DF898" s="4"/>
    </row>
    <row r="899" spans="1:110">
      <c r="A899" s="4"/>
      <c r="B899" s="4"/>
      <c r="H899" s="11"/>
      <c r="X899" s="4"/>
      <c r="AF899" s="4"/>
      <c r="DF899" s="4"/>
    </row>
    <row r="900" spans="1:110">
      <c r="A900" s="4"/>
      <c r="B900" s="4"/>
      <c r="H900" s="11"/>
      <c r="X900" s="4"/>
      <c r="AF900" s="4"/>
      <c r="DF900" s="4"/>
    </row>
    <row r="901" spans="1:110">
      <c r="A901" s="4"/>
      <c r="B901" s="4"/>
      <c r="H901" s="11"/>
      <c r="X901" s="4"/>
      <c r="AF901" s="4"/>
      <c r="DF901" s="4"/>
    </row>
    <row r="902" spans="1:110">
      <c r="A902" s="4"/>
      <c r="B902" s="4"/>
      <c r="H902" s="11"/>
      <c r="X902" s="4"/>
      <c r="AF902" s="4"/>
      <c r="DF902" s="4"/>
    </row>
    <row r="903" spans="1:110">
      <c r="A903" s="4"/>
      <c r="B903" s="4"/>
      <c r="H903" s="11"/>
      <c r="X903" s="4"/>
      <c r="AF903" s="4"/>
      <c r="DF903" s="4"/>
    </row>
    <row r="904" spans="1:110">
      <c r="A904" s="4"/>
      <c r="B904" s="4"/>
      <c r="H904" s="11"/>
      <c r="X904" s="4"/>
      <c r="AF904" s="4"/>
      <c r="DF904" s="4"/>
    </row>
    <row r="905" spans="1:110">
      <c r="A905" s="4"/>
      <c r="B905" s="4"/>
      <c r="H905" s="11"/>
      <c r="X905" s="4"/>
      <c r="AF905" s="4"/>
      <c r="DF905" s="4"/>
    </row>
    <row r="906" spans="1:110">
      <c r="A906" s="4"/>
      <c r="B906" s="4"/>
      <c r="H906" s="11"/>
      <c r="X906" s="4"/>
      <c r="AF906" s="4"/>
      <c r="DF906" s="4"/>
    </row>
    <row r="907" spans="1:110">
      <c r="A907" s="4"/>
      <c r="B907" s="4"/>
      <c r="H907" s="11"/>
      <c r="X907" s="4"/>
      <c r="AF907" s="4"/>
      <c r="DF907" s="4"/>
    </row>
    <row r="908" spans="1:110">
      <c r="A908" s="4"/>
      <c r="B908" s="4"/>
      <c r="H908" s="11"/>
      <c r="X908" s="4"/>
      <c r="AF908" s="4"/>
      <c r="DF908" s="4"/>
    </row>
    <row r="909" spans="1:110">
      <c r="A909" s="4"/>
      <c r="B909" s="4"/>
      <c r="H909" s="11"/>
      <c r="X909" s="4"/>
      <c r="AF909" s="4"/>
      <c r="DF909" s="4"/>
    </row>
    <row r="910" spans="1:110">
      <c r="A910" s="4"/>
      <c r="B910" s="4"/>
      <c r="H910" s="11"/>
      <c r="X910" s="4"/>
      <c r="AF910" s="4"/>
      <c r="DF910" s="4"/>
    </row>
    <row r="911" spans="1:110">
      <c r="A911" s="4"/>
      <c r="B911" s="4"/>
      <c r="H911" s="11"/>
      <c r="X911" s="4"/>
      <c r="AF911" s="4"/>
      <c r="DF911" s="4"/>
    </row>
    <row r="912" spans="1:110">
      <c r="A912" s="4"/>
      <c r="B912" s="4"/>
      <c r="H912" s="11"/>
      <c r="X912" s="4"/>
      <c r="AF912" s="4"/>
      <c r="DF912" s="4"/>
    </row>
    <row r="913" spans="1:110">
      <c r="A913" s="4"/>
      <c r="B913" s="4"/>
      <c r="H913" s="11"/>
      <c r="X913" s="4"/>
      <c r="AF913" s="4"/>
      <c r="DF913" s="4"/>
    </row>
    <row r="914" spans="1:110">
      <c r="A914" s="4"/>
      <c r="B914" s="4"/>
      <c r="H914" s="11"/>
      <c r="X914" s="4"/>
      <c r="AF914" s="4"/>
      <c r="DF914" s="4"/>
    </row>
    <row r="915" spans="1:110">
      <c r="A915" s="4"/>
      <c r="B915" s="4"/>
      <c r="H915" s="11"/>
      <c r="X915" s="4"/>
      <c r="AF915" s="4"/>
      <c r="DF915" s="4"/>
    </row>
    <row r="916" spans="1:110">
      <c r="A916" s="4"/>
      <c r="B916" s="4"/>
      <c r="H916" s="11"/>
      <c r="X916" s="4"/>
      <c r="AF916" s="4"/>
      <c r="DF916" s="4"/>
    </row>
    <row r="917" spans="1:110">
      <c r="A917" s="4"/>
      <c r="B917" s="4"/>
      <c r="H917" s="11"/>
      <c r="X917" s="4"/>
      <c r="AF917" s="4"/>
      <c r="DF917" s="4"/>
    </row>
    <row r="918" spans="1:110">
      <c r="A918" s="4"/>
      <c r="B918" s="4"/>
      <c r="H918" s="11"/>
      <c r="X918" s="4"/>
      <c r="AF918" s="4"/>
      <c r="DF918" s="4"/>
    </row>
    <row r="919" spans="1:110">
      <c r="A919" s="4"/>
      <c r="B919" s="4"/>
      <c r="H919" s="11"/>
      <c r="X919" s="4"/>
      <c r="AF919" s="4"/>
      <c r="DF919" s="4"/>
    </row>
    <row r="920" spans="1:110">
      <c r="A920" s="4"/>
      <c r="B920" s="4"/>
      <c r="H920" s="11"/>
      <c r="X920" s="4"/>
      <c r="AF920" s="4"/>
      <c r="DF920" s="4"/>
    </row>
    <row r="921" spans="1:110">
      <c r="A921" s="4"/>
      <c r="B921" s="4"/>
      <c r="H921" s="11"/>
      <c r="X921" s="4"/>
      <c r="AF921" s="4"/>
      <c r="DF921" s="4"/>
    </row>
    <row r="922" spans="1:110">
      <c r="A922" s="4"/>
      <c r="B922" s="4"/>
      <c r="H922" s="11"/>
      <c r="X922" s="4"/>
      <c r="AF922" s="4"/>
      <c r="DF922" s="4"/>
    </row>
    <row r="923" spans="1:110">
      <c r="A923" s="4"/>
      <c r="B923" s="4"/>
      <c r="H923" s="11"/>
      <c r="X923" s="4"/>
      <c r="AF923" s="4"/>
      <c r="DF923" s="4"/>
    </row>
    <row r="924" spans="1:110">
      <c r="A924" s="4"/>
      <c r="B924" s="4"/>
      <c r="H924" s="11"/>
      <c r="X924" s="4"/>
      <c r="AF924" s="4"/>
      <c r="DF924" s="4"/>
    </row>
    <row r="925" spans="1:110">
      <c r="A925" s="4"/>
      <c r="B925" s="4"/>
      <c r="H925" s="11"/>
      <c r="X925" s="4"/>
      <c r="AF925" s="4"/>
      <c r="DF925" s="4"/>
    </row>
    <row r="926" spans="1:110">
      <c r="A926" s="4"/>
      <c r="B926" s="4"/>
      <c r="H926" s="11"/>
      <c r="X926" s="4"/>
      <c r="AF926" s="4"/>
      <c r="DF926" s="4"/>
    </row>
    <row r="927" spans="1:110">
      <c r="A927" s="4"/>
      <c r="B927" s="4"/>
      <c r="H927" s="11"/>
      <c r="X927" s="4"/>
      <c r="AF927" s="4"/>
      <c r="DF927" s="4"/>
    </row>
    <row r="928" spans="1:110">
      <c r="A928" s="4"/>
      <c r="B928" s="4"/>
      <c r="H928" s="11"/>
      <c r="X928" s="4"/>
      <c r="AF928" s="4"/>
      <c r="DF928" s="4"/>
    </row>
    <row r="929" spans="1:110">
      <c r="A929" s="4"/>
      <c r="B929" s="4"/>
      <c r="H929" s="11"/>
      <c r="X929" s="4"/>
      <c r="AF929" s="4"/>
      <c r="DF929" s="4"/>
    </row>
    <row r="930" spans="1:110">
      <c r="A930" s="4"/>
      <c r="B930" s="4"/>
      <c r="H930" s="11"/>
      <c r="X930" s="4"/>
      <c r="AF930" s="4"/>
      <c r="DF930" s="4"/>
    </row>
    <row r="931" spans="1:110">
      <c r="A931" s="4"/>
      <c r="B931" s="4"/>
      <c r="H931" s="11"/>
      <c r="X931" s="4"/>
      <c r="AF931" s="4"/>
      <c r="DF931" s="4"/>
    </row>
    <row r="932" spans="1:110">
      <c r="A932" s="4"/>
      <c r="B932" s="4"/>
      <c r="H932" s="11"/>
      <c r="X932" s="4"/>
      <c r="AF932" s="4"/>
      <c r="DF932" s="4"/>
    </row>
    <row r="933" spans="1:110">
      <c r="A933" s="4"/>
      <c r="B933" s="4"/>
      <c r="H933" s="11"/>
      <c r="X933" s="4"/>
      <c r="AF933" s="4"/>
      <c r="DF933" s="4"/>
    </row>
    <row r="934" spans="1:110">
      <c r="A934" s="4"/>
      <c r="B934" s="4"/>
      <c r="H934" s="11"/>
      <c r="X934" s="4"/>
      <c r="AF934" s="4"/>
      <c r="DF934" s="4"/>
    </row>
    <row r="935" spans="1:110">
      <c r="A935" s="4"/>
      <c r="B935" s="4"/>
      <c r="H935" s="11"/>
      <c r="X935" s="4"/>
      <c r="AF935" s="4"/>
      <c r="DF935" s="4"/>
    </row>
    <row r="936" spans="1:110">
      <c r="A936" s="4"/>
      <c r="B936" s="4"/>
      <c r="H936" s="11"/>
      <c r="X936" s="4"/>
      <c r="AF936" s="4"/>
      <c r="DF936" s="4"/>
    </row>
    <row r="937" spans="1:110">
      <c r="A937" s="4"/>
      <c r="B937" s="4"/>
      <c r="H937" s="11"/>
      <c r="X937" s="4"/>
      <c r="AF937" s="4"/>
      <c r="DF937" s="4"/>
    </row>
    <row r="938" spans="1:110">
      <c r="A938" s="4"/>
      <c r="B938" s="4"/>
      <c r="H938" s="11"/>
      <c r="X938" s="4"/>
      <c r="AF938" s="4"/>
      <c r="DF938" s="4"/>
    </row>
    <row r="939" spans="1:110">
      <c r="A939" s="4"/>
      <c r="B939" s="4"/>
      <c r="H939" s="11"/>
      <c r="X939" s="4"/>
      <c r="AF939" s="4"/>
      <c r="DF939" s="4"/>
    </row>
    <row r="940" spans="1:110">
      <c r="A940" s="4"/>
      <c r="B940" s="4"/>
      <c r="H940" s="11"/>
      <c r="X940" s="4"/>
      <c r="AF940" s="4"/>
      <c r="DF940" s="4"/>
    </row>
    <row r="941" spans="1:110">
      <c r="A941" s="4"/>
      <c r="B941" s="4"/>
      <c r="H941" s="11"/>
      <c r="X941" s="4"/>
      <c r="AF941" s="4"/>
      <c r="DF941" s="4"/>
    </row>
    <row r="942" spans="1:110">
      <c r="A942" s="4"/>
      <c r="B942" s="4"/>
      <c r="H942" s="11"/>
      <c r="X942" s="4"/>
      <c r="AF942" s="4"/>
      <c r="DF942" s="4"/>
    </row>
    <row r="943" spans="1:110">
      <c r="A943" s="4"/>
      <c r="B943" s="4"/>
      <c r="H943" s="11"/>
      <c r="X943" s="4"/>
      <c r="AF943" s="4"/>
      <c r="DF943" s="4"/>
    </row>
    <row r="944" spans="1:110">
      <c r="A944" s="4"/>
      <c r="B944" s="4"/>
      <c r="H944" s="11"/>
      <c r="X944" s="4"/>
      <c r="AF944" s="4"/>
      <c r="DF944" s="4"/>
    </row>
    <row r="945" spans="1:110">
      <c r="A945" s="4"/>
      <c r="B945" s="4"/>
      <c r="H945" s="11"/>
      <c r="X945" s="4"/>
      <c r="AF945" s="4"/>
      <c r="DF945" s="4"/>
    </row>
    <row r="946" spans="1:110">
      <c r="A946" s="4"/>
      <c r="B946" s="4"/>
      <c r="H946" s="11"/>
      <c r="X946" s="4"/>
      <c r="AF946" s="4"/>
      <c r="DF946" s="4"/>
    </row>
    <row r="947" spans="1:110">
      <c r="A947" s="4"/>
      <c r="B947" s="4"/>
      <c r="H947" s="11"/>
      <c r="X947" s="4"/>
      <c r="AF947" s="4"/>
      <c r="DF947" s="4"/>
    </row>
    <row r="948" spans="1:110">
      <c r="A948" s="4"/>
      <c r="B948" s="4"/>
      <c r="H948" s="11"/>
      <c r="X948" s="4"/>
      <c r="AF948" s="4"/>
      <c r="DF948" s="4"/>
    </row>
    <row r="949" spans="1:110">
      <c r="A949" s="4"/>
      <c r="B949" s="4"/>
      <c r="H949" s="11"/>
      <c r="X949" s="4"/>
      <c r="AF949" s="4"/>
      <c r="DF949" s="4"/>
    </row>
    <row r="950" spans="1:110">
      <c r="A950" s="4"/>
      <c r="B950" s="4"/>
      <c r="H950" s="11"/>
      <c r="X950" s="4"/>
      <c r="AF950" s="4"/>
      <c r="DF950" s="4"/>
    </row>
    <row r="951" spans="1:110">
      <c r="A951" s="4"/>
      <c r="B951" s="4"/>
      <c r="H951" s="11"/>
      <c r="X951" s="4"/>
      <c r="AF951" s="4"/>
      <c r="DF951" s="4"/>
    </row>
    <row r="952" spans="1:110">
      <c r="A952" s="4"/>
      <c r="B952" s="4"/>
      <c r="H952" s="11"/>
      <c r="X952" s="4"/>
      <c r="AF952" s="4"/>
      <c r="DF952" s="4"/>
    </row>
    <row r="953" spans="1:110">
      <c r="A953" s="4"/>
      <c r="B953" s="4"/>
      <c r="H953" s="11"/>
      <c r="X953" s="4"/>
      <c r="AF953" s="4"/>
      <c r="DF953" s="4"/>
    </row>
    <row r="954" spans="1:110">
      <c r="A954" s="4"/>
      <c r="B954" s="4"/>
      <c r="H954" s="11"/>
      <c r="X954" s="4"/>
      <c r="AF954" s="4"/>
      <c r="DF954" s="4"/>
    </row>
    <row r="955" spans="1:110">
      <c r="A955" s="4"/>
      <c r="B955" s="4"/>
      <c r="H955" s="11"/>
      <c r="X955" s="4"/>
      <c r="AF955" s="4"/>
      <c r="DF955" s="4"/>
    </row>
    <row r="956" spans="1:110">
      <c r="A956" s="4"/>
      <c r="B956" s="4"/>
      <c r="H956" s="11"/>
      <c r="X956" s="4"/>
      <c r="AF956" s="4"/>
      <c r="DF956" s="4"/>
    </row>
    <row r="957" spans="1:110">
      <c r="A957" s="4"/>
      <c r="B957" s="4"/>
      <c r="H957" s="11"/>
      <c r="X957" s="4"/>
      <c r="AF957" s="4"/>
      <c r="DF957" s="4"/>
    </row>
    <row r="958" spans="1:110">
      <c r="A958" s="4"/>
      <c r="B958" s="4"/>
      <c r="H958" s="11"/>
      <c r="X958" s="4"/>
      <c r="AF958" s="4"/>
      <c r="DF958" s="4"/>
    </row>
    <row r="959" spans="1:110">
      <c r="A959" s="4"/>
      <c r="B959" s="4"/>
      <c r="H959" s="11"/>
      <c r="X959" s="4"/>
      <c r="AF959" s="4"/>
      <c r="DF959" s="4"/>
    </row>
    <row r="960" spans="1:110">
      <c r="A960" s="4"/>
      <c r="B960" s="4"/>
      <c r="H960" s="11"/>
      <c r="X960" s="4"/>
      <c r="AF960" s="4"/>
      <c r="DF960" s="4"/>
    </row>
    <row r="961" spans="1:110">
      <c r="A961" s="4"/>
      <c r="B961" s="4"/>
      <c r="H961" s="11"/>
      <c r="X961" s="4"/>
      <c r="AF961" s="4"/>
      <c r="DF961" s="4"/>
    </row>
    <row r="962" spans="1:110">
      <c r="A962" s="4"/>
      <c r="B962" s="4"/>
      <c r="H962" s="11"/>
      <c r="X962" s="4"/>
      <c r="AF962" s="4"/>
      <c r="DF962" s="4"/>
    </row>
    <row r="963" spans="1:110">
      <c r="A963" s="4"/>
      <c r="B963" s="4"/>
      <c r="H963" s="11"/>
      <c r="X963" s="4"/>
      <c r="AF963" s="4"/>
      <c r="DF963" s="4"/>
    </row>
    <row r="964" spans="1:110">
      <c r="A964" s="4"/>
      <c r="B964" s="4"/>
      <c r="H964" s="11"/>
      <c r="X964" s="4"/>
      <c r="AF964" s="4"/>
      <c r="DF964" s="4"/>
    </row>
    <row r="965" spans="1:110">
      <c r="A965" s="4"/>
      <c r="B965" s="4"/>
      <c r="H965" s="11"/>
      <c r="X965" s="4"/>
      <c r="AF965" s="4"/>
      <c r="DF965" s="4"/>
    </row>
    <row r="966" spans="1:110">
      <c r="A966" s="4"/>
      <c r="B966" s="4"/>
      <c r="H966" s="11"/>
      <c r="X966" s="4"/>
      <c r="AF966" s="4"/>
      <c r="DF966" s="4"/>
    </row>
    <row r="967" spans="1:110">
      <c r="A967" s="4"/>
      <c r="B967" s="4"/>
      <c r="H967" s="11"/>
      <c r="X967" s="4"/>
      <c r="AF967" s="4"/>
      <c r="DF967" s="4"/>
    </row>
    <row r="968" spans="1:110">
      <c r="A968" s="4"/>
      <c r="B968" s="4"/>
      <c r="H968" s="11"/>
      <c r="X968" s="4"/>
      <c r="AF968" s="4"/>
      <c r="DF968" s="4"/>
    </row>
    <row r="969" spans="1:110">
      <c r="A969" s="4"/>
      <c r="B969" s="4"/>
      <c r="H969" s="11"/>
      <c r="X969" s="4"/>
      <c r="AF969" s="4"/>
      <c r="DF969" s="4"/>
    </row>
    <row r="970" spans="1:110">
      <c r="A970" s="4"/>
      <c r="B970" s="4"/>
      <c r="H970" s="11"/>
      <c r="X970" s="4"/>
      <c r="AF970" s="4"/>
      <c r="DF970" s="4"/>
    </row>
    <row r="971" spans="1:110">
      <c r="A971" s="4"/>
      <c r="B971" s="4"/>
      <c r="H971" s="11"/>
      <c r="X971" s="4"/>
      <c r="AF971" s="4"/>
      <c r="DF971" s="4"/>
    </row>
    <row r="972" spans="1:110">
      <c r="A972" s="4"/>
      <c r="B972" s="4"/>
      <c r="H972" s="11"/>
      <c r="X972" s="4"/>
      <c r="AF972" s="4"/>
      <c r="DF972" s="4"/>
    </row>
    <row r="973" spans="1:110">
      <c r="A973" s="4"/>
      <c r="B973" s="4"/>
      <c r="H973" s="11"/>
      <c r="X973" s="4"/>
      <c r="AF973" s="4"/>
      <c r="DF973" s="4"/>
    </row>
    <row r="974" spans="1:110">
      <c r="A974" s="4"/>
      <c r="B974" s="4"/>
      <c r="H974" s="11"/>
      <c r="X974" s="4"/>
      <c r="AF974" s="4"/>
      <c r="DF974" s="4"/>
    </row>
    <row r="975" spans="1:110">
      <c r="A975" s="4"/>
      <c r="B975" s="4"/>
      <c r="H975" s="11"/>
      <c r="X975" s="4"/>
      <c r="AF975" s="4"/>
      <c r="DF975" s="4"/>
    </row>
    <row r="976" spans="1:110">
      <c r="A976" s="4"/>
      <c r="B976" s="4"/>
      <c r="H976" s="11"/>
      <c r="X976" s="4"/>
      <c r="AF976" s="4"/>
      <c r="DF976" s="4"/>
    </row>
    <row r="977" spans="1:110">
      <c r="A977" s="4"/>
      <c r="B977" s="4"/>
      <c r="H977" s="11"/>
      <c r="X977" s="4"/>
      <c r="AF977" s="4"/>
      <c r="DF977" s="4"/>
    </row>
    <row r="978" spans="1:110">
      <c r="A978" s="4"/>
      <c r="B978" s="4"/>
      <c r="H978" s="11"/>
      <c r="X978" s="4"/>
      <c r="AF978" s="4"/>
      <c r="DF978" s="4"/>
    </row>
    <row r="979" spans="1:110">
      <c r="A979" s="4"/>
      <c r="B979" s="4"/>
      <c r="H979" s="11"/>
      <c r="X979" s="4"/>
      <c r="AF979" s="4"/>
      <c r="DF979" s="4"/>
    </row>
    <row r="980" spans="1:110">
      <c r="A980" s="4"/>
      <c r="B980" s="4"/>
      <c r="H980" s="11"/>
      <c r="X980" s="4"/>
      <c r="AF980" s="4"/>
      <c r="DF980" s="4"/>
    </row>
    <row r="981" spans="1:110">
      <c r="A981" s="4"/>
      <c r="B981" s="4"/>
      <c r="H981" s="11"/>
      <c r="X981" s="4"/>
      <c r="AF981" s="4"/>
      <c r="DF981" s="4"/>
    </row>
    <row r="982" spans="1:110">
      <c r="A982" s="4"/>
      <c r="B982" s="4"/>
      <c r="H982" s="11"/>
      <c r="X982" s="4"/>
      <c r="AF982" s="4"/>
      <c r="DF982" s="4"/>
    </row>
    <row r="983" spans="1:110">
      <c r="A983" s="4"/>
      <c r="B983" s="4"/>
      <c r="H983" s="11"/>
      <c r="X983" s="4"/>
      <c r="AF983" s="4"/>
      <c r="DF983" s="4"/>
    </row>
    <row r="984" spans="1:110">
      <c r="A984" s="4"/>
      <c r="B984" s="4"/>
      <c r="H984" s="11"/>
      <c r="X984" s="4"/>
      <c r="AF984" s="4"/>
      <c r="DF984" s="4"/>
    </row>
    <row r="985" spans="1:110">
      <c r="A985" s="4"/>
      <c r="B985" s="4"/>
      <c r="H985" s="11"/>
      <c r="X985" s="4"/>
      <c r="AF985" s="4"/>
      <c r="DF985" s="4"/>
    </row>
    <row r="986" spans="1:110">
      <c r="A986" s="4"/>
      <c r="B986" s="4"/>
      <c r="H986" s="11"/>
      <c r="X986" s="4"/>
      <c r="AF986" s="4"/>
      <c r="DF986" s="4"/>
    </row>
    <row r="987" spans="1:110">
      <c r="A987" s="4"/>
      <c r="B987" s="4"/>
      <c r="H987" s="11"/>
      <c r="X987" s="4"/>
      <c r="AF987" s="4"/>
      <c r="DF987" s="4"/>
    </row>
    <row r="988" spans="1:110">
      <c r="A988" s="4"/>
      <c r="B988" s="4"/>
      <c r="H988" s="11"/>
      <c r="X988" s="4"/>
      <c r="AF988" s="4"/>
      <c r="DF988" s="4"/>
    </row>
    <row r="989" spans="1:110">
      <c r="A989" s="4"/>
      <c r="B989" s="4"/>
      <c r="H989" s="11"/>
      <c r="X989" s="4"/>
      <c r="AF989" s="4"/>
      <c r="DF989" s="4"/>
    </row>
    <row r="990" spans="1:110">
      <c r="A990" s="4"/>
      <c r="B990" s="4"/>
      <c r="H990" s="11"/>
      <c r="X990" s="4"/>
      <c r="AF990" s="4"/>
      <c r="DF990" s="4"/>
    </row>
    <row r="991" spans="1:110">
      <c r="A991" s="4"/>
      <c r="B991" s="4"/>
      <c r="H991" s="11"/>
      <c r="X991" s="4"/>
      <c r="AF991" s="4"/>
      <c r="DF991" s="4"/>
    </row>
    <row r="992" spans="1:110">
      <c r="A992" s="4"/>
      <c r="B992" s="4"/>
      <c r="H992" s="11"/>
      <c r="X992" s="4"/>
      <c r="AF992" s="4"/>
      <c r="DF992" s="4"/>
    </row>
    <row r="993" spans="1:110">
      <c r="A993" s="4"/>
      <c r="B993" s="4"/>
      <c r="H993" s="11"/>
      <c r="X993" s="4"/>
      <c r="AF993" s="4"/>
      <c r="DF993" s="4"/>
    </row>
    <row r="994" spans="1:110">
      <c r="A994" s="4"/>
      <c r="B994" s="4"/>
      <c r="H994" s="11"/>
      <c r="X994" s="4"/>
      <c r="AF994" s="4"/>
      <c r="DF994" s="4"/>
    </row>
  </sheetData>
  <autoFilter ref="A3:DY59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3"/>
  <sheetViews>
    <sheetView workbookViewId="0"/>
  </sheetViews>
  <sheetFormatPr defaultColWidth="12.6640625" defaultRowHeight="15.75" customHeight="1"/>
  <cols>
    <col min="1" max="1" width="15.6640625" customWidth="1"/>
  </cols>
  <sheetData>
    <row r="1" spans="1:26" ht="15.75" customHeight="1">
      <c r="A1" s="15" t="s">
        <v>0</v>
      </c>
      <c r="B1" s="15" t="s">
        <v>2</v>
      </c>
      <c r="C1" s="15" t="s">
        <v>4</v>
      </c>
      <c r="D1" s="15" t="s">
        <v>7</v>
      </c>
      <c r="E1" s="15" t="s">
        <v>10</v>
      </c>
      <c r="F1" s="15" t="s">
        <v>23</v>
      </c>
      <c r="G1" s="15" t="s">
        <v>24</v>
      </c>
      <c r="H1" s="15" t="s">
        <v>31</v>
      </c>
      <c r="I1" s="16" t="s">
        <v>437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8" t="s">
        <v>438</v>
      </c>
      <c r="B2" s="19">
        <v>1</v>
      </c>
      <c r="C2" s="18" t="s">
        <v>153</v>
      </c>
      <c r="D2" s="18" t="s">
        <v>238</v>
      </c>
      <c r="E2" s="20">
        <v>46134</v>
      </c>
      <c r="F2" s="18" t="s">
        <v>128</v>
      </c>
      <c r="G2" s="18" t="s">
        <v>169</v>
      </c>
      <c r="H2" s="18" t="s">
        <v>439</v>
      </c>
      <c r="I2" s="17" t="str">
        <f t="shared" ref="I2:I194" si="0">TEXT(E2, "mmmm")</f>
        <v>abril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8" t="s">
        <v>440</v>
      </c>
      <c r="B3" s="19">
        <v>1</v>
      </c>
      <c r="C3" s="18" t="s">
        <v>121</v>
      </c>
      <c r="D3" s="18" t="s">
        <v>441</v>
      </c>
      <c r="E3" s="20">
        <v>46118</v>
      </c>
      <c r="F3" s="18" t="s">
        <v>128</v>
      </c>
      <c r="G3" s="18" t="s">
        <v>169</v>
      </c>
      <c r="H3" s="18" t="s">
        <v>244</v>
      </c>
      <c r="I3" s="17" t="str">
        <f t="shared" si="0"/>
        <v>abril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18" t="s">
        <v>442</v>
      </c>
      <c r="B4" s="19">
        <v>1</v>
      </c>
      <c r="C4" s="18" t="s">
        <v>165</v>
      </c>
      <c r="D4" s="18" t="s">
        <v>443</v>
      </c>
      <c r="E4" s="20">
        <v>46140</v>
      </c>
      <c r="F4" s="18" t="s">
        <v>156</v>
      </c>
      <c r="G4" s="18" t="s">
        <v>444</v>
      </c>
      <c r="H4" s="18" t="s">
        <v>445</v>
      </c>
      <c r="I4" s="17" t="str">
        <f t="shared" si="0"/>
        <v>abril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8" t="s">
        <v>446</v>
      </c>
      <c r="B5" s="19">
        <v>1</v>
      </c>
      <c r="C5" s="18" t="s">
        <v>165</v>
      </c>
      <c r="D5" s="18" t="s">
        <v>447</v>
      </c>
      <c r="E5" s="20">
        <v>46135</v>
      </c>
      <c r="F5" s="18" t="s">
        <v>128</v>
      </c>
      <c r="G5" s="18" t="s">
        <v>169</v>
      </c>
      <c r="H5" s="18" t="s">
        <v>448</v>
      </c>
      <c r="I5" s="17" t="str">
        <f t="shared" si="0"/>
        <v>abril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8" t="s">
        <v>449</v>
      </c>
      <c r="B6" s="19">
        <v>1</v>
      </c>
      <c r="C6" s="18" t="s">
        <v>121</v>
      </c>
      <c r="D6" s="18" t="s">
        <v>125</v>
      </c>
      <c r="E6" s="20">
        <v>46135</v>
      </c>
      <c r="F6" s="18" t="s">
        <v>144</v>
      </c>
      <c r="G6" s="18" t="s">
        <v>169</v>
      </c>
      <c r="H6" s="18" t="s">
        <v>450</v>
      </c>
      <c r="I6" s="17" t="str">
        <f t="shared" si="0"/>
        <v>abril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8" t="s">
        <v>451</v>
      </c>
      <c r="B7" s="19">
        <v>1</v>
      </c>
      <c r="C7" s="18" t="s">
        <v>153</v>
      </c>
      <c r="D7" s="18" t="s">
        <v>452</v>
      </c>
      <c r="E7" s="20">
        <v>46139</v>
      </c>
      <c r="F7" s="18" t="s">
        <v>156</v>
      </c>
      <c r="G7" s="18" t="s">
        <v>173</v>
      </c>
      <c r="H7" s="18" t="s">
        <v>410</v>
      </c>
      <c r="I7" s="17" t="str">
        <f t="shared" si="0"/>
        <v>abril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18" t="s">
        <v>453</v>
      </c>
      <c r="B8" s="19">
        <v>1</v>
      </c>
      <c r="C8" s="18" t="s">
        <v>165</v>
      </c>
      <c r="D8" s="18" t="s">
        <v>230</v>
      </c>
      <c r="E8" s="20">
        <v>46135</v>
      </c>
      <c r="F8" s="18" t="s">
        <v>128</v>
      </c>
      <c r="G8" s="18" t="s">
        <v>169</v>
      </c>
      <c r="H8" s="18" t="s">
        <v>128</v>
      </c>
      <c r="I8" s="17" t="str">
        <f t="shared" si="0"/>
        <v>abril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18" t="s">
        <v>454</v>
      </c>
      <c r="B9" s="19">
        <v>3</v>
      </c>
      <c r="C9" s="18" t="s">
        <v>165</v>
      </c>
      <c r="D9" s="18" t="s">
        <v>455</v>
      </c>
      <c r="E9" s="20">
        <v>46125</v>
      </c>
      <c r="F9" s="18" t="s">
        <v>128</v>
      </c>
      <c r="G9" s="18" t="s">
        <v>225</v>
      </c>
      <c r="H9" s="18" t="s">
        <v>456</v>
      </c>
      <c r="I9" s="17" t="str">
        <f t="shared" si="0"/>
        <v>abril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8" t="s">
        <v>457</v>
      </c>
      <c r="B10" s="19">
        <v>2</v>
      </c>
      <c r="C10" s="18" t="s">
        <v>153</v>
      </c>
      <c r="D10" s="18" t="s">
        <v>458</v>
      </c>
      <c r="E10" s="20">
        <v>46134</v>
      </c>
      <c r="F10" s="18" t="s">
        <v>144</v>
      </c>
      <c r="G10" s="18" t="s">
        <v>169</v>
      </c>
      <c r="H10" s="18" t="s">
        <v>416</v>
      </c>
      <c r="I10" s="17" t="str">
        <f t="shared" si="0"/>
        <v>abril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18" t="s">
        <v>459</v>
      </c>
      <c r="B11" s="19">
        <v>2</v>
      </c>
      <c r="C11" s="18" t="s">
        <v>153</v>
      </c>
      <c r="D11" s="18" t="s">
        <v>460</v>
      </c>
      <c r="E11" s="20">
        <v>46121</v>
      </c>
      <c r="F11" s="18" t="s">
        <v>156</v>
      </c>
      <c r="G11" s="18" t="s">
        <v>173</v>
      </c>
      <c r="H11" s="18" t="s">
        <v>461</v>
      </c>
      <c r="I11" s="17" t="str">
        <f t="shared" si="0"/>
        <v>abril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18" t="s">
        <v>462</v>
      </c>
      <c r="B12" s="19">
        <v>1</v>
      </c>
      <c r="C12" s="18" t="s">
        <v>165</v>
      </c>
      <c r="D12" s="18" t="s">
        <v>463</v>
      </c>
      <c r="E12" s="20">
        <v>46135</v>
      </c>
      <c r="F12" s="18" t="s">
        <v>128</v>
      </c>
      <c r="G12" s="18" t="s">
        <v>261</v>
      </c>
      <c r="H12" s="18" t="s">
        <v>439</v>
      </c>
      <c r="I12" s="17" t="str">
        <f t="shared" si="0"/>
        <v>abril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18" t="s">
        <v>464</v>
      </c>
      <c r="B13" s="19">
        <v>1</v>
      </c>
      <c r="C13" s="18" t="s">
        <v>165</v>
      </c>
      <c r="D13" s="18" t="s">
        <v>465</v>
      </c>
      <c r="E13" s="20">
        <v>46119</v>
      </c>
      <c r="F13" s="18" t="s">
        <v>144</v>
      </c>
      <c r="G13" s="18" t="s">
        <v>173</v>
      </c>
      <c r="H13" s="18" t="s">
        <v>210</v>
      </c>
      <c r="I13" s="17" t="str">
        <f t="shared" si="0"/>
        <v>abril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18" t="s">
        <v>466</v>
      </c>
      <c r="B14" s="19">
        <v>3</v>
      </c>
      <c r="C14" s="18" t="s">
        <v>165</v>
      </c>
      <c r="D14" s="18" t="s">
        <v>467</v>
      </c>
      <c r="E14" s="20">
        <v>46139</v>
      </c>
      <c r="F14" s="18" t="s">
        <v>128</v>
      </c>
      <c r="G14" s="18" t="s">
        <v>169</v>
      </c>
      <c r="H14" s="18" t="s">
        <v>399</v>
      </c>
      <c r="I14" s="17" t="str">
        <f t="shared" si="0"/>
        <v>abril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18" t="s">
        <v>468</v>
      </c>
      <c r="B15" s="19">
        <v>2</v>
      </c>
      <c r="C15" s="18" t="s">
        <v>153</v>
      </c>
      <c r="D15" s="18" t="s">
        <v>125</v>
      </c>
      <c r="E15" s="20">
        <v>46135</v>
      </c>
      <c r="F15" s="18" t="s">
        <v>144</v>
      </c>
      <c r="G15" s="18" t="s">
        <v>169</v>
      </c>
      <c r="H15" s="18" t="s">
        <v>469</v>
      </c>
      <c r="I15" s="17" t="str">
        <f t="shared" si="0"/>
        <v>abril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18" t="s">
        <v>470</v>
      </c>
      <c r="B16" s="19">
        <v>5</v>
      </c>
      <c r="C16" s="18" t="s">
        <v>471</v>
      </c>
      <c r="D16" s="18" t="s">
        <v>472</v>
      </c>
      <c r="E16" s="20">
        <v>46139</v>
      </c>
      <c r="F16" s="18" t="s">
        <v>144</v>
      </c>
      <c r="G16" s="18" t="s">
        <v>169</v>
      </c>
      <c r="H16" s="18" t="s">
        <v>473</v>
      </c>
      <c r="I16" s="17" t="str">
        <f t="shared" si="0"/>
        <v>abril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8" t="s">
        <v>474</v>
      </c>
      <c r="B17" s="19">
        <v>3</v>
      </c>
      <c r="C17" s="18" t="s">
        <v>153</v>
      </c>
      <c r="D17" s="18" t="s">
        <v>475</v>
      </c>
      <c r="E17" s="20">
        <v>46114</v>
      </c>
      <c r="F17" s="18" t="s">
        <v>156</v>
      </c>
      <c r="G17" s="18" t="s">
        <v>173</v>
      </c>
      <c r="H17" s="18" t="s">
        <v>474</v>
      </c>
      <c r="I17" s="17" t="str">
        <f t="shared" si="0"/>
        <v>abril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8" t="s">
        <v>476</v>
      </c>
      <c r="B18" s="19">
        <v>2</v>
      </c>
      <c r="C18" s="18" t="s">
        <v>153</v>
      </c>
      <c r="D18" s="18" t="s">
        <v>477</v>
      </c>
      <c r="E18" s="20">
        <v>46118</v>
      </c>
      <c r="F18" s="18" t="s">
        <v>144</v>
      </c>
      <c r="G18" s="18" t="s">
        <v>169</v>
      </c>
      <c r="H18" s="18" t="s">
        <v>478</v>
      </c>
      <c r="I18" s="17" t="str">
        <f t="shared" si="0"/>
        <v>abril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8" t="s">
        <v>479</v>
      </c>
      <c r="B19" s="19">
        <v>1</v>
      </c>
      <c r="C19" s="18" t="s">
        <v>165</v>
      </c>
      <c r="D19" s="18" t="s">
        <v>260</v>
      </c>
      <c r="E19" s="20">
        <v>46128</v>
      </c>
      <c r="F19" s="18" t="s">
        <v>128</v>
      </c>
      <c r="G19" s="18" t="s">
        <v>169</v>
      </c>
      <c r="H19" s="18" t="s">
        <v>480</v>
      </c>
      <c r="I19" s="17" t="str">
        <f t="shared" si="0"/>
        <v>abril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8" t="s">
        <v>481</v>
      </c>
      <c r="B20" s="19">
        <v>2</v>
      </c>
      <c r="C20" s="18" t="s">
        <v>165</v>
      </c>
      <c r="D20" s="18" t="s">
        <v>482</v>
      </c>
      <c r="E20" s="20">
        <v>46114</v>
      </c>
      <c r="F20" s="18" t="s">
        <v>156</v>
      </c>
      <c r="G20" s="18" t="s">
        <v>182</v>
      </c>
      <c r="H20" s="18" t="s">
        <v>483</v>
      </c>
      <c r="I20" s="17" t="str">
        <f t="shared" si="0"/>
        <v>abril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8" t="s">
        <v>484</v>
      </c>
      <c r="B21" s="19">
        <v>1</v>
      </c>
      <c r="C21" s="18" t="s">
        <v>165</v>
      </c>
      <c r="D21" s="18" t="s">
        <v>238</v>
      </c>
      <c r="E21" s="20">
        <v>46135</v>
      </c>
      <c r="F21" s="18" t="s">
        <v>128</v>
      </c>
      <c r="G21" s="18" t="s">
        <v>169</v>
      </c>
      <c r="H21" s="18" t="s">
        <v>485</v>
      </c>
      <c r="I21" s="17" t="str">
        <f t="shared" si="0"/>
        <v>abril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8" t="s">
        <v>171</v>
      </c>
      <c r="B22" s="19">
        <v>2</v>
      </c>
      <c r="C22" s="18" t="s">
        <v>121</v>
      </c>
      <c r="D22" s="18" t="s">
        <v>125</v>
      </c>
      <c r="E22" s="20">
        <v>46118</v>
      </c>
      <c r="F22" s="18" t="s">
        <v>486</v>
      </c>
      <c r="G22" s="17"/>
      <c r="H22" s="18" t="s">
        <v>487</v>
      </c>
      <c r="I22" s="17" t="str">
        <f t="shared" si="0"/>
        <v>abril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4">
      <c r="A23" s="18" t="s">
        <v>488</v>
      </c>
      <c r="B23" s="19">
        <v>3</v>
      </c>
      <c r="C23" s="18" t="s">
        <v>165</v>
      </c>
      <c r="D23" s="18" t="s">
        <v>482</v>
      </c>
      <c r="E23" s="20">
        <v>46133</v>
      </c>
      <c r="F23" s="18" t="s">
        <v>156</v>
      </c>
      <c r="G23" s="18" t="s">
        <v>169</v>
      </c>
      <c r="H23" s="18" t="s">
        <v>489</v>
      </c>
      <c r="I23" s="17" t="str">
        <f t="shared" si="0"/>
        <v>abril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4">
      <c r="A24" s="18" t="s">
        <v>490</v>
      </c>
      <c r="B24" s="19">
        <v>5</v>
      </c>
      <c r="C24" s="18" t="s">
        <v>471</v>
      </c>
      <c r="D24" s="18" t="s">
        <v>491</v>
      </c>
      <c r="E24" s="20">
        <v>46140</v>
      </c>
      <c r="F24" s="18" t="s">
        <v>156</v>
      </c>
      <c r="G24" s="18" t="s">
        <v>173</v>
      </c>
      <c r="H24" s="18" t="s">
        <v>492</v>
      </c>
      <c r="I24" s="17" t="str">
        <f t="shared" si="0"/>
        <v>abril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4">
      <c r="A25" s="18" t="s">
        <v>493</v>
      </c>
      <c r="B25" s="19">
        <v>2</v>
      </c>
      <c r="C25" s="18" t="s">
        <v>153</v>
      </c>
      <c r="D25" s="18" t="s">
        <v>452</v>
      </c>
      <c r="E25" s="20">
        <v>46127</v>
      </c>
      <c r="F25" s="18" t="s">
        <v>156</v>
      </c>
      <c r="G25" s="18" t="s">
        <v>173</v>
      </c>
      <c r="H25" s="18" t="s">
        <v>494</v>
      </c>
      <c r="I25" s="17" t="str">
        <f t="shared" si="0"/>
        <v>abril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4">
      <c r="A26" s="18" t="s">
        <v>495</v>
      </c>
      <c r="B26" s="19">
        <v>2</v>
      </c>
      <c r="C26" s="18" t="s">
        <v>179</v>
      </c>
      <c r="D26" s="18" t="s">
        <v>482</v>
      </c>
      <c r="E26" s="20">
        <v>46120</v>
      </c>
      <c r="F26" s="18" t="s">
        <v>156</v>
      </c>
      <c r="G26" s="18" t="s">
        <v>173</v>
      </c>
      <c r="H26" s="18" t="s">
        <v>429</v>
      </c>
      <c r="I26" s="17" t="str">
        <f t="shared" si="0"/>
        <v>abril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4">
      <c r="A27" s="18" t="s">
        <v>496</v>
      </c>
      <c r="B27" s="19">
        <v>1</v>
      </c>
      <c r="C27" s="18" t="s">
        <v>165</v>
      </c>
      <c r="D27" s="18" t="s">
        <v>497</v>
      </c>
      <c r="E27" s="20">
        <v>46135</v>
      </c>
      <c r="F27" s="18" t="s">
        <v>128</v>
      </c>
      <c r="G27" s="18" t="s">
        <v>424</v>
      </c>
      <c r="H27" s="18" t="s">
        <v>498</v>
      </c>
      <c r="I27" s="17" t="str">
        <f t="shared" si="0"/>
        <v>abril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4">
      <c r="A28" s="18" t="s">
        <v>293</v>
      </c>
      <c r="B28" s="19">
        <v>2</v>
      </c>
      <c r="C28" s="18" t="s">
        <v>153</v>
      </c>
      <c r="D28" s="18" t="s">
        <v>294</v>
      </c>
      <c r="E28" s="20">
        <v>46076</v>
      </c>
      <c r="F28" s="18" t="s">
        <v>156</v>
      </c>
      <c r="G28" s="18" t="s">
        <v>169</v>
      </c>
      <c r="H28" s="18" t="s">
        <v>236</v>
      </c>
      <c r="I28" s="17" t="str">
        <f t="shared" si="0"/>
        <v>fevereiro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4">
      <c r="A29" s="18" t="s">
        <v>499</v>
      </c>
      <c r="B29" s="19">
        <v>1</v>
      </c>
      <c r="C29" s="18" t="s">
        <v>179</v>
      </c>
      <c r="D29" s="18" t="s">
        <v>482</v>
      </c>
      <c r="E29" s="20">
        <v>46069</v>
      </c>
      <c r="F29" s="18" t="s">
        <v>156</v>
      </c>
      <c r="G29" s="18" t="s">
        <v>182</v>
      </c>
      <c r="H29" s="18" t="s">
        <v>312</v>
      </c>
      <c r="I29" s="17" t="str">
        <f t="shared" si="0"/>
        <v>fevereiro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4">
      <c r="A30" s="18" t="s">
        <v>382</v>
      </c>
      <c r="B30" s="19">
        <v>4</v>
      </c>
      <c r="C30" s="18" t="s">
        <v>153</v>
      </c>
      <c r="D30" s="18" t="s">
        <v>383</v>
      </c>
      <c r="E30" s="20">
        <v>46069</v>
      </c>
      <c r="F30" s="18" t="s">
        <v>156</v>
      </c>
      <c r="G30" s="18" t="s">
        <v>169</v>
      </c>
      <c r="H30" s="18" t="s">
        <v>312</v>
      </c>
      <c r="I30" s="17" t="str">
        <f t="shared" si="0"/>
        <v>fevereiro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4">
      <c r="A31" s="18" t="s">
        <v>500</v>
      </c>
      <c r="B31" s="19">
        <v>3</v>
      </c>
      <c r="C31" s="18" t="s">
        <v>153</v>
      </c>
      <c r="D31" s="18" t="s">
        <v>235</v>
      </c>
      <c r="E31" s="20">
        <v>46058</v>
      </c>
      <c r="F31" s="18" t="s">
        <v>156</v>
      </c>
      <c r="G31" s="18" t="s">
        <v>193</v>
      </c>
      <c r="H31" s="18" t="s">
        <v>501</v>
      </c>
      <c r="I31" s="17" t="str">
        <f t="shared" si="0"/>
        <v>fevereiro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4">
      <c r="A32" s="18" t="s">
        <v>344</v>
      </c>
      <c r="B32" s="19">
        <v>3</v>
      </c>
      <c r="C32" s="18" t="s">
        <v>153</v>
      </c>
      <c r="D32" s="18" t="s">
        <v>345</v>
      </c>
      <c r="E32" s="20">
        <v>46058</v>
      </c>
      <c r="F32" s="18" t="s">
        <v>156</v>
      </c>
      <c r="G32" s="18" t="s">
        <v>173</v>
      </c>
      <c r="H32" s="18" t="s">
        <v>319</v>
      </c>
      <c r="I32" s="17" t="str">
        <f t="shared" si="0"/>
        <v>fevereiro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4">
      <c r="A33" s="18" t="s">
        <v>326</v>
      </c>
      <c r="B33" s="19">
        <v>1</v>
      </c>
      <c r="C33" s="18" t="s">
        <v>121</v>
      </c>
      <c r="D33" s="18" t="s">
        <v>125</v>
      </c>
      <c r="E33" s="20">
        <v>46062</v>
      </c>
      <c r="F33" s="18" t="s">
        <v>144</v>
      </c>
      <c r="G33" s="18" t="s">
        <v>225</v>
      </c>
      <c r="H33" s="18" t="s">
        <v>200</v>
      </c>
      <c r="I33" s="17" t="str">
        <f t="shared" si="0"/>
        <v>fevereiro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4">
      <c r="A34" s="18" t="s">
        <v>502</v>
      </c>
      <c r="B34" s="19">
        <v>1</v>
      </c>
      <c r="C34" s="18" t="s">
        <v>153</v>
      </c>
      <c r="D34" s="18" t="s">
        <v>317</v>
      </c>
      <c r="E34" s="20">
        <v>46066</v>
      </c>
      <c r="F34" s="18" t="s">
        <v>156</v>
      </c>
      <c r="G34" s="18" t="s">
        <v>193</v>
      </c>
      <c r="H34" s="18" t="s">
        <v>311</v>
      </c>
      <c r="I34" s="17" t="str">
        <f t="shared" si="0"/>
        <v>fevereiro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4">
      <c r="A35" s="18" t="s">
        <v>503</v>
      </c>
      <c r="B35" s="19">
        <v>2</v>
      </c>
      <c r="C35" s="18" t="s">
        <v>165</v>
      </c>
      <c r="D35" s="18" t="s">
        <v>267</v>
      </c>
      <c r="E35" s="20">
        <v>46071</v>
      </c>
      <c r="F35" s="18" t="s">
        <v>144</v>
      </c>
      <c r="G35" s="18" t="s">
        <v>216</v>
      </c>
      <c r="H35" s="18" t="s">
        <v>194</v>
      </c>
      <c r="I35" s="17" t="str">
        <f t="shared" si="0"/>
        <v>fevereiro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4">
      <c r="A36" s="18" t="s">
        <v>419</v>
      </c>
      <c r="B36" s="19">
        <v>2</v>
      </c>
      <c r="C36" s="18" t="s">
        <v>153</v>
      </c>
      <c r="D36" s="18" t="s">
        <v>267</v>
      </c>
      <c r="E36" s="20">
        <v>46080</v>
      </c>
      <c r="F36" s="18" t="s">
        <v>156</v>
      </c>
      <c r="G36" s="18" t="s">
        <v>420</v>
      </c>
      <c r="H36" s="18" t="s">
        <v>393</v>
      </c>
      <c r="I36" s="17" t="str">
        <f t="shared" si="0"/>
        <v>fevereiro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4">
      <c r="A37" s="18" t="s">
        <v>298</v>
      </c>
      <c r="B37" s="19">
        <v>5</v>
      </c>
      <c r="C37" s="18" t="s">
        <v>299</v>
      </c>
      <c r="D37" s="18" t="s">
        <v>243</v>
      </c>
      <c r="E37" s="20">
        <v>46069</v>
      </c>
      <c r="F37" s="18" t="s">
        <v>144</v>
      </c>
      <c r="G37" s="18" t="s">
        <v>145</v>
      </c>
      <c r="H37" s="18" t="s">
        <v>301</v>
      </c>
      <c r="I37" s="17" t="str">
        <f t="shared" si="0"/>
        <v>fevereiro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4">
      <c r="A38" s="18" t="s">
        <v>428</v>
      </c>
      <c r="B38" s="19">
        <v>2</v>
      </c>
      <c r="C38" s="18" t="s">
        <v>153</v>
      </c>
      <c r="D38" s="18" t="s">
        <v>387</v>
      </c>
      <c r="E38" s="20">
        <v>46076</v>
      </c>
      <c r="F38" s="18" t="s">
        <v>156</v>
      </c>
      <c r="G38" s="18" t="s">
        <v>169</v>
      </c>
      <c r="H38" s="18" t="s">
        <v>429</v>
      </c>
      <c r="I38" s="17" t="str">
        <f t="shared" si="0"/>
        <v>fevereiro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4">
      <c r="A39" s="18" t="s">
        <v>504</v>
      </c>
      <c r="B39" s="19">
        <v>1</v>
      </c>
      <c r="C39" s="18" t="s">
        <v>179</v>
      </c>
      <c r="D39" s="18" t="s">
        <v>505</v>
      </c>
      <c r="E39" s="20">
        <v>46056</v>
      </c>
      <c r="F39" s="18" t="s">
        <v>156</v>
      </c>
      <c r="G39" s="18" t="s">
        <v>173</v>
      </c>
      <c r="H39" s="18" t="s">
        <v>506</v>
      </c>
      <c r="I39" s="17" t="str">
        <f t="shared" si="0"/>
        <v>fevereiro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4">
      <c r="A40" s="18" t="s">
        <v>507</v>
      </c>
      <c r="B40" s="19">
        <v>2</v>
      </c>
      <c r="C40" s="18" t="s">
        <v>165</v>
      </c>
      <c r="D40" s="18" t="s">
        <v>192</v>
      </c>
      <c r="E40" s="20">
        <v>46080</v>
      </c>
      <c r="F40" s="18" t="s">
        <v>144</v>
      </c>
      <c r="G40" s="18" t="s">
        <v>193</v>
      </c>
      <c r="H40" s="18" t="s">
        <v>508</v>
      </c>
      <c r="I40" s="17" t="str">
        <f t="shared" si="0"/>
        <v>fevereiro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4">
      <c r="A41" s="18" t="s">
        <v>353</v>
      </c>
      <c r="B41" s="19">
        <v>1</v>
      </c>
      <c r="C41" s="18" t="s">
        <v>121</v>
      </c>
      <c r="D41" s="18" t="s">
        <v>354</v>
      </c>
      <c r="E41" s="20">
        <v>46057</v>
      </c>
      <c r="F41" s="18" t="s">
        <v>128</v>
      </c>
      <c r="G41" s="18" t="s">
        <v>129</v>
      </c>
      <c r="H41" s="18" t="s">
        <v>356</v>
      </c>
      <c r="I41" s="17" t="str">
        <f t="shared" si="0"/>
        <v>fevereiro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4">
      <c r="A42" s="18" t="s">
        <v>320</v>
      </c>
      <c r="B42" s="19">
        <v>5</v>
      </c>
      <c r="C42" s="18" t="s">
        <v>299</v>
      </c>
      <c r="D42" s="18" t="s">
        <v>321</v>
      </c>
      <c r="E42" s="20">
        <v>46062</v>
      </c>
      <c r="F42" s="18" t="s">
        <v>144</v>
      </c>
      <c r="G42" s="18" t="s">
        <v>322</v>
      </c>
      <c r="H42" s="18" t="s">
        <v>323</v>
      </c>
      <c r="I42" s="17" t="str">
        <f t="shared" si="0"/>
        <v>fevereiro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4">
      <c r="A43" s="18" t="s">
        <v>364</v>
      </c>
      <c r="B43" s="19">
        <v>2</v>
      </c>
      <c r="C43" s="18" t="s">
        <v>165</v>
      </c>
      <c r="D43" s="18" t="s">
        <v>125</v>
      </c>
      <c r="E43" s="20">
        <v>46066</v>
      </c>
      <c r="F43" s="18" t="s">
        <v>144</v>
      </c>
      <c r="G43" s="18" t="s">
        <v>173</v>
      </c>
      <c r="H43" s="18" t="s">
        <v>220</v>
      </c>
      <c r="I43" s="17" t="str">
        <f t="shared" si="0"/>
        <v>fevereiro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4">
      <c r="A44" s="18" t="s">
        <v>347</v>
      </c>
      <c r="B44" s="19">
        <v>1</v>
      </c>
      <c r="C44" s="18" t="s">
        <v>165</v>
      </c>
      <c r="D44" s="18" t="s">
        <v>317</v>
      </c>
      <c r="E44" s="20">
        <v>46058</v>
      </c>
      <c r="F44" s="18" t="s">
        <v>156</v>
      </c>
      <c r="G44" s="18" t="s">
        <v>173</v>
      </c>
      <c r="H44" s="18" t="s">
        <v>348</v>
      </c>
      <c r="I44" s="17" t="str">
        <f t="shared" si="0"/>
        <v>fevereiro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4">
      <c r="A45" s="18" t="s">
        <v>119</v>
      </c>
      <c r="B45" s="19">
        <v>1</v>
      </c>
      <c r="C45" s="18" t="s">
        <v>121</v>
      </c>
      <c r="D45" s="18" t="s">
        <v>509</v>
      </c>
      <c r="E45" s="20">
        <v>46076</v>
      </c>
      <c r="F45" s="18" t="s">
        <v>144</v>
      </c>
      <c r="G45" s="18" t="s">
        <v>510</v>
      </c>
      <c r="H45" s="18" t="s">
        <v>511</v>
      </c>
      <c r="I45" s="17" t="str">
        <f t="shared" si="0"/>
        <v>fevereiro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4">
      <c r="A46" s="18" t="s">
        <v>367</v>
      </c>
      <c r="B46" s="19">
        <v>2</v>
      </c>
      <c r="C46" s="18" t="s">
        <v>121</v>
      </c>
      <c r="D46" s="18" t="s">
        <v>125</v>
      </c>
      <c r="E46" s="20">
        <v>46056</v>
      </c>
      <c r="F46" s="18" t="s">
        <v>144</v>
      </c>
      <c r="G46" s="18" t="s">
        <v>169</v>
      </c>
      <c r="H46" s="18" t="s">
        <v>368</v>
      </c>
      <c r="I46" s="17" t="str">
        <f t="shared" si="0"/>
        <v>fevereiro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4">
      <c r="A47" s="18" t="s">
        <v>399</v>
      </c>
      <c r="B47" s="19">
        <v>1</v>
      </c>
      <c r="C47" s="18" t="s">
        <v>121</v>
      </c>
      <c r="D47" s="18" t="s">
        <v>512</v>
      </c>
      <c r="E47" s="20">
        <v>46067</v>
      </c>
      <c r="F47" s="18" t="s">
        <v>128</v>
      </c>
      <c r="G47" s="18" t="s">
        <v>145</v>
      </c>
      <c r="H47" s="18" t="s">
        <v>399</v>
      </c>
      <c r="I47" s="17" t="str">
        <f t="shared" si="0"/>
        <v>fevereiro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4">
      <c r="A48" s="18" t="s">
        <v>513</v>
      </c>
      <c r="B48" s="19">
        <v>1</v>
      </c>
      <c r="C48" s="18" t="s">
        <v>121</v>
      </c>
      <c r="D48" s="18" t="s">
        <v>317</v>
      </c>
      <c r="E48" s="20">
        <v>46065</v>
      </c>
      <c r="F48" s="18" t="s">
        <v>156</v>
      </c>
      <c r="G48" s="18" t="s">
        <v>173</v>
      </c>
      <c r="H48" s="18" t="s">
        <v>312</v>
      </c>
      <c r="I48" s="17" t="str">
        <f t="shared" si="0"/>
        <v>fevereiro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4">
      <c r="A49" s="18" t="s">
        <v>390</v>
      </c>
      <c r="B49" s="19">
        <v>3</v>
      </c>
      <c r="C49" s="18" t="s">
        <v>153</v>
      </c>
      <c r="D49" s="18" t="s">
        <v>392</v>
      </c>
      <c r="E49" s="20">
        <v>46059</v>
      </c>
      <c r="F49" s="18" t="s">
        <v>156</v>
      </c>
      <c r="G49" s="18" t="s">
        <v>169</v>
      </c>
      <c r="H49" s="18" t="s">
        <v>393</v>
      </c>
      <c r="I49" s="17" t="str">
        <f t="shared" si="0"/>
        <v>fevereiro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4">
      <c r="A50" s="18" t="s">
        <v>514</v>
      </c>
      <c r="B50" s="19">
        <v>1</v>
      </c>
      <c r="C50" s="18" t="s">
        <v>121</v>
      </c>
      <c r="D50" s="18" t="s">
        <v>515</v>
      </c>
      <c r="E50" s="20">
        <v>46059</v>
      </c>
      <c r="F50" s="18" t="s">
        <v>128</v>
      </c>
      <c r="G50" s="18" t="s">
        <v>516</v>
      </c>
      <c r="H50" s="18" t="s">
        <v>517</v>
      </c>
      <c r="I50" s="17" t="str">
        <f t="shared" si="0"/>
        <v>fevereiro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4">
      <c r="A51" s="18" t="s">
        <v>359</v>
      </c>
      <c r="B51" s="19">
        <v>1</v>
      </c>
      <c r="C51" s="18" t="s">
        <v>121</v>
      </c>
      <c r="D51" s="18" t="s">
        <v>125</v>
      </c>
      <c r="E51" s="20">
        <v>46080</v>
      </c>
      <c r="F51" s="18" t="s">
        <v>144</v>
      </c>
      <c r="G51" s="18" t="s">
        <v>360</v>
      </c>
      <c r="H51" s="18" t="s">
        <v>244</v>
      </c>
      <c r="I51" s="17" t="str">
        <f t="shared" si="0"/>
        <v>fevereiro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4">
      <c r="A52" s="18" t="s">
        <v>339</v>
      </c>
      <c r="B52" s="19">
        <v>3</v>
      </c>
      <c r="C52" s="18" t="s">
        <v>165</v>
      </c>
      <c r="D52" s="18" t="s">
        <v>340</v>
      </c>
      <c r="E52" s="20">
        <v>46059</v>
      </c>
      <c r="F52" s="18" t="s">
        <v>128</v>
      </c>
      <c r="G52" s="18" t="s">
        <v>173</v>
      </c>
      <c r="H52" s="18" t="s">
        <v>342</v>
      </c>
      <c r="I52" s="17" t="str">
        <f t="shared" si="0"/>
        <v>fevereiro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4">
      <c r="A53" s="18" t="s">
        <v>518</v>
      </c>
      <c r="B53" s="19">
        <v>1</v>
      </c>
      <c r="C53" s="18" t="s">
        <v>179</v>
      </c>
      <c r="D53" s="18" t="s">
        <v>441</v>
      </c>
      <c r="E53" s="20">
        <v>46060</v>
      </c>
      <c r="F53" s="18" t="s">
        <v>128</v>
      </c>
      <c r="G53" s="18" t="s">
        <v>169</v>
      </c>
      <c r="H53" s="18" t="s">
        <v>128</v>
      </c>
      <c r="I53" s="17" t="str">
        <f t="shared" si="0"/>
        <v>fevereiro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4">
      <c r="A54" s="18" t="s">
        <v>519</v>
      </c>
      <c r="B54" s="19">
        <v>3</v>
      </c>
      <c r="C54" s="18" t="s">
        <v>165</v>
      </c>
      <c r="D54" s="18" t="s">
        <v>520</v>
      </c>
      <c r="E54" s="20">
        <v>46078</v>
      </c>
      <c r="F54" s="18" t="s">
        <v>128</v>
      </c>
      <c r="G54" s="18" t="s">
        <v>169</v>
      </c>
      <c r="H54" s="18" t="s">
        <v>262</v>
      </c>
      <c r="I54" s="17" t="str">
        <f t="shared" si="0"/>
        <v>fevereiro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4">
      <c r="A55" s="18" t="s">
        <v>333</v>
      </c>
      <c r="B55" s="19">
        <v>5</v>
      </c>
      <c r="C55" s="18" t="s">
        <v>299</v>
      </c>
      <c r="D55" s="18" t="s">
        <v>334</v>
      </c>
      <c r="E55" s="20">
        <v>46061</v>
      </c>
      <c r="F55" s="18" t="s">
        <v>144</v>
      </c>
      <c r="G55" s="18" t="s">
        <v>335</v>
      </c>
      <c r="H55" s="18" t="s">
        <v>220</v>
      </c>
      <c r="I55" s="17" t="str">
        <f t="shared" si="0"/>
        <v>fevereiro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4">
      <c r="A56" s="18" t="s">
        <v>306</v>
      </c>
      <c r="B56" s="19">
        <v>3</v>
      </c>
      <c r="C56" s="18" t="s">
        <v>121</v>
      </c>
      <c r="D56" s="18" t="s">
        <v>307</v>
      </c>
      <c r="E56" s="20">
        <v>46065</v>
      </c>
      <c r="F56" s="18" t="s">
        <v>156</v>
      </c>
      <c r="G56" s="18" t="s">
        <v>225</v>
      </c>
      <c r="H56" s="18" t="s">
        <v>309</v>
      </c>
      <c r="I56" s="17" t="str">
        <f t="shared" si="0"/>
        <v>fevereiro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4">
      <c r="A57" s="18" t="s">
        <v>521</v>
      </c>
      <c r="B57" s="19">
        <v>4</v>
      </c>
      <c r="C57" s="18" t="s">
        <v>153</v>
      </c>
      <c r="D57" s="18" t="s">
        <v>522</v>
      </c>
      <c r="E57" s="20">
        <v>46075</v>
      </c>
      <c r="F57" s="18" t="s">
        <v>144</v>
      </c>
      <c r="G57" s="18" t="s">
        <v>169</v>
      </c>
      <c r="H57" s="18" t="s">
        <v>523</v>
      </c>
      <c r="I57" s="17" t="str">
        <f t="shared" si="0"/>
        <v>fevereiro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4">
      <c r="A58" s="18" t="s">
        <v>524</v>
      </c>
      <c r="B58" s="19">
        <v>1</v>
      </c>
      <c r="C58" s="18" t="s">
        <v>179</v>
      </c>
      <c r="D58" s="18" t="s">
        <v>525</v>
      </c>
      <c r="E58" s="20">
        <v>46062</v>
      </c>
      <c r="F58" s="18" t="s">
        <v>128</v>
      </c>
      <c r="G58" s="18" t="s">
        <v>169</v>
      </c>
      <c r="H58" s="18" t="s">
        <v>526</v>
      </c>
      <c r="I58" s="17" t="str">
        <f t="shared" si="0"/>
        <v>fevereiro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4">
      <c r="A59" s="18" t="s">
        <v>527</v>
      </c>
      <c r="B59" s="19">
        <v>1</v>
      </c>
      <c r="C59" s="18" t="s">
        <v>179</v>
      </c>
      <c r="D59" s="18" t="s">
        <v>528</v>
      </c>
      <c r="E59" s="20">
        <v>46060</v>
      </c>
      <c r="F59" s="18" t="s">
        <v>128</v>
      </c>
      <c r="G59" s="18" t="s">
        <v>424</v>
      </c>
      <c r="H59" s="18" t="s">
        <v>128</v>
      </c>
      <c r="I59" s="17" t="str">
        <f t="shared" si="0"/>
        <v>fevereiro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4">
      <c r="A60" s="18" t="s">
        <v>395</v>
      </c>
      <c r="B60" s="19">
        <v>1</v>
      </c>
      <c r="C60" s="18" t="s">
        <v>121</v>
      </c>
      <c r="D60" s="18" t="s">
        <v>125</v>
      </c>
      <c r="E60" s="20">
        <v>46073</v>
      </c>
      <c r="F60" s="18" t="s">
        <v>144</v>
      </c>
      <c r="G60" s="18" t="s">
        <v>173</v>
      </c>
      <c r="H60" s="18" t="s">
        <v>388</v>
      </c>
      <c r="I60" s="17" t="str">
        <f t="shared" si="0"/>
        <v>fevereiro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4">
      <c r="A61" s="18" t="s">
        <v>529</v>
      </c>
      <c r="B61" s="19">
        <v>1</v>
      </c>
      <c r="C61" s="18" t="s">
        <v>121</v>
      </c>
      <c r="D61" s="18" t="s">
        <v>482</v>
      </c>
      <c r="E61" s="20">
        <v>46055</v>
      </c>
      <c r="F61" s="18" t="s">
        <v>156</v>
      </c>
      <c r="G61" s="18" t="s">
        <v>182</v>
      </c>
      <c r="H61" s="18" t="s">
        <v>429</v>
      </c>
      <c r="I61" s="17" t="str">
        <f t="shared" si="0"/>
        <v>fevereiro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4">
      <c r="A62" s="18" t="s">
        <v>362</v>
      </c>
      <c r="B62" s="19">
        <v>1</v>
      </c>
      <c r="C62" s="18" t="s">
        <v>121</v>
      </c>
      <c r="D62" s="18" t="s">
        <v>125</v>
      </c>
      <c r="E62" s="20">
        <v>46075</v>
      </c>
      <c r="F62" s="18" t="s">
        <v>144</v>
      </c>
      <c r="G62" s="18" t="s">
        <v>193</v>
      </c>
      <c r="H62" s="18" t="s">
        <v>147</v>
      </c>
      <c r="I62" s="17" t="str">
        <f t="shared" si="0"/>
        <v>fevereiro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4">
      <c r="A63" s="18" t="s">
        <v>530</v>
      </c>
      <c r="B63" s="19">
        <v>1</v>
      </c>
      <c r="C63" s="18" t="s">
        <v>121</v>
      </c>
      <c r="D63" s="18" t="s">
        <v>155</v>
      </c>
      <c r="E63" s="20">
        <v>46069</v>
      </c>
      <c r="F63" s="18" t="s">
        <v>128</v>
      </c>
      <c r="G63" s="18" t="s">
        <v>145</v>
      </c>
      <c r="H63" s="18" t="s">
        <v>531</v>
      </c>
      <c r="I63" s="17" t="str">
        <f t="shared" si="0"/>
        <v>fevereiro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4">
      <c r="A64" s="18" t="s">
        <v>375</v>
      </c>
      <c r="B64" s="19">
        <v>4</v>
      </c>
      <c r="C64" s="18" t="s">
        <v>153</v>
      </c>
      <c r="D64" s="18" t="s">
        <v>267</v>
      </c>
      <c r="E64" s="20">
        <v>46062</v>
      </c>
      <c r="F64" s="18" t="s">
        <v>156</v>
      </c>
      <c r="G64" s="18" t="s">
        <v>169</v>
      </c>
      <c r="H64" s="18" t="s">
        <v>377</v>
      </c>
      <c r="I64" s="17" t="str">
        <f t="shared" si="0"/>
        <v>fevereiro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4">
      <c r="A65" s="18" t="s">
        <v>532</v>
      </c>
      <c r="B65" s="19">
        <v>1</v>
      </c>
      <c r="C65" s="18" t="s">
        <v>179</v>
      </c>
      <c r="D65" s="18" t="s">
        <v>533</v>
      </c>
      <c r="E65" s="20">
        <v>46060</v>
      </c>
      <c r="F65" s="18" t="s">
        <v>128</v>
      </c>
      <c r="G65" s="18" t="s">
        <v>169</v>
      </c>
      <c r="H65" s="18" t="s">
        <v>128</v>
      </c>
      <c r="I65" s="17" t="str">
        <f t="shared" si="0"/>
        <v>fevereiro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4">
      <c r="A66" s="18" t="s">
        <v>328</v>
      </c>
      <c r="B66" s="19">
        <v>1</v>
      </c>
      <c r="C66" s="18" t="s">
        <v>121</v>
      </c>
      <c r="D66" s="18" t="s">
        <v>125</v>
      </c>
      <c r="E66" s="20">
        <v>46062</v>
      </c>
      <c r="F66" s="18" t="s">
        <v>144</v>
      </c>
      <c r="G66" s="18" t="s">
        <v>169</v>
      </c>
      <c r="H66" s="18" t="s">
        <v>331</v>
      </c>
      <c r="I66" s="17" t="str">
        <f t="shared" si="0"/>
        <v>fevereiro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4">
      <c r="A67" s="18" t="s">
        <v>315</v>
      </c>
      <c r="B67" s="19">
        <v>3</v>
      </c>
      <c r="C67" s="18" t="s">
        <v>153</v>
      </c>
      <c r="D67" s="18" t="s">
        <v>317</v>
      </c>
      <c r="E67" s="20">
        <v>46063</v>
      </c>
      <c r="F67" s="18" t="s">
        <v>156</v>
      </c>
      <c r="G67" s="18" t="s">
        <v>173</v>
      </c>
      <c r="H67" s="18" t="s">
        <v>319</v>
      </c>
      <c r="I67" s="17" t="str">
        <f t="shared" si="0"/>
        <v>fevereiro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4">
      <c r="A68" s="18" t="s">
        <v>534</v>
      </c>
      <c r="B68" s="19">
        <v>2</v>
      </c>
      <c r="C68" s="18" t="s">
        <v>153</v>
      </c>
      <c r="D68" s="18" t="s">
        <v>482</v>
      </c>
      <c r="E68" s="20">
        <v>46065</v>
      </c>
      <c r="F68" s="18" t="s">
        <v>156</v>
      </c>
      <c r="G68" s="18" t="s">
        <v>182</v>
      </c>
      <c r="H68" s="18" t="s">
        <v>312</v>
      </c>
      <c r="I68" s="17" t="str">
        <f t="shared" si="0"/>
        <v>fevereiro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4">
      <c r="A69" s="18" t="s">
        <v>311</v>
      </c>
      <c r="B69" s="19">
        <v>3</v>
      </c>
      <c r="C69" s="18" t="s">
        <v>121</v>
      </c>
      <c r="D69" s="18" t="s">
        <v>313</v>
      </c>
      <c r="E69" s="20">
        <v>46064</v>
      </c>
      <c r="F69" s="18" t="s">
        <v>156</v>
      </c>
      <c r="G69" s="18" t="s">
        <v>261</v>
      </c>
      <c r="H69" s="18" t="s">
        <v>312</v>
      </c>
      <c r="I69" s="17" t="str">
        <f t="shared" si="0"/>
        <v>fevereiro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4">
      <c r="A70" s="18" t="s">
        <v>535</v>
      </c>
      <c r="B70" s="19">
        <v>3</v>
      </c>
      <c r="C70" s="18" t="s">
        <v>165</v>
      </c>
      <c r="D70" s="18" t="s">
        <v>192</v>
      </c>
      <c r="E70" s="20">
        <v>46068</v>
      </c>
      <c r="F70" s="18" t="s">
        <v>128</v>
      </c>
      <c r="G70" s="18" t="s">
        <v>193</v>
      </c>
      <c r="H70" s="18" t="s">
        <v>194</v>
      </c>
      <c r="I70" s="17" t="str">
        <f t="shared" si="0"/>
        <v>fevereiro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4">
      <c r="A71" s="18" t="s">
        <v>536</v>
      </c>
      <c r="B71" s="19">
        <v>1</v>
      </c>
      <c r="C71" s="18" t="s">
        <v>165</v>
      </c>
      <c r="D71" s="18" t="s">
        <v>441</v>
      </c>
      <c r="E71" s="20">
        <v>46058</v>
      </c>
      <c r="F71" s="18" t="s">
        <v>128</v>
      </c>
      <c r="G71" s="18" t="s">
        <v>169</v>
      </c>
      <c r="H71" s="18" t="s">
        <v>450</v>
      </c>
      <c r="I71" s="17" t="str">
        <f t="shared" si="0"/>
        <v>fevereiro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4">
      <c r="A72" s="18" t="s">
        <v>275</v>
      </c>
      <c r="B72" s="19">
        <v>2</v>
      </c>
      <c r="C72" s="18" t="s">
        <v>165</v>
      </c>
      <c r="D72" s="18" t="s">
        <v>277</v>
      </c>
      <c r="E72" s="20">
        <v>46027</v>
      </c>
      <c r="F72" s="18" t="s">
        <v>144</v>
      </c>
      <c r="G72" s="18" t="s">
        <v>225</v>
      </c>
      <c r="H72" s="18" t="s">
        <v>278</v>
      </c>
      <c r="I72" s="17" t="str">
        <f t="shared" si="0"/>
        <v>janeiro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4">
      <c r="A73" s="18" t="s">
        <v>537</v>
      </c>
      <c r="B73" s="19">
        <v>1</v>
      </c>
      <c r="C73" s="18" t="s">
        <v>121</v>
      </c>
      <c r="D73" s="18" t="s">
        <v>538</v>
      </c>
      <c r="E73" s="20">
        <v>46029</v>
      </c>
      <c r="F73" s="18" t="s">
        <v>156</v>
      </c>
      <c r="G73" s="18" t="s">
        <v>169</v>
      </c>
      <c r="H73" s="18" t="s">
        <v>539</v>
      </c>
      <c r="I73" s="17" t="str">
        <f t="shared" si="0"/>
        <v>janeiro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4">
      <c r="A74" s="18" t="s">
        <v>540</v>
      </c>
      <c r="B74" s="19">
        <v>2</v>
      </c>
      <c r="C74" s="18" t="s">
        <v>121</v>
      </c>
      <c r="D74" s="18" t="s">
        <v>541</v>
      </c>
      <c r="E74" s="20">
        <v>46035</v>
      </c>
      <c r="F74" s="18" t="s">
        <v>144</v>
      </c>
      <c r="G74" s="18" t="s">
        <v>169</v>
      </c>
      <c r="H74" s="18" t="s">
        <v>542</v>
      </c>
      <c r="I74" s="17" t="str">
        <f t="shared" si="0"/>
        <v>janeiro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4">
      <c r="A75" s="18" t="s">
        <v>214</v>
      </c>
      <c r="B75" s="19">
        <v>2</v>
      </c>
      <c r="C75" s="18" t="s">
        <v>165</v>
      </c>
      <c r="D75" s="18" t="s">
        <v>215</v>
      </c>
      <c r="E75" s="20">
        <v>46048</v>
      </c>
      <c r="F75" s="18" t="s">
        <v>144</v>
      </c>
      <c r="G75" s="18" t="s">
        <v>216</v>
      </c>
      <c r="H75" s="18" t="s">
        <v>200</v>
      </c>
      <c r="I75" s="17" t="str">
        <f t="shared" si="0"/>
        <v>janeiro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4">
      <c r="A76" s="18" t="s">
        <v>543</v>
      </c>
      <c r="B76" s="19">
        <v>1</v>
      </c>
      <c r="C76" s="18" t="s">
        <v>179</v>
      </c>
      <c r="D76" s="18" t="s">
        <v>538</v>
      </c>
      <c r="E76" s="20">
        <v>46027</v>
      </c>
      <c r="F76" s="18" t="s">
        <v>156</v>
      </c>
      <c r="G76" s="18" t="s">
        <v>169</v>
      </c>
      <c r="H76" s="18" t="s">
        <v>406</v>
      </c>
      <c r="I76" s="17" t="str">
        <f t="shared" si="0"/>
        <v>janeiro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4">
      <c r="A77" s="18" t="s">
        <v>266</v>
      </c>
      <c r="B77" s="19">
        <v>1</v>
      </c>
      <c r="C77" s="18" t="s">
        <v>165</v>
      </c>
      <c r="D77" s="18" t="s">
        <v>387</v>
      </c>
      <c r="E77" s="20">
        <v>46036</v>
      </c>
      <c r="F77" s="18" t="s">
        <v>128</v>
      </c>
      <c r="G77" s="18" t="s">
        <v>169</v>
      </c>
      <c r="H77" s="18" t="s">
        <v>210</v>
      </c>
      <c r="I77" s="17" t="str">
        <f t="shared" si="0"/>
        <v>janeiro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4">
      <c r="A78" s="18" t="s">
        <v>544</v>
      </c>
      <c r="B78" s="19">
        <v>3</v>
      </c>
      <c r="C78" s="18" t="s">
        <v>165</v>
      </c>
      <c r="D78" s="18" t="s">
        <v>545</v>
      </c>
      <c r="E78" s="20">
        <v>46051</v>
      </c>
      <c r="F78" s="18" t="s">
        <v>144</v>
      </c>
      <c r="G78" s="18" t="s">
        <v>173</v>
      </c>
      <c r="H78" s="18" t="s">
        <v>195</v>
      </c>
      <c r="I78" s="17" t="str">
        <f t="shared" si="0"/>
        <v>janeiro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4">
      <c r="A79" s="18" t="s">
        <v>546</v>
      </c>
      <c r="B79" s="19">
        <v>2</v>
      </c>
      <c r="C79" s="18" t="s">
        <v>153</v>
      </c>
      <c r="D79" s="18" t="s">
        <v>125</v>
      </c>
      <c r="E79" s="20">
        <v>46050</v>
      </c>
      <c r="F79" s="18" t="s">
        <v>144</v>
      </c>
      <c r="G79" s="18" t="s">
        <v>173</v>
      </c>
      <c r="H79" s="18" t="s">
        <v>547</v>
      </c>
      <c r="I79" s="17" t="str">
        <f t="shared" si="0"/>
        <v>janeiro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4">
      <c r="A80" s="18" t="s">
        <v>548</v>
      </c>
      <c r="B80" s="19">
        <v>1</v>
      </c>
      <c r="C80" s="18" t="s">
        <v>179</v>
      </c>
      <c r="D80" s="18" t="s">
        <v>482</v>
      </c>
      <c r="E80" s="20">
        <v>46035</v>
      </c>
      <c r="F80" s="18" t="s">
        <v>156</v>
      </c>
      <c r="G80" s="18" t="s">
        <v>169</v>
      </c>
      <c r="H80" s="18" t="s">
        <v>549</v>
      </c>
      <c r="I80" s="17" t="str">
        <f t="shared" si="0"/>
        <v>janeiro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4">
      <c r="A81" s="18" t="s">
        <v>550</v>
      </c>
      <c r="B81" s="19">
        <v>2</v>
      </c>
      <c r="C81" s="18" t="s">
        <v>121</v>
      </c>
      <c r="D81" s="18" t="s">
        <v>125</v>
      </c>
      <c r="E81" s="20">
        <v>46038</v>
      </c>
      <c r="F81" s="18" t="s">
        <v>144</v>
      </c>
      <c r="G81" s="18" t="s">
        <v>169</v>
      </c>
      <c r="H81" s="18" t="s">
        <v>551</v>
      </c>
      <c r="I81" s="17" t="str">
        <f t="shared" si="0"/>
        <v>janeiro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4">
      <c r="A82" s="18" t="s">
        <v>198</v>
      </c>
      <c r="B82" s="19">
        <v>2</v>
      </c>
      <c r="C82" s="18" t="s">
        <v>165</v>
      </c>
      <c r="D82" s="18" t="s">
        <v>199</v>
      </c>
      <c r="E82" s="20">
        <v>46034</v>
      </c>
      <c r="F82" s="18" t="s">
        <v>144</v>
      </c>
      <c r="G82" s="18" t="s">
        <v>169</v>
      </c>
      <c r="H82" s="18" t="s">
        <v>200</v>
      </c>
      <c r="I82" s="17" t="str">
        <f t="shared" si="0"/>
        <v>janeiro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4">
      <c r="A83" s="18" t="s">
        <v>552</v>
      </c>
      <c r="B83" s="19">
        <v>1</v>
      </c>
      <c r="C83" s="18" t="s">
        <v>121</v>
      </c>
      <c r="D83" s="18" t="s">
        <v>289</v>
      </c>
      <c r="E83" s="20">
        <v>46030</v>
      </c>
      <c r="F83" s="18" t="s">
        <v>156</v>
      </c>
      <c r="G83" s="18" t="s">
        <v>193</v>
      </c>
      <c r="H83" s="18" t="s">
        <v>553</v>
      </c>
      <c r="I83" s="17" t="str">
        <f t="shared" si="0"/>
        <v>janeiro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4">
      <c r="A84" s="18" t="s">
        <v>554</v>
      </c>
      <c r="B84" s="19">
        <v>1</v>
      </c>
      <c r="C84" s="18" t="s">
        <v>179</v>
      </c>
      <c r="D84" s="18" t="s">
        <v>125</v>
      </c>
      <c r="E84" s="20">
        <v>46050</v>
      </c>
      <c r="F84" s="18" t="s">
        <v>144</v>
      </c>
      <c r="G84" s="18" t="s">
        <v>173</v>
      </c>
      <c r="H84" s="18" t="s">
        <v>416</v>
      </c>
      <c r="I84" s="17" t="str">
        <f t="shared" si="0"/>
        <v>janeiro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4">
      <c r="A85" s="18" t="s">
        <v>217</v>
      </c>
      <c r="B85" s="19">
        <v>2</v>
      </c>
      <c r="C85" s="18" t="s">
        <v>179</v>
      </c>
      <c r="D85" s="18" t="s">
        <v>218</v>
      </c>
      <c r="E85" s="20">
        <v>46035</v>
      </c>
      <c r="F85" s="18" t="s">
        <v>144</v>
      </c>
      <c r="G85" s="18" t="s">
        <v>216</v>
      </c>
      <c r="H85" s="18" t="s">
        <v>220</v>
      </c>
      <c r="I85" s="17" t="str">
        <f t="shared" si="0"/>
        <v>janeiro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4">
      <c r="A86" s="18" t="s">
        <v>555</v>
      </c>
      <c r="B86" s="19">
        <v>1</v>
      </c>
      <c r="C86" s="18" t="s">
        <v>121</v>
      </c>
      <c r="D86" s="18" t="s">
        <v>125</v>
      </c>
      <c r="E86" s="20">
        <v>46027</v>
      </c>
      <c r="F86" s="18" t="s">
        <v>144</v>
      </c>
      <c r="G86" s="18" t="s">
        <v>169</v>
      </c>
      <c r="H86" s="18" t="s">
        <v>450</v>
      </c>
      <c r="I86" s="17" t="str">
        <f t="shared" si="0"/>
        <v>janeiro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4">
      <c r="A87" s="18" t="s">
        <v>264</v>
      </c>
      <c r="B87" s="19">
        <v>2</v>
      </c>
      <c r="C87" s="18" t="s">
        <v>121</v>
      </c>
      <c r="D87" s="18" t="s">
        <v>125</v>
      </c>
      <c r="E87" s="20">
        <v>46045</v>
      </c>
      <c r="F87" s="18" t="s">
        <v>144</v>
      </c>
      <c r="G87" s="18" t="s">
        <v>169</v>
      </c>
      <c r="H87" s="18" t="s">
        <v>265</v>
      </c>
      <c r="I87" s="17" t="str">
        <f t="shared" si="0"/>
        <v>janeiro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4">
      <c r="A88" s="18" t="s">
        <v>140</v>
      </c>
      <c r="B88" s="19">
        <v>3</v>
      </c>
      <c r="C88" s="18" t="s">
        <v>121</v>
      </c>
      <c r="D88" s="18" t="s">
        <v>142</v>
      </c>
      <c r="E88" s="20">
        <v>46048</v>
      </c>
      <c r="F88" s="18" t="s">
        <v>144</v>
      </c>
      <c r="G88" s="18" t="s">
        <v>145</v>
      </c>
      <c r="H88" s="18" t="s">
        <v>147</v>
      </c>
      <c r="I88" s="17" t="str">
        <f t="shared" si="0"/>
        <v>janeiro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4">
      <c r="A89" s="18" t="s">
        <v>556</v>
      </c>
      <c r="B89" s="19">
        <v>1</v>
      </c>
      <c r="C89" s="18" t="s">
        <v>121</v>
      </c>
      <c r="D89" s="18" t="s">
        <v>441</v>
      </c>
      <c r="E89" s="20">
        <v>46043</v>
      </c>
      <c r="F89" s="18" t="s">
        <v>128</v>
      </c>
      <c r="G89" s="18" t="s">
        <v>169</v>
      </c>
      <c r="H89" s="18" t="s">
        <v>128</v>
      </c>
      <c r="I89" s="17" t="str">
        <f t="shared" si="0"/>
        <v>janeiro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4">
      <c r="A90" s="18" t="s">
        <v>119</v>
      </c>
      <c r="B90" s="19">
        <v>1</v>
      </c>
      <c r="C90" s="18" t="s">
        <v>299</v>
      </c>
      <c r="D90" s="18" t="s">
        <v>533</v>
      </c>
      <c r="E90" s="20">
        <v>46051</v>
      </c>
      <c r="F90" s="18" t="s">
        <v>128</v>
      </c>
      <c r="G90" s="18" t="s">
        <v>129</v>
      </c>
      <c r="H90" s="18" t="s">
        <v>131</v>
      </c>
      <c r="I90" s="17" t="str">
        <f t="shared" si="0"/>
        <v>janeiro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4">
      <c r="A91" s="18" t="s">
        <v>557</v>
      </c>
      <c r="B91" s="19">
        <v>1</v>
      </c>
      <c r="C91" s="18" t="s">
        <v>165</v>
      </c>
      <c r="D91" s="18" t="s">
        <v>558</v>
      </c>
      <c r="E91" s="20">
        <v>46036</v>
      </c>
      <c r="F91" s="18" t="s">
        <v>128</v>
      </c>
      <c r="G91" s="18" t="s">
        <v>424</v>
      </c>
      <c r="H91" s="18" t="s">
        <v>119</v>
      </c>
      <c r="I91" s="17" t="str">
        <f t="shared" si="0"/>
        <v>janeiro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4">
      <c r="A92" s="18" t="s">
        <v>559</v>
      </c>
      <c r="B92" s="19">
        <v>1</v>
      </c>
      <c r="C92" s="18" t="s">
        <v>165</v>
      </c>
      <c r="D92" s="18" t="s">
        <v>560</v>
      </c>
      <c r="E92" s="20">
        <v>46027</v>
      </c>
      <c r="F92" s="18" t="s">
        <v>144</v>
      </c>
      <c r="G92" s="18" t="s">
        <v>169</v>
      </c>
      <c r="H92" s="18" t="s">
        <v>240</v>
      </c>
      <c r="I92" s="17" t="str">
        <f t="shared" si="0"/>
        <v>janeiro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4">
      <c r="A93" s="18" t="s">
        <v>229</v>
      </c>
      <c r="B93" s="19">
        <v>2</v>
      </c>
      <c r="C93" s="18" t="s">
        <v>165</v>
      </c>
      <c r="D93" s="18" t="s">
        <v>230</v>
      </c>
      <c r="E93" s="20">
        <v>46031</v>
      </c>
      <c r="F93" s="18" t="s">
        <v>156</v>
      </c>
      <c r="G93" s="18" t="s">
        <v>169</v>
      </c>
      <c r="H93" s="18" t="s">
        <v>561</v>
      </c>
      <c r="I93" s="17" t="str">
        <f t="shared" si="0"/>
        <v>janeiro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4">
      <c r="A94" s="18" t="s">
        <v>562</v>
      </c>
      <c r="B94" s="19">
        <v>1</v>
      </c>
      <c r="C94" s="18" t="s">
        <v>121</v>
      </c>
      <c r="D94" s="18" t="s">
        <v>125</v>
      </c>
      <c r="E94" s="20">
        <v>46051</v>
      </c>
      <c r="F94" s="18" t="s">
        <v>144</v>
      </c>
      <c r="G94" s="18" t="s">
        <v>173</v>
      </c>
      <c r="H94" s="18" t="s">
        <v>563</v>
      </c>
      <c r="I94" s="17" t="str">
        <f t="shared" si="0"/>
        <v>janeiro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4">
      <c r="A95" s="18" t="s">
        <v>204</v>
      </c>
      <c r="B95" s="19">
        <v>2</v>
      </c>
      <c r="C95" s="18" t="s">
        <v>121</v>
      </c>
      <c r="D95" s="18" t="s">
        <v>206</v>
      </c>
      <c r="E95" s="20">
        <v>46034</v>
      </c>
      <c r="F95" s="18" t="s">
        <v>144</v>
      </c>
      <c r="G95" s="18" t="s">
        <v>169</v>
      </c>
      <c r="H95" s="18" t="s">
        <v>207</v>
      </c>
      <c r="I95" s="17" t="str">
        <f t="shared" si="0"/>
        <v>janeiro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4">
      <c r="A96" s="18" t="s">
        <v>564</v>
      </c>
      <c r="B96" s="19">
        <v>2</v>
      </c>
      <c r="C96" s="18" t="s">
        <v>121</v>
      </c>
      <c r="D96" s="18" t="s">
        <v>125</v>
      </c>
      <c r="E96" s="20">
        <v>46036</v>
      </c>
      <c r="F96" s="18" t="s">
        <v>144</v>
      </c>
      <c r="G96" s="18" t="s">
        <v>169</v>
      </c>
      <c r="H96" s="18" t="s">
        <v>416</v>
      </c>
      <c r="I96" s="17" t="str">
        <f t="shared" si="0"/>
        <v>janeiro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4">
      <c r="A97" s="18" t="s">
        <v>208</v>
      </c>
      <c r="B97" s="19">
        <v>3</v>
      </c>
      <c r="C97" s="18" t="s">
        <v>165</v>
      </c>
      <c r="D97" s="18" t="s">
        <v>465</v>
      </c>
      <c r="E97" s="20">
        <v>46051</v>
      </c>
      <c r="F97" s="18" t="s">
        <v>144</v>
      </c>
      <c r="G97" s="18" t="s">
        <v>173</v>
      </c>
      <c r="H97" s="18" t="s">
        <v>210</v>
      </c>
      <c r="I97" s="17" t="str">
        <f t="shared" si="0"/>
        <v>janeiro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4">
      <c r="A98" s="18" t="s">
        <v>565</v>
      </c>
      <c r="B98" s="19">
        <v>3</v>
      </c>
      <c r="C98" s="18" t="s">
        <v>179</v>
      </c>
      <c r="D98" s="18" t="s">
        <v>566</v>
      </c>
      <c r="E98" s="20">
        <v>46035</v>
      </c>
      <c r="F98" s="18" t="s">
        <v>156</v>
      </c>
      <c r="G98" s="18" t="s">
        <v>424</v>
      </c>
      <c r="H98" s="18" t="s">
        <v>410</v>
      </c>
      <c r="I98" s="17" t="str">
        <f t="shared" si="0"/>
        <v>janeiro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4">
      <c r="A99" s="18" t="s">
        <v>567</v>
      </c>
      <c r="B99" s="19">
        <v>2</v>
      </c>
      <c r="C99" s="18" t="s">
        <v>179</v>
      </c>
      <c r="D99" s="18" t="s">
        <v>509</v>
      </c>
      <c r="E99" s="20">
        <v>46042</v>
      </c>
      <c r="F99" s="18" t="s">
        <v>156</v>
      </c>
      <c r="G99" s="18" t="s">
        <v>225</v>
      </c>
      <c r="H99" s="18" t="s">
        <v>450</v>
      </c>
      <c r="I99" s="17" t="str">
        <f t="shared" si="0"/>
        <v>janeiro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4">
      <c r="A100" s="18" t="s">
        <v>151</v>
      </c>
      <c r="B100" s="19">
        <v>3</v>
      </c>
      <c r="C100" s="18" t="s">
        <v>153</v>
      </c>
      <c r="D100" s="18" t="s">
        <v>155</v>
      </c>
      <c r="E100" s="20">
        <v>46046</v>
      </c>
      <c r="F100" s="18" t="s">
        <v>156</v>
      </c>
      <c r="G100" s="18" t="s">
        <v>145</v>
      </c>
      <c r="H100" s="18" t="s">
        <v>152</v>
      </c>
      <c r="I100" s="17" t="str">
        <f t="shared" si="0"/>
        <v>janeiro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4">
      <c r="A101" s="18" t="s">
        <v>370</v>
      </c>
      <c r="B101" s="19">
        <v>2</v>
      </c>
      <c r="C101" s="18" t="s">
        <v>165</v>
      </c>
      <c r="D101" s="18" t="s">
        <v>372</v>
      </c>
      <c r="E101" s="20">
        <v>46034</v>
      </c>
      <c r="F101" s="18" t="s">
        <v>144</v>
      </c>
      <c r="G101" s="18" t="s">
        <v>225</v>
      </c>
      <c r="H101" s="18" t="s">
        <v>373</v>
      </c>
      <c r="I101" s="17" t="str">
        <f t="shared" si="0"/>
        <v>janeiro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4">
      <c r="A102" s="18" t="s">
        <v>237</v>
      </c>
      <c r="B102" s="19">
        <v>1</v>
      </c>
      <c r="C102" s="18" t="s">
        <v>165</v>
      </c>
      <c r="D102" s="18" t="s">
        <v>238</v>
      </c>
      <c r="E102" s="20">
        <v>46024</v>
      </c>
      <c r="F102" s="18" t="s">
        <v>128</v>
      </c>
      <c r="G102" s="18" t="s">
        <v>169</v>
      </c>
      <c r="H102" s="18" t="s">
        <v>240</v>
      </c>
      <c r="I102" s="17" t="str">
        <f t="shared" si="0"/>
        <v>janeiro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4">
      <c r="A103" s="18" t="s">
        <v>163</v>
      </c>
      <c r="B103" s="19">
        <v>1</v>
      </c>
      <c r="C103" s="18" t="s">
        <v>179</v>
      </c>
      <c r="D103" s="18" t="s">
        <v>167</v>
      </c>
      <c r="E103" s="20">
        <v>46026</v>
      </c>
      <c r="F103" s="18" t="s">
        <v>128</v>
      </c>
      <c r="G103" s="18" t="s">
        <v>169</v>
      </c>
      <c r="H103" s="18" t="s">
        <v>171</v>
      </c>
      <c r="I103" s="17" t="str">
        <f t="shared" si="0"/>
        <v>janeiro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4">
      <c r="A104" s="18" t="s">
        <v>288</v>
      </c>
      <c r="B104" s="19">
        <v>1</v>
      </c>
      <c r="C104" s="18" t="s">
        <v>179</v>
      </c>
      <c r="D104" s="18" t="s">
        <v>289</v>
      </c>
      <c r="E104" s="20">
        <v>46042</v>
      </c>
      <c r="F104" s="18" t="s">
        <v>128</v>
      </c>
      <c r="G104" s="18" t="s">
        <v>193</v>
      </c>
      <c r="H104" s="18" t="s">
        <v>290</v>
      </c>
      <c r="I104" s="17" t="str">
        <f t="shared" si="0"/>
        <v>janeiro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4">
      <c r="A105" s="18" t="s">
        <v>568</v>
      </c>
      <c r="B105" s="19">
        <v>1</v>
      </c>
      <c r="C105" s="18" t="s">
        <v>153</v>
      </c>
      <c r="D105" s="18" t="s">
        <v>569</v>
      </c>
      <c r="E105" s="20">
        <v>46034</v>
      </c>
      <c r="F105" s="18" t="s">
        <v>156</v>
      </c>
      <c r="G105" s="18" t="s">
        <v>169</v>
      </c>
      <c r="H105" s="18" t="s">
        <v>570</v>
      </c>
      <c r="I105" s="17" t="str">
        <f t="shared" si="0"/>
        <v>janeiro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4">
      <c r="A106" s="18" t="s">
        <v>571</v>
      </c>
      <c r="B106" s="19">
        <v>2</v>
      </c>
      <c r="C106" s="18" t="s">
        <v>121</v>
      </c>
      <c r="D106" s="18" t="s">
        <v>482</v>
      </c>
      <c r="E106" s="20">
        <v>46027</v>
      </c>
      <c r="F106" s="18" t="s">
        <v>156</v>
      </c>
      <c r="G106" s="18" t="s">
        <v>169</v>
      </c>
      <c r="H106" s="18" t="s">
        <v>572</v>
      </c>
      <c r="I106" s="17" t="str">
        <f t="shared" si="0"/>
        <v>janeiro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4">
      <c r="A107" s="18" t="s">
        <v>573</v>
      </c>
      <c r="B107" s="19">
        <v>1</v>
      </c>
      <c r="C107" s="18" t="s">
        <v>121</v>
      </c>
      <c r="D107" s="18" t="s">
        <v>574</v>
      </c>
      <c r="E107" s="20">
        <v>46051</v>
      </c>
      <c r="F107" s="18" t="s">
        <v>128</v>
      </c>
      <c r="G107" s="18" t="s">
        <v>173</v>
      </c>
      <c r="H107" s="18" t="s">
        <v>128</v>
      </c>
      <c r="I107" s="17" t="str">
        <f t="shared" si="0"/>
        <v>janeiro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4">
      <c r="A108" s="18" t="s">
        <v>268</v>
      </c>
      <c r="B108" s="19">
        <v>5</v>
      </c>
      <c r="C108" s="18" t="s">
        <v>299</v>
      </c>
      <c r="D108" s="18" t="s">
        <v>575</v>
      </c>
      <c r="E108" s="20">
        <v>46036</v>
      </c>
      <c r="F108" s="18" t="s">
        <v>156</v>
      </c>
      <c r="G108" s="18" t="s">
        <v>173</v>
      </c>
      <c r="H108" s="18" t="s">
        <v>270</v>
      </c>
      <c r="I108" s="17" t="str">
        <f t="shared" si="0"/>
        <v>janeiro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4">
      <c r="A109" s="18" t="s">
        <v>576</v>
      </c>
      <c r="B109" s="19">
        <v>1</v>
      </c>
      <c r="C109" s="18" t="s">
        <v>179</v>
      </c>
      <c r="D109" s="18" t="s">
        <v>289</v>
      </c>
      <c r="E109" s="20">
        <v>46030</v>
      </c>
      <c r="F109" s="18" t="s">
        <v>128</v>
      </c>
      <c r="G109" s="18" t="s">
        <v>169</v>
      </c>
      <c r="H109" s="18" t="s">
        <v>577</v>
      </c>
      <c r="I109" s="17" t="str">
        <f t="shared" si="0"/>
        <v>janeiro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4">
      <c r="A110" s="18" t="s">
        <v>578</v>
      </c>
      <c r="B110" s="19">
        <v>1</v>
      </c>
      <c r="C110" s="18" t="s">
        <v>121</v>
      </c>
      <c r="D110" s="18" t="s">
        <v>125</v>
      </c>
      <c r="E110" s="20">
        <v>46036</v>
      </c>
      <c r="F110" s="18" t="s">
        <v>144</v>
      </c>
      <c r="G110" s="18" t="s">
        <v>424</v>
      </c>
      <c r="H110" s="18" t="s">
        <v>319</v>
      </c>
      <c r="I110" s="17" t="str">
        <f t="shared" si="0"/>
        <v>janeiro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4">
      <c r="A111" s="18" t="s">
        <v>579</v>
      </c>
      <c r="B111" s="19">
        <v>1</v>
      </c>
      <c r="C111" s="18" t="s">
        <v>179</v>
      </c>
      <c r="D111" s="18" t="s">
        <v>538</v>
      </c>
      <c r="E111" s="20">
        <v>46042</v>
      </c>
      <c r="F111" s="18" t="s">
        <v>156</v>
      </c>
      <c r="G111" s="18" t="s">
        <v>169</v>
      </c>
      <c r="H111" s="18" t="s">
        <v>580</v>
      </c>
      <c r="I111" s="17" t="str">
        <f t="shared" si="0"/>
        <v>janeiro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4">
      <c r="A112" s="18" t="s">
        <v>581</v>
      </c>
      <c r="B112" s="19">
        <v>1</v>
      </c>
      <c r="C112" s="18" t="s">
        <v>179</v>
      </c>
      <c r="D112" s="18" t="s">
        <v>482</v>
      </c>
      <c r="E112" s="20">
        <v>46035</v>
      </c>
      <c r="F112" s="18" t="s">
        <v>156</v>
      </c>
      <c r="G112" s="18" t="s">
        <v>182</v>
      </c>
      <c r="H112" s="18" t="s">
        <v>489</v>
      </c>
      <c r="I112" s="17" t="str">
        <f t="shared" si="0"/>
        <v>janeiro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4">
      <c r="A113" s="18" t="s">
        <v>222</v>
      </c>
      <c r="B113" s="19">
        <v>2</v>
      </c>
      <c r="C113" s="18" t="s">
        <v>121</v>
      </c>
      <c r="D113" s="18" t="s">
        <v>317</v>
      </c>
      <c r="E113" s="20">
        <v>46041</v>
      </c>
      <c r="F113" s="18" t="s">
        <v>156</v>
      </c>
      <c r="G113" s="18" t="s">
        <v>173</v>
      </c>
      <c r="H113" s="18" t="s">
        <v>582</v>
      </c>
      <c r="I113" s="17" t="str">
        <f t="shared" si="0"/>
        <v>janeiro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4">
      <c r="A114" s="18" t="s">
        <v>189</v>
      </c>
      <c r="B114" s="19">
        <v>2</v>
      </c>
      <c r="C114" s="18" t="s">
        <v>153</v>
      </c>
      <c r="D114" s="18" t="s">
        <v>317</v>
      </c>
      <c r="E114" s="20">
        <v>46038</v>
      </c>
      <c r="F114" s="18" t="s">
        <v>144</v>
      </c>
      <c r="G114" s="18" t="s">
        <v>193</v>
      </c>
      <c r="H114" s="18" t="s">
        <v>194</v>
      </c>
      <c r="I114" s="17" t="str">
        <f t="shared" si="0"/>
        <v>janeiro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4">
      <c r="A115" s="18" t="s">
        <v>259</v>
      </c>
      <c r="B115" s="19">
        <v>2</v>
      </c>
      <c r="C115" s="18" t="s">
        <v>179</v>
      </c>
      <c r="D115" s="18" t="s">
        <v>260</v>
      </c>
      <c r="E115" s="20">
        <v>46044</v>
      </c>
      <c r="F115" s="18" t="s">
        <v>156</v>
      </c>
      <c r="G115" s="18" t="s">
        <v>261</v>
      </c>
      <c r="H115" s="18" t="s">
        <v>262</v>
      </c>
      <c r="I115" s="17" t="str">
        <f t="shared" si="0"/>
        <v>janeiro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4">
      <c r="A116" s="18" t="s">
        <v>583</v>
      </c>
      <c r="B116" s="19">
        <v>3</v>
      </c>
      <c r="C116" s="18" t="s">
        <v>165</v>
      </c>
      <c r="D116" s="18" t="s">
        <v>260</v>
      </c>
      <c r="E116" s="20">
        <v>46027</v>
      </c>
      <c r="F116" s="18" t="s">
        <v>156</v>
      </c>
      <c r="G116" s="18" t="s">
        <v>261</v>
      </c>
      <c r="H116" s="18" t="s">
        <v>187</v>
      </c>
      <c r="I116" s="17" t="str">
        <f t="shared" si="0"/>
        <v>janeiro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4">
      <c r="A117" s="18" t="s">
        <v>584</v>
      </c>
      <c r="B117" s="19">
        <v>1</v>
      </c>
      <c r="C117" s="18" t="s">
        <v>179</v>
      </c>
      <c r="D117" s="18" t="s">
        <v>125</v>
      </c>
      <c r="E117" s="20">
        <v>46050</v>
      </c>
      <c r="F117" s="18" t="s">
        <v>144</v>
      </c>
      <c r="G117" s="18" t="s">
        <v>173</v>
      </c>
      <c r="H117" s="18" t="s">
        <v>563</v>
      </c>
      <c r="I117" s="17" t="str">
        <f t="shared" si="0"/>
        <v>janeiro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4">
      <c r="A118" s="18" t="s">
        <v>585</v>
      </c>
      <c r="B118" s="19">
        <v>1</v>
      </c>
      <c r="C118" s="18" t="s">
        <v>179</v>
      </c>
      <c r="D118" s="18" t="s">
        <v>125</v>
      </c>
      <c r="E118" s="20">
        <v>46050</v>
      </c>
      <c r="F118" s="18" t="s">
        <v>144</v>
      </c>
      <c r="G118" s="18" t="s">
        <v>173</v>
      </c>
      <c r="H118" s="18" t="s">
        <v>469</v>
      </c>
      <c r="I118" s="17" t="str">
        <f t="shared" si="0"/>
        <v>janeiro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4">
      <c r="A119" s="18" t="s">
        <v>586</v>
      </c>
      <c r="B119" s="19">
        <v>1</v>
      </c>
      <c r="C119" s="18" t="s">
        <v>179</v>
      </c>
      <c r="D119" s="18" t="s">
        <v>125</v>
      </c>
      <c r="E119" s="20">
        <v>46050</v>
      </c>
      <c r="F119" s="18" t="s">
        <v>144</v>
      </c>
      <c r="G119" s="18" t="s">
        <v>173</v>
      </c>
      <c r="H119" s="18" t="s">
        <v>587</v>
      </c>
      <c r="I119" s="17" t="str">
        <f t="shared" si="0"/>
        <v>janeiro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4">
      <c r="A120" s="18" t="s">
        <v>588</v>
      </c>
      <c r="B120" s="19">
        <v>1</v>
      </c>
      <c r="C120" s="18" t="s">
        <v>179</v>
      </c>
      <c r="D120" s="18" t="s">
        <v>125</v>
      </c>
      <c r="E120" s="20">
        <v>46050</v>
      </c>
      <c r="F120" s="18" t="s">
        <v>144</v>
      </c>
      <c r="G120" s="18" t="s">
        <v>173</v>
      </c>
      <c r="H120" s="18" t="s">
        <v>587</v>
      </c>
      <c r="I120" s="17" t="str">
        <f t="shared" si="0"/>
        <v>janeiro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4">
      <c r="A121" s="18" t="s">
        <v>589</v>
      </c>
      <c r="B121" s="19">
        <v>1</v>
      </c>
      <c r="C121" s="18" t="s">
        <v>179</v>
      </c>
      <c r="D121" s="18" t="s">
        <v>125</v>
      </c>
      <c r="E121" s="20">
        <v>46050</v>
      </c>
      <c r="F121" s="18" t="s">
        <v>144</v>
      </c>
      <c r="G121" s="18" t="s">
        <v>173</v>
      </c>
      <c r="H121" s="18" t="s">
        <v>587</v>
      </c>
      <c r="I121" s="17" t="str">
        <f t="shared" si="0"/>
        <v>janeiro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4">
      <c r="A122" s="18" t="s">
        <v>590</v>
      </c>
      <c r="B122" s="19">
        <v>1</v>
      </c>
      <c r="C122" s="18" t="s">
        <v>179</v>
      </c>
      <c r="D122" s="18" t="s">
        <v>125</v>
      </c>
      <c r="E122" s="20">
        <v>46050</v>
      </c>
      <c r="F122" s="18" t="s">
        <v>144</v>
      </c>
      <c r="G122" s="18" t="s">
        <v>173</v>
      </c>
      <c r="H122" s="18" t="s">
        <v>587</v>
      </c>
      <c r="I122" s="17" t="str">
        <f t="shared" si="0"/>
        <v>janeiro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4">
      <c r="A123" s="18" t="s">
        <v>591</v>
      </c>
      <c r="B123" s="19">
        <v>1</v>
      </c>
      <c r="C123" s="18" t="s">
        <v>179</v>
      </c>
      <c r="D123" s="18" t="s">
        <v>125</v>
      </c>
      <c r="E123" s="20">
        <v>46050</v>
      </c>
      <c r="F123" s="18" t="s">
        <v>144</v>
      </c>
      <c r="G123" s="18" t="s">
        <v>173</v>
      </c>
      <c r="H123" s="18" t="s">
        <v>592</v>
      </c>
      <c r="I123" s="17" t="str">
        <f t="shared" si="0"/>
        <v>janeiro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4">
      <c r="A124" s="18" t="s">
        <v>593</v>
      </c>
      <c r="B124" s="19">
        <v>1</v>
      </c>
      <c r="C124" s="18" t="s">
        <v>179</v>
      </c>
      <c r="D124" s="18" t="s">
        <v>125</v>
      </c>
      <c r="E124" s="20">
        <v>46050</v>
      </c>
      <c r="F124" s="18" t="s">
        <v>144</v>
      </c>
      <c r="G124" s="18" t="s">
        <v>173</v>
      </c>
      <c r="H124" s="18" t="s">
        <v>592</v>
      </c>
      <c r="I124" s="17" t="str">
        <f t="shared" si="0"/>
        <v>janeiro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4">
      <c r="A125" s="18" t="s">
        <v>594</v>
      </c>
      <c r="B125" s="19">
        <v>1</v>
      </c>
      <c r="C125" s="18" t="s">
        <v>179</v>
      </c>
      <c r="D125" s="18" t="s">
        <v>125</v>
      </c>
      <c r="E125" s="20">
        <v>46050</v>
      </c>
      <c r="F125" s="18" t="s">
        <v>144</v>
      </c>
      <c r="G125" s="18" t="s">
        <v>173</v>
      </c>
      <c r="H125" s="18" t="s">
        <v>592</v>
      </c>
      <c r="I125" s="17" t="str">
        <f t="shared" si="0"/>
        <v>janeiro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4">
      <c r="A126" s="18" t="s">
        <v>595</v>
      </c>
      <c r="B126" s="19">
        <v>1</v>
      </c>
      <c r="C126" s="18" t="s">
        <v>179</v>
      </c>
      <c r="D126" s="18" t="s">
        <v>224</v>
      </c>
      <c r="E126" s="20">
        <v>46043</v>
      </c>
      <c r="F126" s="18" t="s">
        <v>128</v>
      </c>
      <c r="G126" s="18" t="s">
        <v>225</v>
      </c>
      <c r="H126" s="18" t="s">
        <v>128</v>
      </c>
      <c r="I126" s="17" t="str">
        <f t="shared" si="0"/>
        <v>janeiro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4">
      <c r="A127" s="18" t="s">
        <v>596</v>
      </c>
      <c r="B127" s="19">
        <v>3</v>
      </c>
      <c r="C127" s="18" t="s">
        <v>153</v>
      </c>
      <c r="D127" s="18" t="s">
        <v>538</v>
      </c>
      <c r="E127" s="20">
        <v>46034</v>
      </c>
      <c r="F127" s="18" t="s">
        <v>156</v>
      </c>
      <c r="G127" s="18" t="s">
        <v>169</v>
      </c>
      <c r="H127" s="18" t="s">
        <v>319</v>
      </c>
      <c r="I127" s="17" t="str">
        <f t="shared" si="0"/>
        <v>janeiro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4">
      <c r="A128" s="18" t="s">
        <v>597</v>
      </c>
      <c r="B128" s="19">
        <v>3</v>
      </c>
      <c r="C128" s="18" t="s">
        <v>153</v>
      </c>
      <c r="D128" s="18" t="s">
        <v>260</v>
      </c>
      <c r="E128" s="20">
        <v>46027</v>
      </c>
      <c r="F128" s="18" t="s">
        <v>156</v>
      </c>
      <c r="G128" s="18" t="s">
        <v>169</v>
      </c>
      <c r="H128" s="18" t="s">
        <v>450</v>
      </c>
      <c r="I128" s="17" t="str">
        <f t="shared" si="0"/>
        <v>janeiro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4">
      <c r="A129" s="18" t="s">
        <v>254</v>
      </c>
      <c r="B129" s="19">
        <v>3</v>
      </c>
      <c r="C129" s="18" t="s">
        <v>153</v>
      </c>
      <c r="D129" s="18" t="s">
        <v>238</v>
      </c>
      <c r="E129" s="20">
        <v>46034</v>
      </c>
      <c r="F129" s="18" t="s">
        <v>144</v>
      </c>
      <c r="G129" s="18" t="s">
        <v>169</v>
      </c>
      <c r="H129" s="18" t="s">
        <v>240</v>
      </c>
      <c r="I129" s="17" t="str">
        <f t="shared" si="0"/>
        <v>janeiro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4">
      <c r="A130" s="18" t="s">
        <v>598</v>
      </c>
      <c r="B130" s="19">
        <v>1</v>
      </c>
      <c r="C130" s="18" t="s">
        <v>179</v>
      </c>
      <c r="D130" s="18" t="s">
        <v>482</v>
      </c>
      <c r="E130" s="20">
        <v>46050</v>
      </c>
      <c r="F130" s="18" t="s">
        <v>156</v>
      </c>
      <c r="G130" s="18" t="s">
        <v>173</v>
      </c>
      <c r="H130" s="18" t="s">
        <v>506</v>
      </c>
      <c r="I130" s="17" t="str">
        <f t="shared" si="0"/>
        <v>janeiro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4">
      <c r="A131" s="18" t="s">
        <v>599</v>
      </c>
      <c r="B131" s="19">
        <v>1</v>
      </c>
      <c r="C131" s="18" t="s">
        <v>179</v>
      </c>
      <c r="D131" s="18" t="s">
        <v>441</v>
      </c>
      <c r="E131" s="20">
        <v>46043</v>
      </c>
      <c r="F131" s="18" t="s">
        <v>128</v>
      </c>
      <c r="G131" s="18" t="s">
        <v>169</v>
      </c>
      <c r="H131" s="18" t="s">
        <v>128</v>
      </c>
      <c r="I131" s="17" t="str">
        <f t="shared" si="0"/>
        <v>janeiro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4">
      <c r="A132" s="18" t="s">
        <v>600</v>
      </c>
      <c r="B132" s="19">
        <v>1</v>
      </c>
      <c r="C132" s="18" t="s">
        <v>121</v>
      </c>
      <c r="D132" s="18" t="s">
        <v>601</v>
      </c>
      <c r="E132" s="20">
        <v>46034</v>
      </c>
      <c r="F132" s="18" t="s">
        <v>128</v>
      </c>
      <c r="G132" s="18" t="s">
        <v>169</v>
      </c>
      <c r="H132" s="18" t="s">
        <v>128</v>
      </c>
      <c r="I132" s="17" t="str">
        <f t="shared" si="0"/>
        <v>janeiro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4">
      <c r="A133" s="18" t="s">
        <v>602</v>
      </c>
      <c r="B133" s="19">
        <v>1</v>
      </c>
      <c r="C133" s="18" t="s">
        <v>179</v>
      </c>
      <c r="D133" s="18" t="s">
        <v>441</v>
      </c>
      <c r="E133" s="20">
        <v>46043</v>
      </c>
      <c r="F133" s="18" t="s">
        <v>128</v>
      </c>
      <c r="G133" s="18" t="s">
        <v>169</v>
      </c>
      <c r="H133" s="18" t="s">
        <v>128</v>
      </c>
      <c r="I133" s="17" t="str">
        <f t="shared" si="0"/>
        <v>janeiro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4">
      <c r="A134" s="18" t="s">
        <v>603</v>
      </c>
      <c r="B134" s="19">
        <v>2</v>
      </c>
      <c r="C134" s="18" t="s">
        <v>179</v>
      </c>
      <c r="D134" s="18" t="s">
        <v>482</v>
      </c>
      <c r="E134" s="20">
        <v>46050</v>
      </c>
      <c r="F134" s="18" t="s">
        <v>156</v>
      </c>
      <c r="G134" s="18" t="s">
        <v>173</v>
      </c>
      <c r="H134" s="18" t="s">
        <v>348</v>
      </c>
      <c r="I134" s="17" t="str">
        <f t="shared" si="0"/>
        <v>janeiro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4">
      <c r="A135" s="18" t="s">
        <v>604</v>
      </c>
      <c r="B135" s="19">
        <v>1</v>
      </c>
      <c r="C135" s="18" t="s">
        <v>121</v>
      </c>
      <c r="D135" s="18" t="s">
        <v>155</v>
      </c>
      <c r="E135" s="20">
        <v>46037</v>
      </c>
      <c r="F135" s="18" t="s">
        <v>128</v>
      </c>
      <c r="G135" s="18" t="s">
        <v>605</v>
      </c>
      <c r="H135" s="18" t="s">
        <v>606</v>
      </c>
      <c r="I135" s="17" t="str">
        <f t="shared" si="0"/>
        <v>janeiro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4">
      <c r="A136" s="18" t="s">
        <v>242</v>
      </c>
      <c r="B136" s="19">
        <v>1</v>
      </c>
      <c r="C136" s="18" t="s">
        <v>121</v>
      </c>
      <c r="D136" s="18" t="s">
        <v>243</v>
      </c>
      <c r="E136" s="20">
        <v>46051</v>
      </c>
      <c r="F136" s="18" t="s">
        <v>144</v>
      </c>
      <c r="G136" s="18" t="s">
        <v>145</v>
      </c>
      <c r="H136" s="18" t="s">
        <v>244</v>
      </c>
      <c r="I136" s="17" t="str">
        <f t="shared" si="0"/>
        <v>janeiro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4">
      <c r="A137" s="18" t="s">
        <v>402</v>
      </c>
      <c r="B137" s="19">
        <v>3</v>
      </c>
      <c r="C137" s="18" t="s">
        <v>153</v>
      </c>
      <c r="D137" s="18" t="s">
        <v>224</v>
      </c>
      <c r="E137" s="20">
        <v>46051</v>
      </c>
      <c r="F137" s="18" t="s">
        <v>156</v>
      </c>
      <c r="G137" s="18" t="s">
        <v>169</v>
      </c>
      <c r="H137" s="18" t="s">
        <v>406</v>
      </c>
      <c r="I137" s="17" t="str">
        <f t="shared" si="0"/>
        <v>janeiro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4">
      <c r="A138" s="18" t="s">
        <v>607</v>
      </c>
      <c r="B138" s="19">
        <v>1</v>
      </c>
      <c r="C138" s="18" t="s">
        <v>153</v>
      </c>
      <c r="D138" s="18" t="s">
        <v>538</v>
      </c>
      <c r="E138" s="20">
        <v>46041</v>
      </c>
      <c r="F138" s="18" t="s">
        <v>156</v>
      </c>
      <c r="G138" s="18" t="s">
        <v>169</v>
      </c>
      <c r="H138" s="18" t="s">
        <v>450</v>
      </c>
      <c r="I138" s="17" t="str">
        <f t="shared" si="0"/>
        <v>janeiro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4">
      <c r="A139" s="18" t="s">
        <v>608</v>
      </c>
      <c r="B139" s="19">
        <v>1</v>
      </c>
      <c r="C139" s="18" t="s">
        <v>179</v>
      </c>
      <c r="D139" s="18" t="s">
        <v>482</v>
      </c>
      <c r="E139" s="20">
        <v>46036</v>
      </c>
      <c r="F139" s="18" t="s">
        <v>156</v>
      </c>
      <c r="G139" s="18" t="s">
        <v>173</v>
      </c>
      <c r="H139" s="18" t="s">
        <v>609</v>
      </c>
      <c r="I139" s="17" t="str">
        <f t="shared" si="0"/>
        <v>janeiro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4">
      <c r="A140" s="18" t="s">
        <v>610</v>
      </c>
      <c r="B140" s="19">
        <v>3</v>
      </c>
      <c r="C140" s="18" t="s">
        <v>179</v>
      </c>
      <c r="D140" s="18" t="s">
        <v>482</v>
      </c>
      <c r="E140" s="20">
        <v>46050</v>
      </c>
      <c r="F140" s="18" t="s">
        <v>156</v>
      </c>
      <c r="G140" s="18" t="s">
        <v>173</v>
      </c>
      <c r="H140" s="18" t="s">
        <v>611</v>
      </c>
      <c r="I140" s="17" t="str">
        <f t="shared" si="0"/>
        <v>janeiro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4">
      <c r="A141" s="21" t="s">
        <v>612</v>
      </c>
      <c r="B141" s="22">
        <v>3</v>
      </c>
      <c r="C141" s="23" t="s">
        <v>165</v>
      </c>
      <c r="D141" s="23" t="s">
        <v>613</v>
      </c>
      <c r="E141" s="24">
        <v>46188</v>
      </c>
      <c r="F141" s="23" t="s">
        <v>156</v>
      </c>
      <c r="G141" s="23" t="s">
        <v>169</v>
      </c>
      <c r="H141" s="23" t="s">
        <v>450</v>
      </c>
      <c r="I141" s="17" t="str">
        <f t="shared" si="0"/>
        <v>junho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4">
      <c r="A142" s="18" t="s">
        <v>614</v>
      </c>
      <c r="B142" s="19">
        <v>1</v>
      </c>
      <c r="C142" s="18" t="s">
        <v>121</v>
      </c>
      <c r="D142" s="18" t="s">
        <v>615</v>
      </c>
      <c r="E142" s="20">
        <v>46174</v>
      </c>
      <c r="F142" s="18" t="s">
        <v>144</v>
      </c>
      <c r="G142" s="18" t="s">
        <v>616</v>
      </c>
      <c r="H142" s="18" t="s">
        <v>617</v>
      </c>
      <c r="I142" s="17" t="str">
        <f t="shared" si="0"/>
        <v>junho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3.8">
      <c r="A143" s="23" t="s">
        <v>618</v>
      </c>
      <c r="B143" s="22">
        <v>4</v>
      </c>
      <c r="C143" s="23" t="s">
        <v>471</v>
      </c>
      <c r="D143" s="23" t="s">
        <v>619</v>
      </c>
      <c r="E143" s="24">
        <v>46190</v>
      </c>
      <c r="F143" s="23" t="s">
        <v>128</v>
      </c>
      <c r="G143" s="23" t="s">
        <v>169</v>
      </c>
      <c r="H143" s="23" t="s">
        <v>620</v>
      </c>
      <c r="I143" s="17" t="str">
        <f t="shared" si="0"/>
        <v>junho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4">
      <c r="A144" s="18" t="s">
        <v>621</v>
      </c>
      <c r="B144" s="19">
        <v>4</v>
      </c>
      <c r="C144" s="18" t="s">
        <v>299</v>
      </c>
      <c r="D144" s="18" t="s">
        <v>622</v>
      </c>
      <c r="E144" s="20">
        <v>46181</v>
      </c>
      <c r="F144" s="18" t="s">
        <v>128</v>
      </c>
      <c r="G144" s="18" t="s">
        <v>169</v>
      </c>
      <c r="H144" s="18" t="s">
        <v>620</v>
      </c>
      <c r="I144" s="17" t="str">
        <f t="shared" si="0"/>
        <v>junho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4">
      <c r="A145" s="18" t="s">
        <v>623</v>
      </c>
      <c r="B145" s="19">
        <v>4</v>
      </c>
      <c r="C145" s="18" t="s">
        <v>153</v>
      </c>
      <c r="D145" s="18" t="s">
        <v>624</v>
      </c>
      <c r="E145" s="20">
        <v>46177</v>
      </c>
      <c r="F145" s="18" t="s">
        <v>156</v>
      </c>
      <c r="G145" s="18" t="s">
        <v>169</v>
      </c>
      <c r="H145" s="18" t="s">
        <v>492</v>
      </c>
      <c r="I145" s="17" t="str">
        <f t="shared" si="0"/>
        <v>junho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4">
      <c r="A146" s="18" t="s">
        <v>625</v>
      </c>
      <c r="B146" s="19">
        <v>3</v>
      </c>
      <c r="C146" s="18" t="s">
        <v>153</v>
      </c>
      <c r="D146" s="18" t="s">
        <v>626</v>
      </c>
      <c r="E146" s="20">
        <v>46188</v>
      </c>
      <c r="F146" s="18" t="s">
        <v>128</v>
      </c>
      <c r="G146" s="18" t="s">
        <v>169</v>
      </c>
      <c r="H146" s="18" t="s">
        <v>627</v>
      </c>
      <c r="I146" s="17" t="str">
        <f t="shared" si="0"/>
        <v>junho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4">
      <c r="A147" s="18" t="s">
        <v>628</v>
      </c>
      <c r="B147" s="19">
        <v>3</v>
      </c>
      <c r="C147" s="18" t="s">
        <v>121</v>
      </c>
      <c r="D147" s="18" t="s">
        <v>313</v>
      </c>
      <c r="E147" s="20">
        <v>46174</v>
      </c>
      <c r="F147" s="18" t="s">
        <v>156</v>
      </c>
      <c r="G147" s="18" t="s">
        <v>225</v>
      </c>
      <c r="H147" s="18" t="s">
        <v>450</v>
      </c>
      <c r="I147" s="17" t="str">
        <f t="shared" si="0"/>
        <v>junho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4">
      <c r="A148" s="18" t="s">
        <v>629</v>
      </c>
      <c r="B148" s="19">
        <v>2</v>
      </c>
      <c r="C148" s="18" t="s">
        <v>121</v>
      </c>
      <c r="D148" s="18" t="s">
        <v>482</v>
      </c>
      <c r="E148" s="20">
        <v>46188</v>
      </c>
      <c r="F148" s="18" t="s">
        <v>156</v>
      </c>
      <c r="G148" s="18" t="s">
        <v>261</v>
      </c>
      <c r="H148" s="18" t="s">
        <v>630</v>
      </c>
      <c r="I148" s="17" t="str">
        <f t="shared" si="0"/>
        <v>junho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4">
      <c r="A149" s="18" t="s">
        <v>631</v>
      </c>
      <c r="B149" s="19">
        <v>1</v>
      </c>
      <c r="C149" s="18" t="s">
        <v>165</v>
      </c>
      <c r="D149" s="18" t="s">
        <v>632</v>
      </c>
      <c r="E149" s="20">
        <v>46188</v>
      </c>
      <c r="F149" s="18" t="s">
        <v>144</v>
      </c>
      <c r="G149" s="18" t="s">
        <v>169</v>
      </c>
      <c r="H149" s="18" t="s">
        <v>633</v>
      </c>
      <c r="I149" s="17" t="str">
        <f t="shared" si="0"/>
        <v>junho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4">
      <c r="A150" s="18" t="s">
        <v>634</v>
      </c>
      <c r="B150" s="19">
        <v>3</v>
      </c>
      <c r="C150" s="18" t="s">
        <v>153</v>
      </c>
      <c r="D150" s="18" t="s">
        <v>482</v>
      </c>
      <c r="E150" s="20">
        <v>46175</v>
      </c>
      <c r="F150" s="18" t="s">
        <v>156</v>
      </c>
      <c r="G150" s="18" t="s">
        <v>169</v>
      </c>
      <c r="H150" s="18" t="s">
        <v>635</v>
      </c>
      <c r="I150" s="17" t="str">
        <f t="shared" si="0"/>
        <v>junho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4">
      <c r="A151" s="18" t="s">
        <v>636</v>
      </c>
      <c r="B151" s="19">
        <v>3</v>
      </c>
      <c r="C151" s="18" t="s">
        <v>153</v>
      </c>
      <c r="D151" s="18" t="s">
        <v>387</v>
      </c>
      <c r="E151" s="20">
        <v>46183</v>
      </c>
      <c r="F151" s="18" t="s">
        <v>156</v>
      </c>
      <c r="G151" s="18" t="s">
        <v>169</v>
      </c>
      <c r="H151" s="18" t="s">
        <v>492</v>
      </c>
      <c r="I151" s="17" t="str">
        <f t="shared" si="0"/>
        <v>junho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4">
      <c r="A152" s="18" t="s">
        <v>182</v>
      </c>
      <c r="B152" s="19">
        <v>3</v>
      </c>
      <c r="C152" s="18" t="s">
        <v>153</v>
      </c>
      <c r="D152" s="18" t="s">
        <v>637</v>
      </c>
      <c r="E152" s="20">
        <v>46188</v>
      </c>
      <c r="F152" s="18" t="s">
        <v>156</v>
      </c>
      <c r="G152" s="18" t="s">
        <v>616</v>
      </c>
      <c r="H152" s="18" t="s">
        <v>638</v>
      </c>
      <c r="I152" s="17" t="str">
        <f t="shared" si="0"/>
        <v>junho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4">
      <c r="A153" s="23" t="s">
        <v>639</v>
      </c>
      <c r="B153" s="22">
        <v>1</v>
      </c>
      <c r="C153" s="18" t="s">
        <v>121</v>
      </c>
      <c r="D153" s="23" t="s">
        <v>632</v>
      </c>
      <c r="E153" s="24">
        <v>46191</v>
      </c>
      <c r="F153" s="23" t="s">
        <v>144</v>
      </c>
      <c r="G153" s="18" t="s">
        <v>169</v>
      </c>
      <c r="H153" s="21" t="s">
        <v>633</v>
      </c>
      <c r="I153" s="17" t="str">
        <f t="shared" si="0"/>
        <v>junho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4">
      <c r="A154" s="18" t="s">
        <v>640</v>
      </c>
      <c r="B154" s="19">
        <v>1</v>
      </c>
      <c r="C154" s="18" t="s">
        <v>121</v>
      </c>
      <c r="D154" s="18" t="s">
        <v>125</v>
      </c>
      <c r="E154" s="20">
        <v>46146</v>
      </c>
      <c r="F154" s="18" t="s">
        <v>128</v>
      </c>
      <c r="G154" s="17"/>
      <c r="H154" s="18" t="s">
        <v>240</v>
      </c>
      <c r="I154" s="17" t="str">
        <f t="shared" si="0"/>
        <v>maio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4">
      <c r="A155" s="18" t="s">
        <v>641</v>
      </c>
      <c r="B155" s="19">
        <v>1</v>
      </c>
      <c r="C155" s="18" t="s">
        <v>165</v>
      </c>
      <c r="D155" s="18" t="s">
        <v>615</v>
      </c>
      <c r="E155" s="20">
        <v>46155</v>
      </c>
      <c r="F155" s="18" t="s">
        <v>128</v>
      </c>
      <c r="G155" s="18" t="s">
        <v>616</v>
      </c>
      <c r="H155" s="18" t="s">
        <v>439</v>
      </c>
      <c r="I155" s="17" t="str">
        <f t="shared" si="0"/>
        <v>maio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4">
      <c r="A156" s="18" t="s">
        <v>642</v>
      </c>
      <c r="B156" s="19">
        <v>2</v>
      </c>
      <c r="C156" s="18" t="s">
        <v>153</v>
      </c>
      <c r="D156" s="18" t="s">
        <v>509</v>
      </c>
      <c r="E156" s="20">
        <v>46167</v>
      </c>
      <c r="F156" s="18" t="s">
        <v>144</v>
      </c>
      <c r="G156" s="18" t="s">
        <v>225</v>
      </c>
      <c r="H156" s="18" t="s">
        <v>643</v>
      </c>
      <c r="I156" s="17" t="str">
        <f t="shared" si="0"/>
        <v>maio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4">
      <c r="A157" s="18" t="s">
        <v>644</v>
      </c>
      <c r="B157" s="19">
        <v>1</v>
      </c>
      <c r="C157" s="18" t="s">
        <v>471</v>
      </c>
      <c r="D157" s="18" t="s">
        <v>463</v>
      </c>
      <c r="E157" s="20">
        <v>46153</v>
      </c>
      <c r="F157" s="18" t="s">
        <v>128</v>
      </c>
      <c r="G157" s="18" t="s">
        <v>261</v>
      </c>
      <c r="H157" s="18" t="s">
        <v>645</v>
      </c>
      <c r="I157" s="17" t="str">
        <f t="shared" si="0"/>
        <v>maio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4">
      <c r="A158" s="18" t="s">
        <v>646</v>
      </c>
      <c r="B158" s="19">
        <v>2</v>
      </c>
      <c r="C158" s="18" t="s">
        <v>121</v>
      </c>
      <c r="D158" s="18" t="s">
        <v>647</v>
      </c>
      <c r="E158" s="20">
        <v>46162</v>
      </c>
      <c r="F158" s="18" t="s">
        <v>156</v>
      </c>
      <c r="G158" s="18" t="s">
        <v>516</v>
      </c>
      <c r="H158" s="18" t="s">
        <v>648</v>
      </c>
      <c r="I158" s="17" t="str">
        <f t="shared" si="0"/>
        <v>maio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4">
      <c r="A159" s="18" t="s">
        <v>454</v>
      </c>
      <c r="B159" s="19">
        <v>1</v>
      </c>
      <c r="C159" s="18" t="s">
        <v>165</v>
      </c>
      <c r="D159" s="18" t="s">
        <v>455</v>
      </c>
      <c r="E159" s="20">
        <v>46167</v>
      </c>
      <c r="F159" s="18" t="s">
        <v>128</v>
      </c>
      <c r="G159" s="18" t="s">
        <v>335</v>
      </c>
      <c r="H159" s="18" t="s">
        <v>649</v>
      </c>
      <c r="I159" s="17" t="str">
        <f t="shared" si="0"/>
        <v>maio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4">
      <c r="A160" s="18" t="s">
        <v>650</v>
      </c>
      <c r="B160" s="19">
        <v>3</v>
      </c>
      <c r="C160" s="18" t="s">
        <v>153</v>
      </c>
      <c r="D160" s="18" t="s">
        <v>651</v>
      </c>
      <c r="E160" s="20">
        <v>46147</v>
      </c>
      <c r="F160" s="18" t="s">
        <v>156</v>
      </c>
      <c r="G160" s="18" t="s">
        <v>616</v>
      </c>
      <c r="H160" s="18" t="s">
        <v>652</v>
      </c>
      <c r="I160" s="17" t="str">
        <f t="shared" si="0"/>
        <v>maio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4">
      <c r="A161" s="18" t="s">
        <v>653</v>
      </c>
      <c r="B161" s="19">
        <v>2</v>
      </c>
      <c r="C161" s="18" t="s">
        <v>121</v>
      </c>
      <c r="D161" s="18" t="s">
        <v>482</v>
      </c>
      <c r="E161" s="20">
        <v>46156</v>
      </c>
      <c r="F161" s="18" t="s">
        <v>156</v>
      </c>
      <c r="G161" s="18" t="s">
        <v>182</v>
      </c>
      <c r="H161" s="18" t="s">
        <v>654</v>
      </c>
      <c r="I161" s="17" t="str">
        <f t="shared" si="0"/>
        <v>maio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4">
      <c r="A162" s="18" t="s">
        <v>655</v>
      </c>
      <c r="B162" s="19">
        <v>1</v>
      </c>
      <c r="C162" s="18" t="s">
        <v>153</v>
      </c>
      <c r="D162" s="18" t="s">
        <v>656</v>
      </c>
      <c r="E162" s="20">
        <v>46160</v>
      </c>
      <c r="F162" s="18" t="s">
        <v>128</v>
      </c>
      <c r="G162" s="18" t="s">
        <v>169</v>
      </c>
      <c r="H162" s="18" t="s">
        <v>645</v>
      </c>
      <c r="I162" s="17" t="str">
        <f t="shared" si="0"/>
        <v>maio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4">
      <c r="A163" s="18" t="s">
        <v>657</v>
      </c>
      <c r="B163" s="19">
        <v>1</v>
      </c>
      <c r="C163" s="18" t="s">
        <v>121</v>
      </c>
      <c r="D163" s="18" t="s">
        <v>125</v>
      </c>
      <c r="E163" s="20">
        <v>46147</v>
      </c>
      <c r="F163" s="18" t="s">
        <v>128</v>
      </c>
      <c r="G163" s="17"/>
      <c r="H163" s="18" t="s">
        <v>658</v>
      </c>
      <c r="I163" s="17" t="str">
        <f t="shared" si="0"/>
        <v>maio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4">
      <c r="A164" s="18" t="s">
        <v>659</v>
      </c>
      <c r="B164" s="19">
        <v>3</v>
      </c>
      <c r="C164" s="18" t="s">
        <v>153</v>
      </c>
      <c r="D164" s="18" t="s">
        <v>615</v>
      </c>
      <c r="E164" s="20">
        <v>46170</v>
      </c>
      <c r="F164" s="18" t="s">
        <v>144</v>
      </c>
      <c r="G164" s="18" t="s">
        <v>616</v>
      </c>
      <c r="H164" s="18" t="s">
        <v>660</v>
      </c>
      <c r="I164" s="17" t="str">
        <f t="shared" si="0"/>
        <v>maio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4">
      <c r="A165" s="18" t="s">
        <v>661</v>
      </c>
      <c r="B165" s="19">
        <v>1</v>
      </c>
      <c r="C165" s="18" t="s">
        <v>121</v>
      </c>
      <c r="D165" s="18" t="s">
        <v>125</v>
      </c>
      <c r="E165" s="20">
        <v>46150</v>
      </c>
      <c r="F165" s="18" t="s">
        <v>128</v>
      </c>
      <c r="G165" s="17"/>
      <c r="H165" s="18" t="s">
        <v>498</v>
      </c>
      <c r="I165" s="17" t="str">
        <f t="shared" si="0"/>
        <v>maio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4">
      <c r="A166" s="18" t="s">
        <v>662</v>
      </c>
      <c r="B166" s="19">
        <v>1</v>
      </c>
      <c r="C166" s="18" t="s">
        <v>165</v>
      </c>
      <c r="D166" s="18" t="s">
        <v>125</v>
      </c>
      <c r="E166" s="20">
        <v>46155</v>
      </c>
      <c r="F166" s="18" t="s">
        <v>128</v>
      </c>
      <c r="G166" s="17"/>
      <c r="H166" s="18" t="s">
        <v>439</v>
      </c>
      <c r="I166" s="17" t="str">
        <f t="shared" si="0"/>
        <v>maio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4">
      <c r="A167" s="18" t="s">
        <v>663</v>
      </c>
      <c r="B167" s="19">
        <v>3</v>
      </c>
      <c r="C167" s="18" t="s">
        <v>471</v>
      </c>
      <c r="D167" s="18" t="s">
        <v>664</v>
      </c>
      <c r="E167" s="20">
        <v>46156</v>
      </c>
      <c r="F167" s="18" t="s">
        <v>156</v>
      </c>
      <c r="G167" s="18" t="s">
        <v>169</v>
      </c>
      <c r="H167" s="18" t="s">
        <v>654</v>
      </c>
      <c r="I167" s="17" t="str">
        <f t="shared" si="0"/>
        <v>maio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4">
      <c r="A168" s="18" t="s">
        <v>665</v>
      </c>
      <c r="B168" s="19">
        <v>2</v>
      </c>
      <c r="C168" s="18" t="s">
        <v>153</v>
      </c>
      <c r="D168" s="18" t="s">
        <v>666</v>
      </c>
      <c r="E168" s="20">
        <v>46146</v>
      </c>
      <c r="F168" s="18" t="s">
        <v>144</v>
      </c>
      <c r="G168" s="18" t="s">
        <v>169</v>
      </c>
      <c r="H168" s="18" t="s">
        <v>667</v>
      </c>
      <c r="I168" s="17" t="str">
        <f t="shared" si="0"/>
        <v>maio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4">
      <c r="A169" s="18" t="s">
        <v>668</v>
      </c>
      <c r="B169" s="19">
        <v>1</v>
      </c>
      <c r="C169" s="18" t="s">
        <v>179</v>
      </c>
      <c r="D169" s="18" t="s">
        <v>669</v>
      </c>
      <c r="E169" s="20">
        <v>46146</v>
      </c>
      <c r="F169" s="18" t="s">
        <v>128</v>
      </c>
      <c r="G169" s="18" t="s">
        <v>169</v>
      </c>
      <c r="H169" s="18" t="s">
        <v>301</v>
      </c>
      <c r="I169" s="17" t="str">
        <f t="shared" si="0"/>
        <v>maio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4">
      <c r="A170" s="18" t="s">
        <v>670</v>
      </c>
      <c r="B170" s="19">
        <v>2</v>
      </c>
      <c r="C170" s="18" t="s">
        <v>121</v>
      </c>
      <c r="D170" s="18" t="s">
        <v>482</v>
      </c>
      <c r="E170" s="20">
        <v>46153</v>
      </c>
      <c r="F170" s="18" t="s">
        <v>156</v>
      </c>
      <c r="G170" s="18" t="s">
        <v>182</v>
      </c>
      <c r="H170" s="18" t="s">
        <v>312</v>
      </c>
      <c r="I170" s="17" t="str">
        <f t="shared" si="0"/>
        <v>maio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4">
      <c r="A171" s="18" t="s">
        <v>671</v>
      </c>
      <c r="B171" s="19">
        <v>1</v>
      </c>
      <c r="C171" s="18" t="s">
        <v>121</v>
      </c>
      <c r="D171" s="18" t="s">
        <v>125</v>
      </c>
      <c r="E171" s="20">
        <v>46157</v>
      </c>
      <c r="F171" s="18" t="s">
        <v>144</v>
      </c>
      <c r="G171" s="18" t="s">
        <v>169</v>
      </c>
      <c r="H171" s="18" t="s">
        <v>672</v>
      </c>
      <c r="I171" s="17" t="str">
        <f t="shared" si="0"/>
        <v>maio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4">
      <c r="A172" s="18" t="s">
        <v>673</v>
      </c>
      <c r="B172" s="19">
        <v>3</v>
      </c>
      <c r="C172" s="18" t="s">
        <v>121</v>
      </c>
      <c r="D172" s="18" t="s">
        <v>482</v>
      </c>
      <c r="E172" s="20">
        <v>46149</v>
      </c>
      <c r="F172" s="18" t="s">
        <v>156</v>
      </c>
      <c r="G172" s="18" t="s">
        <v>225</v>
      </c>
      <c r="H172" s="18" t="s">
        <v>561</v>
      </c>
      <c r="I172" s="17" t="str">
        <f t="shared" si="0"/>
        <v>maio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4">
      <c r="A173" s="18" t="s">
        <v>402</v>
      </c>
      <c r="B173" s="19">
        <v>3</v>
      </c>
      <c r="C173" s="18" t="s">
        <v>153</v>
      </c>
      <c r="D173" s="18" t="s">
        <v>674</v>
      </c>
      <c r="E173" s="20">
        <v>46160</v>
      </c>
      <c r="F173" s="18" t="s">
        <v>156</v>
      </c>
      <c r="G173" s="18" t="s">
        <v>169</v>
      </c>
      <c r="H173" s="18" t="s">
        <v>675</v>
      </c>
      <c r="I173" s="17" t="str">
        <f t="shared" si="0"/>
        <v>maio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4">
      <c r="A174" s="18" t="s">
        <v>676</v>
      </c>
      <c r="B174" s="19">
        <v>3</v>
      </c>
      <c r="C174" s="18" t="s">
        <v>153</v>
      </c>
      <c r="D174" s="18" t="s">
        <v>545</v>
      </c>
      <c r="E174" s="20">
        <v>46104</v>
      </c>
      <c r="F174" s="18" t="s">
        <v>156</v>
      </c>
      <c r="G174" s="18" t="s">
        <v>173</v>
      </c>
      <c r="H174" s="18" t="s">
        <v>319</v>
      </c>
      <c r="I174" s="17" t="str">
        <f t="shared" si="0"/>
        <v>março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4">
      <c r="A175" s="18" t="s">
        <v>677</v>
      </c>
      <c r="B175" s="19">
        <v>3</v>
      </c>
      <c r="C175" s="18" t="s">
        <v>153</v>
      </c>
      <c r="D175" s="18" t="s">
        <v>482</v>
      </c>
      <c r="E175" s="20">
        <v>46104</v>
      </c>
      <c r="F175" s="18" t="s">
        <v>156</v>
      </c>
      <c r="G175" s="18" t="s">
        <v>169</v>
      </c>
      <c r="H175" s="18" t="s">
        <v>312</v>
      </c>
      <c r="I175" s="17" t="str">
        <f t="shared" si="0"/>
        <v>março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4">
      <c r="A176" s="18" t="s">
        <v>678</v>
      </c>
      <c r="B176" s="19">
        <v>1</v>
      </c>
      <c r="C176" s="18" t="s">
        <v>121</v>
      </c>
      <c r="D176" s="18" t="s">
        <v>125</v>
      </c>
      <c r="E176" s="20">
        <v>46090</v>
      </c>
      <c r="F176" s="18" t="s">
        <v>144</v>
      </c>
      <c r="G176" s="18" t="s">
        <v>616</v>
      </c>
      <c r="H176" s="18" t="s">
        <v>679</v>
      </c>
      <c r="I176" s="17" t="str">
        <f t="shared" si="0"/>
        <v>março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4">
      <c r="A177" s="18" t="s">
        <v>431</v>
      </c>
      <c r="B177" s="19">
        <v>2</v>
      </c>
      <c r="C177" s="18" t="s">
        <v>153</v>
      </c>
      <c r="D177" s="18" t="s">
        <v>432</v>
      </c>
      <c r="E177" s="20">
        <v>46085</v>
      </c>
      <c r="F177" s="18" t="s">
        <v>156</v>
      </c>
      <c r="G177" s="18" t="s">
        <v>169</v>
      </c>
      <c r="H177" s="18" t="s">
        <v>393</v>
      </c>
      <c r="I177" s="17" t="str">
        <f t="shared" si="0"/>
        <v>março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4">
      <c r="A178" s="18" t="s">
        <v>680</v>
      </c>
      <c r="B178" s="19">
        <v>1</v>
      </c>
      <c r="C178" s="18" t="s">
        <v>121</v>
      </c>
      <c r="D178" s="18" t="s">
        <v>615</v>
      </c>
      <c r="E178" s="20">
        <v>46090</v>
      </c>
      <c r="F178" s="18" t="s">
        <v>156</v>
      </c>
      <c r="G178" s="18" t="s">
        <v>616</v>
      </c>
      <c r="H178" s="18" t="s">
        <v>602</v>
      </c>
      <c r="I178" s="17" t="str">
        <f t="shared" si="0"/>
        <v>março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4">
      <c r="A179" s="18" t="s">
        <v>409</v>
      </c>
      <c r="B179" s="19">
        <v>1</v>
      </c>
      <c r="C179" s="18" t="s">
        <v>153</v>
      </c>
      <c r="D179" s="18" t="s">
        <v>681</v>
      </c>
      <c r="E179" s="20">
        <v>46091</v>
      </c>
      <c r="F179" s="18" t="s">
        <v>156</v>
      </c>
      <c r="G179" s="18" t="s">
        <v>225</v>
      </c>
      <c r="H179" s="18" t="s">
        <v>410</v>
      </c>
      <c r="I179" s="17" t="str">
        <f t="shared" si="0"/>
        <v>março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4">
      <c r="A180" s="18" t="s">
        <v>682</v>
      </c>
      <c r="B180" s="19">
        <v>2</v>
      </c>
      <c r="C180" s="18" t="s">
        <v>153</v>
      </c>
      <c r="D180" s="18" t="s">
        <v>192</v>
      </c>
      <c r="E180" s="20">
        <v>46085</v>
      </c>
      <c r="F180" s="18" t="s">
        <v>156</v>
      </c>
      <c r="G180" s="18" t="s">
        <v>169</v>
      </c>
      <c r="H180" s="18" t="s">
        <v>312</v>
      </c>
      <c r="I180" s="17" t="str">
        <f t="shared" si="0"/>
        <v>março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4">
      <c r="A181" s="18" t="s">
        <v>422</v>
      </c>
      <c r="B181" s="19">
        <v>3</v>
      </c>
      <c r="C181" s="18" t="s">
        <v>165</v>
      </c>
      <c r="D181" s="18" t="s">
        <v>423</v>
      </c>
      <c r="E181" s="20">
        <v>46090</v>
      </c>
      <c r="F181" s="18" t="s">
        <v>128</v>
      </c>
      <c r="G181" s="18" t="s">
        <v>424</v>
      </c>
      <c r="H181" s="18" t="s">
        <v>425</v>
      </c>
      <c r="I181" s="17" t="str">
        <f t="shared" si="0"/>
        <v>março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4">
      <c r="A182" s="18" t="s">
        <v>683</v>
      </c>
      <c r="B182" s="19">
        <v>2</v>
      </c>
      <c r="C182" s="18" t="s">
        <v>121</v>
      </c>
      <c r="D182" s="18" t="s">
        <v>125</v>
      </c>
      <c r="E182" s="20">
        <v>46085</v>
      </c>
      <c r="F182" s="18" t="s">
        <v>156</v>
      </c>
      <c r="G182" s="18" t="s">
        <v>169</v>
      </c>
      <c r="H182" s="18" t="s">
        <v>393</v>
      </c>
      <c r="I182" s="17" t="str">
        <f t="shared" si="0"/>
        <v>março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4">
      <c r="A183" s="18" t="s">
        <v>415</v>
      </c>
      <c r="B183" s="19">
        <v>1</v>
      </c>
      <c r="C183" s="18" t="s">
        <v>153</v>
      </c>
      <c r="D183" s="18" t="s">
        <v>199</v>
      </c>
      <c r="E183" s="20">
        <v>46091</v>
      </c>
      <c r="F183" s="18" t="s">
        <v>144</v>
      </c>
      <c r="G183" s="18" t="s">
        <v>169</v>
      </c>
      <c r="H183" s="18" t="s">
        <v>416</v>
      </c>
      <c r="I183" s="17" t="str">
        <f t="shared" si="0"/>
        <v>março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4">
      <c r="A184" s="18" t="s">
        <v>684</v>
      </c>
      <c r="B184" s="19">
        <v>2</v>
      </c>
      <c r="C184" s="18" t="s">
        <v>153</v>
      </c>
      <c r="D184" s="18" t="s">
        <v>545</v>
      </c>
      <c r="E184" s="20">
        <v>46097</v>
      </c>
      <c r="F184" s="18" t="s">
        <v>144</v>
      </c>
      <c r="G184" s="18" t="s">
        <v>173</v>
      </c>
      <c r="H184" s="18" t="s">
        <v>685</v>
      </c>
      <c r="I184" s="17" t="str">
        <f t="shared" si="0"/>
        <v>março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4">
      <c r="A185" s="18" t="s">
        <v>686</v>
      </c>
      <c r="B185" s="19">
        <v>2</v>
      </c>
      <c r="C185" s="18" t="s">
        <v>165</v>
      </c>
      <c r="D185" s="18" t="s">
        <v>441</v>
      </c>
      <c r="E185" s="20">
        <v>46098</v>
      </c>
      <c r="F185" s="18" t="s">
        <v>128</v>
      </c>
      <c r="G185" s="18" t="s">
        <v>169</v>
      </c>
      <c r="H185" s="18" t="s">
        <v>687</v>
      </c>
      <c r="I185" s="17" t="str">
        <f t="shared" si="0"/>
        <v>março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4">
      <c r="A186" s="18" t="s">
        <v>398</v>
      </c>
      <c r="B186" s="19">
        <v>5</v>
      </c>
      <c r="C186" s="18" t="s">
        <v>299</v>
      </c>
      <c r="D186" s="18" t="s">
        <v>647</v>
      </c>
      <c r="E186" s="20">
        <v>46094</v>
      </c>
      <c r="F186" s="18" t="s">
        <v>128</v>
      </c>
      <c r="G186" s="18" t="s">
        <v>193</v>
      </c>
      <c r="H186" s="18" t="s">
        <v>399</v>
      </c>
      <c r="I186" s="17" t="str">
        <f t="shared" si="0"/>
        <v>março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4">
      <c r="A187" s="18" t="s">
        <v>688</v>
      </c>
      <c r="B187" s="19">
        <v>1</v>
      </c>
      <c r="C187" s="18" t="s">
        <v>165</v>
      </c>
      <c r="D187" s="18" t="s">
        <v>230</v>
      </c>
      <c r="E187" s="20">
        <v>46090</v>
      </c>
      <c r="F187" s="18" t="s">
        <v>128</v>
      </c>
      <c r="G187" s="18" t="s">
        <v>424</v>
      </c>
      <c r="H187" s="18" t="s">
        <v>425</v>
      </c>
      <c r="I187" s="17" t="str">
        <f t="shared" si="0"/>
        <v>março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4">
      <c r="A188" s="18" t="s">
        <v>689</v>
      </c>
      <c r="B188" s="19">
        <v>1</v>
      </c>
      <c r="C188" s="18" t="s">
        <v>153</v>
      </c>
      <c r="D188" s="18" t="s">
        <v>690</v>
      </c>
      <c r="E188" s="20">
        <v>46104</v>
      </c>
      <c r="F188" s="18" t="s">
        <v>128</v>
      </c>
      <c r="G188" s="18" t="s">
        <v>444</v>
      </c>
      <c r="H188" s="18" t="s">
        <v>691</v>
      </c>
      <c r="I188" s="17" t="str">
        <f t="shared" si="0"/>
        <v>março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4">
      <c r="A189" s="18" t="s">
        <v>692</v>
      </c>
      <c r="B189" s="19">
        <v>3</v>
      </c>
      <c r="C189" s="18" t="s">
        <v>153</v>
      </c>
      <c r="D189" s="18" t="s">
        <v>432</v>
      </c>
      <c r="E189" s="20">
        <v>46105</v>
      </c>
      <c r="F189" s="18" t="s">
        <v>156</v>
      </c>
      <c r="G189" s="18" t="s">
        <v>169</v>
      </c>
      <c r="H189" s="18" t="s">
        <v>693</v>
      </c>
      <c r="I189" s="17" t="str">
        <f t="shared" si="0"/>
        <v>março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4">
      <c r="A190" s="18" t="s">
        <v>694</v>
      </c>
      <c r="B190" s="19">
        <v>2</v>
      </c>
      <c r="C190" s="18" t="s">
        <v>153</v>
      </c>
      <c r="D190" s="18" t="s">
        <v>695</v>
      </c>
      <c r="E190" s="20">
        <v>46111</v>
      </c>
      <c r="F190" s="18" t="s">
        <v>144</v>
      </c>
      <c r="G190" s="18" t="s">
        <v>360</v>
      </c>
      <c r="H190" s="18" t="s">
        <v>696</v>
      </c>
      <c r="I190" s="17" t="str">
        <f t="shared" si="0"/>
        <v>março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4">
      <c r="A191" s="18" t="s">
        <v>433</v>
      </c>
      <c r="B191" s="19">
        <v>1</v>
      </c>
      <c r="C191" s="18" t="s">
        <v>165</v>
      </c>
      <c r="D191" s="18" t="s">
        <v>434</v>
      </c>
      <c r="E191" s="20">
        <v>46091</v>
      </c>
      <c r="F191" s="18" t="s">
        <v>128</v>
      </c>
      <c r="G191" s="18" t="s">
        <v>225</v>
      </c>
      <c r="H191" s="18" t="s">
        <v>435</v>
      </c>
      <c r="I191" s="17" t="str">
        <f t="shared" si="0"/>
        <v>março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4">
      <c r="A192" s="18" t="s">
        <v>697</v>
      </c>
      <c r="B192" s="19">
        <v>1</v>
      </c>
      <c r="C192" s="18" t="s">
        <v>165</v>
      </c>
      <c r="D192" s="18" t="s">
        <v>698</v>
      </c>
      <c r="E192" s="20">
        <v>46086</v>
      </c>
      <c r="F192" s="18" t="s">
        <v>128</v>
      </c>
      <c r="G192" s="18" t="s">
        <v>225</v>
      </c>
      <c r="H192" s="18" t="s">
        <v>128</v>
      </c>
      <c r="I192" s="17" t="str">
        <f t="shared" si="0"/>
        <v>março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4">
      <c r="A193" s="18" t="s">
        <v>699</v>
      </c>
      <c r="B193" s="19">
        <v>2</v>
      </c>
      <c r="C193" s="18" t="s">
        <v>121</v>
      </c>
      <c r="D193" s="18" t="s">
        <v>125</v>
      </c>
      <c r="E193" s="20">
        <v>46085</v>
      </c>
      <c r="F193" s="18" t="s">
        <v>156</v>
      </c>
      <c r="G193" s="18" t="s">
        <v>169</v>
      </c>
      <c r="H193" s="18" t="s">
        <v>393</v>
      </c>
      <c r="I193" s="17" t="str">
        <f t="shared" si="0"/>
        <v>março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4">
      <c r="A194" s="18" t="s">
        <v>700</v>
      </c>
      <c r="B194" s="19">
        <v>2</v>
      </c>
      <c r="C194" s="18" t="s">
        <v>121</v>
      </c>
      <c r="D194" s="18" t="s">
        <v>482</v>
      </c>
      <c r="E194" s="20">
        <v>46094</v>
      </c>
      <c r="F194" s="18" t="s">
        <v>156</v>
      </c>
      <c r="G194" s="18" t="s">
        <v>169</v>
      </c>
      <c r="H194" s="18" t="s">
        <v>393</v>
      </c>
      <c r="I194" s="17" t="str">
        <f t="shared" si="0"/>
        <v>março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3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3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3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3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3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3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3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3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3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3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3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3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3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3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3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3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3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3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3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3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3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3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3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3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3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3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3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3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3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3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3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3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3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3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3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3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3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3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3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3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3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3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3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3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3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3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3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3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3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3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3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3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3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3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3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3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3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3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3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3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3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3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3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3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3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3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3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3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3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3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3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3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3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3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3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3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3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3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3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3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3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3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3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3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3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3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3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3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3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3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3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3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3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3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3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3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3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3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3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3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3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3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3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3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3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3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3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3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3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3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3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3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3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3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3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3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3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3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3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3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3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3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3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3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3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3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3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3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3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3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3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3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3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3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3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3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3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3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3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3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3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3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3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3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3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3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3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3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3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3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3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3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3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3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3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3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3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3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3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3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3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3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3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3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3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3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3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3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3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3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3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3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3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3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3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3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3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3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3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3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3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3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3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3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3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3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3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3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3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3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3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3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3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3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3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3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3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3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3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3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3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3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3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3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3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3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3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3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3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3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3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3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3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3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3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3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3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3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3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3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3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3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3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3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3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3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3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3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3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3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3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3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3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3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3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3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3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3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3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3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3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3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3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3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3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3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3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3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3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3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3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3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3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3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3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3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3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3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3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3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3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3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3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3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3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3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3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3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3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3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3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3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3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3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3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3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3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3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3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3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3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3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3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3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3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3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3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3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3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3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3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3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3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3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3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3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3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3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3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3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3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3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3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3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3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3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3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3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3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3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3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3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3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3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3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3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3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3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3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3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3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3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3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3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3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3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3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3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3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3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3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3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3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3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3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3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3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3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3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3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3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3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3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3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3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3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3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3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3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3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3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3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3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3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3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3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3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3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3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3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3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3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3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3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3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3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3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3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3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3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3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3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3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3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3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3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3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3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3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3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3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3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3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3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3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3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3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3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3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3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3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3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3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3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3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3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3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3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3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3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3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3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3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3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3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3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3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3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3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3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3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3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3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3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3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3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3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3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3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3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3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3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3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3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3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3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3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3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3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3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3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3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3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3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3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3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3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3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3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3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3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3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3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3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3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3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3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3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3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3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3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3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3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3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3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3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3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3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3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3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3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3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3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3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3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3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3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3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3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3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3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3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3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3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3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3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3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3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3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3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3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3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3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3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3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3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3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3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3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3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3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3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3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3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3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3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3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3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3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3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3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3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3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3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3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3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3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3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3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3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3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3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3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3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3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3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3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3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3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3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3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3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3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3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3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3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3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3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3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3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3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3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3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3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3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3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3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3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3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3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3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3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3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3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3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3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3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3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3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3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3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3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3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3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3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3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3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3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3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3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3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3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3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3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3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3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3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3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3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3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3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3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3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3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3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3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3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3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3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3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3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3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3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3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3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3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3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3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3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3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3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3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3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3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3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3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3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3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3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3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3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3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3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3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3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3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3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3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3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3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3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3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3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3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3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3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3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3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3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3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3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3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3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3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3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3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3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3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3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3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3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3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3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3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3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3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3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3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3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3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3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3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3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3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3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3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3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3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3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3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3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3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3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3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3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3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3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3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3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3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3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3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3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3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3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3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3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3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3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3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3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3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3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3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3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3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3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3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3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3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3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3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3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3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3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3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3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3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3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3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3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3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3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3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3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3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3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3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3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3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3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3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3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3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3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3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3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3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3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3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3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3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3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3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3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3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3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3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3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3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3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3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3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3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3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3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3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3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3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3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3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3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3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3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3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3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3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3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3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3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3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3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3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3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3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3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3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3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3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3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3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3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3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3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3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3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3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3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3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3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3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3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3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3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3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3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3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3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3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3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3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3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3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3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3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3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3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3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3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3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3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3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3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3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3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3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3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3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3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3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3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3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3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3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3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3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3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3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3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3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3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3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3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3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3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3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3.2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spans="1:26" ht="13.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spans="1:26" ht="13.2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3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44140625" customWidth="1"/>
    <col min="2" max="2" width="20.44140625" customWidth="1"/>
    <col min="3" max="3" width="17.77734375" customWidth="1"/>
    <col min="4" max="4" width="12.77734375" customWidth="1"/>
    <col min="5" max="6" width="14.77734375" customWidth="1"/>
    <col min="7" max="7" width="16.33203125" customWidth="1"/>
  </cols>
  <sheetData>
    <row r="1" spans="1:13">
      <c r="A1" s="25" t="s">
        <v>0</v>
      </c>
      <c r="B1" s="26" t="s">
        <v>1</v>
      </c>
      <c r="C1" s="27" t="s">
        <v>31</v>
      </c>
      <c r="D1" s="28" t="s">
        <v>7</v>
      </c>
      <c r="E1" s="25" t="s">
        <v>109</v>
      </c>
      <c r="F1" s="25" t="s">
        <v>23</v>
      </c>
      <c r="G1" s="29" t="s">
        <v>58</v>
      </c>
      <c r="H1" s="30"/>
      <c r="I1" s="30"/>
      <c r="J1" s="30"/>
      <c r="K1" s="30"/>
      <c r="L1" s="30"/>
      <c r="M1" s="30"/>
    </row>
    <row r="2" spans="1:13">
      <c r="A2" s="30" t="s">
        <v>233</v>
      </c>
      <c r="B2" s="31" t="s">
        <v>234</v>
      </c>
      <c r="C2" s="31" t="s">
        <v>236</v>
      </c>
      <c r="D2" s="28" t="s">
        <v>235</v>
      </c>
      <c r="E2" s="30" t="s">
        <v>139</v>
      </c>
      <c r="F2" s="30" t="s">
        <v>156</v>
      </c>
      <c r="G2" s="30"/>
      <c r="H2" s="30"/>
      <c r="I2" s="30"/>
      <c r="J2" s="30"/>
      <c r="K2" s="30"/>
      <c r="L2" s="30"/>
      <c r="M2" s="30"/>
    </row>
    <row r="3" spans="1:13">
      <c r="A3" s="31" t="s">
        <v>402</v>
      </c>
      <c r="B3" s="31" t="s">
        <v>403</v>
      </c>
      <c r="C3" s="31" t="s">
        <v>406</v>
      </c>
      <c r="D3" s="32" t="s">
        <v>224</v>
      </c>
      <c r="E3" s="30" t="s">
        <v>274</v>
      </c>
      <c r="F3" s="30" t="s">
        <v>156</v>
      </c>
      <c r="G3" s="30"/>
      <c r="H3" s="30"/>
      <c r="I3" s="30"/>
      <c r="J3" s="30"/>
      <c r="K3" s="30"/>
      <c r="L3" s="30"/>
      <c r="M3" s="30"/>
    </row>
    <row r="4" spans="1:13">
      <c r="A4" s="31" t="s">
        <v>242</v>
      </c>
      <c r="B4" s="31" t="s">
        <v>164</v>
      </c>
      <c r="C4" s="31" t="s">
        <v>244</v>
      </c>
      <c r="D4" s="32" t="s">
        <v>243</v>
      </c>
      <c r="E4" s="30" t="s">
        <v>139</v>
      </c>
      <c r="F4" s="30" t="s">
        <v>144</v>
      </c>
      <c r="G4" s="30"/>
      <c r="H4" s="30"/>
      <c r="I4" s="30"/>
      <c r="J4" s="30"/>
      <c r="K4" s="30"/>
      <c r="L4" s="30"/>
      <c r="M4" s="30"/>
    </row>
    <row r="5" spans="1:13">
      <c r="A5" s="31" t="s">
        <v>433</v>
      </c>
      <c r="B5" s="31"/>
      <c r="C5" s="31" t="s">
        <v>435</v>
      </c>
      <c r="D5" s="32" t="s">
        <v>434</v>
      </c>
      <c r="E5" s="30" t="s">
        <v>274</v>
      </c>
      <c r="F5" s="30" t="s">
        <v>128</v>
      </c>
      <c r="G5" s="30"/>
      <c r="H5" s="30"/>
      <c r="I5" s="30"/>
      <c r="J5" s="30"/>
      <c r="K5" s="30"/>
      <c r="L5" s="30"/>
      <c r="M5" s="30"/>
    </row>
    <row r="6" spans="1:13">
      <c r="A6" s="31" t="s">
        <v>311</v>
      </c>
      <c r="B6" s="31" t="s">
        <v>312</v>
      </c>
      <c r="C6" s="31" t="s">
        <v>312</v>
      </c>
      <c r="D6" s="32" t="s">
        <v>313</v>
      </c>
      <c r="E6" s="30" t="s">
        <v>297</v>
      </c>
      <c r="F6" s="30" t="s">
        <v>156</v>
      </c>
      <c r="G6" s="30"/>
      <c r="H6" s="30"/>
      <c r="I6" s="30"/>
      <c r="J6" s="30"/>
      <c r="K6" s="30"/>
      <c r="L6" s="30"/>
      <c r="M6" s="30"/>
    </row>
    <row r="7" spans="1:13">
      <c r="A7" s="31" t="s">
        <v>315</v>
      </c>
      <c r="B7" s="31" t="s">
        <v>316</v>
      </c>
      <c r="C7" s="31" t="s">
        <v>319</v>
      </c>
      <c r="D7" s="32" t="s">
        <v>317</v>
      </c>
      <c r="E7" s="30" t="s">
        <v>297</v>
      </c>
      <c r="F7" s="30" t="s">
        <v>156</v>
      </c>
      <c r="G7" s="30"/>
      <c r="H7" s="30"/>
      <c r="I7" s="30"/>
      <c r="J7" s="30"/>
      <c r="K7" s="30"/>
      <c r="L7" s="30"/>
      <c r="M7" s="30"/>
    </row>
    <row r="8" spans="1:13">
      <c r="A8" s="31" t="s">
        <v>254</v>
      </c>
      <c r="B8" s="31" t="s">
        <v>141</v>
      </c>
      <c r="C8" s="31" t="s">
        <v>240</v>
      </c>
      <c r="D8" s="32" t="s">
        <v>238</v>
      </c>
      <c r="E8" s="30" t="s">
        <v>139</v>
      </c>
      <c r="F8" s="30" t="s">
        <v>144</v>
      </c>
      <c r="G8" s="30"/>
      <c r="H8" s="30"/>
      <c r="I8" s="30"/>
      <c r="J8" s="30"/>
      <c r="K8" s="30"/>
      <c r="L8" s="30"/>
      <c r="M8" s="30"/>
    </row>
    <row r="9" spans="1:13">
      <c r="A9" s="31" t="s">
        <v>245</v>
      </c>
      <c r="B9" s="31"/>
      <c r="C9" s="31" t="s">
        <v>247</v>
      </c>
      <c r="D9" s="32" t="s">
        <v>246</v>
      </c>
      <c r="E9" s="30" t="s">
        <v>139</v>
      </c>
      <c r="F9" s="30" t="s">
        <v>156</v>
      </c>
      <c r="G9" s="30"/>
      <c r="H9" s="30"/>
      <c r="I9" s="30"/>
      <c r="J9" s="30"/>
      <c r="K9" s="30"/>
      <c r="L9" s="30"/>
      <c r="M9" s="30"/>
    </row>
    <row r="10" spans="1:13">
      <c r="A10" s="31" t="s">
        <v>328</v>
      </c>
      <c r="B10" s="31" t="s">
        <v>141</v>
      </c>
      <c r="C10" s="31" t="s">
        <v>331</v>
      </c>
      <c r="D10" s="32" t="s">
        <v>125</v>
      </c>
      <c r="E10" s="30" t="s">
        <v>297</v>
      </c>
      <c r="F10" s="30" t="s">
        <v>144</v>
      </c>
      <c r="G10" s="30"/>
      <c r="H10" s="30"/>
      <c r="I10" s="30"/>
      <c r="J10" s="30"/>
      <c r="K10" s="30"/>
      <c r="L10" s="30"/>
      <c r="M10" s="30"/>
    </row>
    <row r="11" spans="1:13">
      <c r="A11" s="31" t="s">
        <v>375</v>
      </c>
      <c r="B11" s="31" t="s">
        <v>376</v>
      </c>
      <c r="C11" s="31" t="s">
        <v>377</v>
      </c>
      <c r="D11" s="32" t="s">
        <v>267</v>
      </c>
      <c r="E11" s="30" t="s">
        <v>297</v>
      </c>
      <c r="F11" s="30" t="s">
        <v>156</v>
      </c>
      <c r="G11" s="30"/>
      <c r="H11" s="30"/>
      <c r="I11" s="30"/>
      <c r="J11" s="30"/>
      <c r="K11" s="30"/>
      <c r="L11" s="30"/>
      <c r="M11" s="30"/>
    </row>
    <row r="12" spans="1:13">
      <c r="A12" s="31" t="s">
        <v>259</v>
      </c>
      <c r="B12" s="31" t="s">
        <v>141</v>
      </c>
      <c r="C12" s="31" t="s">
        <v>262</v>
      </c>
      <c r="D12" s="32" t="s">
        <v>260</v>
      </c>
      <c r="E12" s="30" t="s">
        <v>139</v>
      </c>
      <c r="F12" s="30" t="s">
        <v>156</v>
      </c>
      <c r="G12" s="30"/>
      <c r="H12" s="30"/>
      <c r="I12" s="30"/>
      <c r="J12" s="30"/>
      <c r="K12" s="30"/>
      <c r="L12" s="30"/>
      <c r="M12" s="30"/>
    </row>
    <row r="13" spans="1:13">
      <c r="A13" s="31" t="s">
        <v>189</v>
      </c>
      <c r="B13" s="31" t="s">
        <v>164</v>
      </c>
      <c r="C13" s="31" t="s">
        <v>194</v>
      </c>
      <c r="D13" s="32" t="s">
        <v>192</v>
      </c>
      <c r="E13" s="30" t="s">
        <v>139</v>
      </c>
      <c r="F13" s="30" t="s">
        <v>144</v>
      </c>
      <c r="G13" s="30"/>
      <c r="H13" s="30"/>
      <c r="I13" s="30"/>
      <c r="J13" s="30"/>
      <c r="K13" s="30"/>
      <c r="L13" s="30"/>
      <c r="M13" s="30"/>
    </row>
    <row r="14" spans="1:13">
      <c r="A14" s="31" t="s">
        <v>222</v>
      </c>
      <c r="B14" s="31" t="s">
        <v>223</v>
      </c>
      <c r="C14" s="27" t="s">
        <v>561</v>
      </c>
      <c r="D14" s="32" t="s">
        <v>224</v>
      </c>
      <c r="E14" s="30" t="s">
        <v>139</v>
      </c>
      <c r="F14" s="30" t="s">
        <v>156</v>
      </c>
      <c r="G14" s="30"/>
      <c r="H14" s="30"/>
      <c r="I14" s="30"/>
      <c r="J14" s="30"/>
      <c r="K14" s="30"/>
      <c r="L14" s="30"/>
      <c r="M14" s="30"/>
    </row>
    <row r="15" spans="1:13">
      <c r="A15" s="31" t="s">
        <v>177</v>
      </c>
      <c r="B15" s="31" t="s">
        <v>178</v>
      </c>
      <c r="C15" s="31" t="s">
        <v>181</v>
      </c>
      <c r="D15" s="32" t="s">
        <v>180</v>
      </c>
      <c r="E15" s="30" t="s">
        <v>139</v>
      </c>
      <c r="F15" s="30" t="s">
        <v>156</v>
      </c>
      <c r="G15" s="30"/>
      <c r="H15" s="30"/>
      <c r="I15" s="30"/>
      <c r="J15" s="30"/>
      <c r="K15" s="30"/>
      <c r="L15" s="30"/>
      <c r="M15" s="30"/>
    </row>
    <row r="16" spans="1:13">
      <c r="A16" s="31" t="s">
        <v>362</v>
      </c>
      <c r="B16" s="31"/>
      <c r="C16" s="31" t="s">
        <v>301</v>
      </c>
      <c r="D16" s="32" t="s">
        <v>125</v>
      </c>
      <c r="E16" s="30" t="s">
        <v>297</v>
      </c>
      <c r="F16" s="30" t="s">
        <v>144</v>
      </c>
      <c r="G16" s="30"/>
      <c r="H16" s="30"/>
      <c r="I16" s="30"/>
      <c r="J16" s="30"/>
      <c r="K16" s="30"/>
      <c r="L16" s="30"/>
      <c r="M16" s="30"/>
    </row>
    <row r="17" spans="1:13">
      <c r="A17" s="31" t="s">
        <v>398</v>
      </c>
      <c r="B17" s="31"/>
      <c r="C17" s="31" t="s">
        <v>399</v>
      </c>
      <c r="D17" s="32" t="s">
        <v>192</v>
      </c>
      <c r="E17" s="30" t="s">
        <v>274</v>
      </c>
      <c r="F17" s="30" t="s">
        <v>128</v>
      </c>
      <c r="G17" s="30"/>
      <c r="H17" s="30"/>
      <c r="I17" s="30"/>
      <c r="J17" s="30"/>
      <c r="K17" s="30"/>
      <c r="L17" s="30"/>
      <c r="M17" s="30"/>
    </row>
    <row r="18" spans="1:13">
      <c r="A18" s="31" t="s">
        <v>281</v>
      </c>
      <c r="B18" s="31" t="s">
        <v>282</v>
      </c>
      <c r="C18" s="31" t="s">
        <v>283</v>
      </c>
      <c r="D18" s="32" t="s">
        <v>180</v>
      </c>
      <c r="E18" s="30" t="s">
        <v>139</v>
      </c>
      <c r="F18" s="30" t="s">
        <v>156</v>
      </c>
      <c r="G18" s="30"/>
      <c r="H18" s="30"/>
      <c r="I18" s="30"/>
      <c r="J18" s="30"/>
      <c r="K18" s="30"/>
      <c r="L18" s="30"/>
      <c r="M18" s="30"/>
    </row>
    <row r="19" spans="1:13">
      <c r="A19" s="31" t="s">
        <v>395</v>
      </c>
      <c r="B19" s="31" t="s">
        <v>396</v>
      </c>
      <c r="C19" s="31" t="s">
        <v>397</v>
      </c>
      <c r="D19" s="32" t="s">
        <v>125</v>
      </c>
      <c r="E19" s="30" t="s">
        <v>297</v>
      </c>
      <c r="F19" s="30" t="s">
        <v>144</v>
      </c>
      <c r="G19" s="30"/>
      <c r="H19" s="30"/>
      <c r="I19" s="30"/>
      <c r="J19" s="30"/>
      <c r="K19" s="30"/>
      <c r="L19" s="30"/>
      <c r="M19" s="30"/>
    </row>
    <row r="20" spans="1:13">
      <c r="A20" s="31" t="s">
        <v>268</v>
      </c>
      <c r="B20" s="31" t="s">
        <v>223</v>
      </c>
      <c r="C20" s="31" t="s">
        <v>270</v>
      </c>
      <c r="D20" s="32" t="s">
        <v>269</v>
      </c>
      <c r="E20" s="30" t="s">
        <v>139</v>
      </c>
      <c r="F20" s="30" t="s">
        <v>156</v>
      </c>
      <c r="G20" s="30"/>
      <c r="H20" s="30"/>
      <c r="I20" s="30"/>
      <c r="J20" s="30"/>
      <c r="K20" s="30"/>
      <c r="L20" s="30"/>
      <c r="M20" s="30"/>
    </row>
    <row r="21" spans="1:13">
      <c r="A21" s="31" t="s">
        <v>386</v>
      </c>
      <c r="B21" s="31"/>
      <c r="C21" s="31" t="s">
        <v>388</v>
      </c>
      <c r="D21" s="32" t="s">
        <v>387</v>
      </c>
      <c r="E21" s="30" t="s">
        <v>297</v>
      </c>
      <c r="F21" s="30" t="s">
        <v>144</v>
      </c>
      <c r="G21" s="30"/>
      <c r="H21" s="30"/>
      <c r="I21" s="30"/>
      <c r="J21" s="30"/>
      <c r="K21" s="30"/>
      <c r="L21" s="30"/>
      <c r="M21" s="30"/>
    </row>
    <row r="22" spans="1:13">
      <c r="A22" s="31" t="s">
        <v>288</v>
      </c>
      <c r="B22" s="31"/>
      <c r="C22" s="31" t="s">
        <v>290</v>
      </c>
      <c r="D22" s="32" t="s">
        <v>289</v>
      </c>
      <c r="E22" s="30" t="s">
        <v>139</v>
      </c>
      <c r="F22" s="30" t="s">
        <v>128</v>
      </c>
      <c r="G22" s="30"/>
      <c r="H22" s="30"/>
      <c r="I22" s="30"/>
      <c r="J22" s="30"/>
      <c r="K22" s="30"/>
      <c r="L22" s="30"/>
      <c r="M22" s="30"/>
    </row>
    <row r="23" spans="1:13">
      <c r="A23" s="31" t="s">
        <v>306</v>
      </c>
      <c r="B23" s="31" t="s">
        <v>141</v>
      </c>
      <c r="C23" s="31" t="s">
        <v>309</v>
      </c>
      <c r="D23" s="32" t="s">
        <v>307</v>
      </c>
      <c r="E23" s="30" t="s">
        <v>297</v>
      </c>
      <c r="F23" s="30" t="s">
        <v>156</v>
      </c>
      <c r="G23" s="30"/>
      <c r="H23" s="30"/>
      <c r="I23" s="30"/>
      <c r="J23" s="30"/>
      <c r="K23" s="30"/>
      <c r="L23" s="30"/>
      <c r="M23" s="30"/>
    </row>
    <row r="24" spans="1:13">
      <c r="A24" s="31" t="s">
        <v>163</v>
      </c>
      <c r="B24" s="31" t="s">
        <v>164</v>
      </c>
      <c r="C24" s="31" t="s">
        <v>171</v>
      </c>
      <c r="D24" s="32" t="s">
        <v>167</v>
      </c>
      <c r="E24" s="30" t="s">
        <v>139</v>
      </c>
      <c r="F24" s="30" t="s">
        <v>128</v>
      </c>
      <c r="G24" s="30"/>
      <c r="H24" s="30"/>
      <c r="I24" s="30"/>
      <c r="J24" s="30"/>
      <c r="K24" s="30"/>
      <c r="L24" s="30"/>
      <c r="M24" s="30"/>
    </row>
    <row r="25" spans="1:13">
      <c r="A25" s="31" t="s">
        <v>237</v>
      </c>
      <c r="B25" s="31" t="s">
        <v>141</v>
      </c>
      <c r="C25" s="31" t="s">
        <v>240</v>
      </c>
      <c r="D25" s="32" t="s">
        <v>238</v>
      </c>
      <c r="E25" s="30" t="s">
        <v>139</v>
      </c>
      <c r="F25" s="30" t="s">
        <v>128</v>
      </c>
      <c r="G25" s="30"/>
      <c r="H25" s="30"/>
      <c r="I25" s="30"/>
      <c r="J25" s="30"/>
      <c r="K25" s="30"/>
      <c r="L25" s="30"/>
      <c r="M25" s="30"/>
    </row>
    <row r="26" spans="1:13">
      <c r="A26" s="31" t="s">
        <v>370</v>
      </c>
      <c r="B26" s="31" t="s">
        <v>371</v>
      </c>
      <c r="C26" s="31" t="s">
        <v>373</v>
      </c>
      <c r="D26" s="32" t="s">
        <v>372</v>
      </c>
      <c r="E26" s="30" t="s">
        <v>297</v>
      </c>
      <c r="F26" s="30" t="s">
        <v>144</v>
      </c>
      <c r="G26" s="30"/>
      <c r="H26" s="30"/>
      <c r="I26" s="30"/>
      <c r="J26" s="30"/>
      <c r="K26" s="30"/>
      <c r="L26" s="30"/>
      <c r="M26" s="30"/>
    </row>
    <row r="27" spans="1:13">
      <c r="A27" s="31" t="s">
        <v>151</v>
      </c>
      <c r="B27" s="31" t="s">
        <v>152</v>
      </c>
      <c r="C27" s="31" t="s">
        <v>152</v>
      </c>
      <c r="D27" s="32" t="s">
        <v>155</v>
      </c>
      <c r="E27" s="30" t="s">
        <v>139</v>
      </c>
      <c r="F27" s="30" t="s">
        <v>156</v>
      </c>
      <c r="G27" s="30"/>
      <c r="H27" s="30"/>
      <c r="I27" s="30"/>
      <c r="J27" s="30"/>
      <c r="K27" s="30"/>
      <c r="L27" s="30"/>
      <c r="M27" s="30"/>
    </row>
    <row r="28" spans="1:13">
      <c r="A28" s="31" t="s">
        <v>333</v>
      </c>
      <c r="B28" s="31"/>
      <c r="C28" s="31" t="s">
        <v>220</v>
      </c>
      <c r="D28" s="32" t="s">
        <v>334</v>
      </c>
      <c r="E28" s="30" t="s">
        <v>297</v>
      </c>
      <c r="F28" s="30" t="s">
        <v>144</v>
      </c>
      <c r="G28" s="30"/>
      <c r="H28" s="31"/>
      <c r="I28" s="31"/>
      <c r="J28" s="31"/>
      <c r="K28" s="31"/>
      <c r="L28" s="30"/>
      <c r="M28" s="30"/>
    </row>
    <row r="29" spans="1:13">
      <c r="A29" s="31" t="s">
        <v>208</v>
      </c>
      <c r="B29" s="31" t="s">
        <v>164</v>
      </c>
      <c r="C29" s="31" t="s">
        <v>210</v>
      </c>
      <c r="D29" s="32" t="s">
        <v>209</v>
      </c>
      <c r="E29" s="30" t="s">
        <v>139</v>
      </c>
      <c r="F29" s="30" t="s">
        <v>144</v>
      </c>
      <c r="G29" s="30"/>
      <c r="H29" s="26"/>
      <c r="I29" s="26"/>
      <c r="J29" s="26"/>
      <c r="K29" s="31"/>
      <c r="L29" s="30"/>
      <c r="M29" s="30"/>
    </row>
    <row r="30" spans="1:13">
      <c r="A30" s="31" t="s">
        <v>204</v>
      </c>
      <c r="B30" s="31" t="s">
        <v>205</v>
      </c>
      <c r="C30" s="31" t="s">
        <v>207</v>
      </c>
      <c r="D30" s="32" t="s">
        <v>206</v>
      </c>
      <c r="E30" s="30" t="s">
        <v>139</v>
      </c>
      <c r="F30" s="30" t="s">
        <v>144</v>
      </c>
      <c r="G30" s="30"/>
      <c r="H30" s="31"/>
      <c r="I30" s="31"/>
      <c r="J30" s="31"/>
      <c r="K30" s="31"/>
      <c r="L30" s="30"/>
      <c r="M30" s="30"/>
    </row>
    <row r="31" spans="1:13">
      <c r="A31" s="31" t="s">
        <v>339</v>
      </c>
      <c r="B31" s="31"/>
      <c r="C31" s="31" t="s">
        <v>342</v>
      </c>
      <c r="D31" s="32" t="s">
        <v>340</v>
      </c>
      <c r="E31" s="30" t="s">
        <v>297</v>
      </c>
      <c r="F31" s="30" t="s">
        <v>128</v>
      </c>
      <c r="G31" s="30"/>
      <c r="H31" s="26"/>
      <c r="I31" s="26"/>
      <c r="J31" s="26"/>
      <c r="K31" s="31"/>
      <c r="L31" s="30"/>
      <c r="M31" s="30"/>
    </row>
    <row r="32" spans="1:13">
      <c r="A32" s="31" t="s">
        <v>359</v>
      </c>
      <c r="B32" s="31" t="s">
        <v>164</v>
      </c>
      <c r="C32" s="31" t="s">
        <v>244</v>
      </c>
      <c r="D32" s="32" t="s">
        <v>125</v>
      </c>
      <c r="E32" s="30" t="s">
        <v>297</v>
      </c>
      <c r="F32" s="30" t="s">
        <v>144</v>
      </c>
      <c r="G32" s="30"/>
      <c r="H32" s="26"/>
      <c r="I32" s="26"/>
      <c r="J32" s="26"/>
      <c r="K32" s="31"/>
      <c r="L32" s="30"/>
      <c r="M32" s="30"/>
    </row>
    <row r="33" spans="1:13">
      <c r="A33" s="31" t="s">
        <v>390</v>
      </c>
      <c r="B33" s="31" t="s">
        <v>391</v>
      </c>
      <c r="C33" s="31" t="s">
        <v>393</v>
      </c>
      <c r="D33" s="32" t="s">
        <v>392</v>
      </c>
      <c r="E33" s="30" t="s">
        <v>297</v>
      </c>
      <c r="F33" s="30" t="s">
        <v>156</v>
      </c>
      <c r="G33" s="30"/>
      <c r="H33" s="26"/>
      <c r="I33" s="26"/>
      <c r="J33" s="26"/>
      <c r="K33" s="31"/>
      <c r="L33" s="30"/>
      <c r="M33" s="30"/>
    </row>
    <row r="34" spans="1:13">
      <c r="A34" s="31" t="s">
        <v>229</v>
      </c>
      <c r="B34" s="31" t="s">
        <v>223</v>
      </c>
      <c r="C34" s="27" t="s">
        <v>561</v>
      </c>
      <c r="D34" s="32" t="s">
        <v>230</v>
      </c>
      <c r="E34" s="30" t="s">
        <v>139</v>
      </c>
      <c r="F34" s="30" t="s">
        <v>156</v>
      </c>
      <c r="G34" s="30"/>
      <c r="H34" s="31"/>
      <c r="I34" s="31"/>
      <c r="J34" s="31"/>
      <c r="K34" s="31"/>
      <c r="L34" s="30"/>
      <c r="M34" s="30"/>
    </row>
    <row r="35" spans="1:13">
      <c r="A35" s="31" t="s">
        <v>415</v>
      </c>
      <c r="B35" s="31" t="s">
        <v>164</v>
      </c>
      <c r="C35" s="31" t="s">
        <v>416</v>
      </c>
      <c r="D35" s="32" t="s">
        <v>199</v>
      </c>
      <c r="E35" s="30" t="s">
        <v>274</v>
      </c>
      <c r="F35" s="30" t="s">
        <v>144</v>
      </c>
      <c r="G35" s="30"/>
      <c r="H35" s="31"/>
      <c r="I35" s="31"/>
      <c r="J35" s="31"/>
      <c r="K35" s="31"/>
      <c r="L35" s="30"/>
      <c r="M35" s="30"/>
    </row>
    <row r="36" spans="1:13">
      <c r="A36" s="31" t="s">
        <v>367</v>
      </c>
      <c r="B36" s="31" t="s">
        <v>141</v>
      </c>
      <c r="C36" s="31" t="s">
        <v>368</v>
      </c>
      <c r="D36" s="32" t="s">
        <v>125</v>
      </c>
      <c r="E36" s="30" t="s">
        <v>297</v>
      </c>
      <c r="F36" s="30" t="s">
        <v>144</v>
      </c>
      <c r="G36" s="30"/>
      <c r="H36" s="30"/>
      <c r="I36" s="30"/>
      <c r="J36" s="30"/>
      <c r="K36" s="30"/>
      <c r="L36" s="30"/>
      <c r="M36" s="30"/>
    </row>
    <row r="37" spans="1:13">
      <c r="A37" s="31" t="s">
        <v>119</v>
      </c>
      <c r="B37" s="31"/>
      <c r="C37" s="31" t="s">
        <v>131</v>
      </c>
      <c r="D37" s="32" t="s">
        <v>124</v>
      </c>
      <c r="E37" s="30" t="s">
        <v>139</v>
      </c>
      <c r="F37" s="30" t="s">
        <v>128</v>
      </c>
      <c r="G37" s="30"/>
      <c r="H37" s="30"/>
      <c r="I37" s="30"/>
      <c r="J37" s="30"/>
      <c r="K37" s="30"/>
      <c r="L37" s="30"/>
      <c r="M37" s="30"/>
    </row>
    <row r="38" spans="1:13">
      <c r="A38" s="31" t="s">
        <v>347</v>
      </c>
      <c r="B38" s="31" t="s">
        <v>348</v>
      </c>
      <c r="C38" s="31" t="s">
        <v>348</v>
      </c>
      <c r="D38" s="32" t="s">
        <v>317</v>
      </c>
      <c r="E38" s="30" t="s">
        <v>297</v>
      </c>
      <c r="F38" s="30" t="s">
        <v>156</v>
      </c>
      <c r="G38" s="30"/>
      <c r="H38" s="30"/>
      <c r="I38" s="30"/>
      <c r="J38" s="30"/>
      <c r="K38" s="30"/>
      <c r="L38" s="30"/>
      <c r="M38" s="30"/>
    </row>
    <row r="39" spans="1:13">
      <c r="A39" s="31" t="s">
        <v>364</v>
      </c>
      <c r="B39" s="31" t="s">
        <v>365</v>
      </c>
      <c r="C39" s="31" t="s">
        <v>220</v>
      </c>
      <c r="D39" s="32" t="s">
        <v>125</v>
      </c>
      <c r="E39" s="30" t="s">
        <v>297</v>
      </c>
      <c r="F39" s="30" t="s">
        <v>144</v>
      </c>
      <c r="G39" s="30"/>
      <c r="H39" s="30"/>
      <c r="I39" s="30"/>
      <c r="J39" s="30"/>
      <c r="K39" s="30"/>
      <c r="L39" s="30"/>
      <c r="M39" s="30"/>
    </row>
    <row r="40" spans="1:13">
      <c r="A40" s="31" t="s">
        <v>422</v>
      </c>
      <c r="B40" s="31"/>
      <c r="C40" s="31" t="s">
        <v>425</v>
      </c>
      <c r="D40" s="32" t="s">
        <v>423</v>
      </c>
      <c r="E40" s="30" t="s">
        <v>274</v>
      </c>
      <c r="F40" s="30" t="s">
        <v>128</v>
      </c>
      <c r="G40" s="30"/>
      <c r="H40" s="30"/>
      <c r="I40" s="30"/>
      <c r="J40" s="30"/>
      <c r="K40" s="30"/>
      <c r="L40" s="30"/>
      <c r="M40" s="30"/>
    </row>
    <row r="41" spans="1:13">
      <c r="A41" s="31" t="s">
        <v>320</v>
      </c>
      <c r="B41" s="31" t="s">
        <v>164</v>
      </c>
      <c r="C41" s="31" t="s">
        <v>200</v>
      </c>
      <c r="D41" s="32" t="s">
        <v>321</v>
      </c>
      <c r="E41" s="30" t="s">
        <v>297</v>
      </c>
      <c r="F41" s="30" t="s">
        <v>144</v>
      </c>
      <c r="G41" s="30"/>
      <c r="H41" s="30"/>
      <c r="I41" s="30"/>
      <c r="J41" s="30"/>
      <c r="K41" s="30"/>
      <c r="L41" s="30"/>
      <c r="M41" s="30"/>
    </row>
    <row r="42" spans="1:13">
      <c r="A42" s="31" t="s">
        <v>353</v>
      </c>
      <c r="B42" s="31"/>
      <c r="C42" s="31" t="s">
        <v>356</v>
      </c>
      <c r="D42" s="32" t="s">
        <v>354</v>
      </c>
      <c r="E42" s="30" t="s">
        <v>297</v>
      </c>
      <c r="F42" s="30" t="s">
        <v>128</v>
      </c>
      <c r="G42" s="30"/>
      <c r="H42" s="30"/>
      <c r="I42" s="30"/>
      <c r="J42" s="30"/>
      <c r="K42" s="30"/>
      <c r="L42" s="30"/>
      <c r="M42" s="30"/>
    </row>
    <row r="43" spans="1:13">
      <c r="A43" s="31" t="s">
        <v>140</v>
      </c>
      <c r="B43" s="31" t="s">
        <v>141</v>
      </c>
      <c r="C43" s="31" t="s">
        <v>301</v>
      </c>
      <c r="D43" s="32" t="s">
        <v>142</v>
      </c>
      <c r="E43" s="30" t="s">
        <v>139</v>
      </c>
      <c r="F43" s="30" t="s">
        <v>144</v>
      </c>
      <c r="G43" s="30"/>
      <c r="H43" s="30"/>
      <c r="I43" s="30"/>
      <c r="J43" s="30"/>
      <c r="K43" s="30"/>
      <c r="L43" s="30"/>
      <c r="M43" s="30"/>
    </row>
    <row r="44" spans="1:13">
      <c r="A44" s="31" t="s">
        <v>428</v>
      </c>
      <c r="B44" s="31" t="s">
        <v>282</v>
      </c>
      <c r="C44" s="31" t="s">
        <v>429</v>
      </c>
      <c r="D44" s="32" t="s">
        <v>387</v>
      </c>
      <c r="E44" s="30" t="s">
        <v>274</v>
      </c>
      <c r="F44" s="30" t="s">
        <v>156</v>
      </c>
      <c r="G44" s="30"/>
      <c r="H44" s="30"/>
      <c r="I44" s="30"/>
      <c r="J44" s="30"/>
      <c r="K44" s="30"/>
      <c r="L44" s="30"/>
      <c r="M44" s="30"/>
    </row>
    <row r="45" spans="1:13">
      <c r="A45" s="31" t="s">
        <v>264</v>
      </c>
      <c r="B45" s="31" t="s">
        <v>164</v>
      </c>
      <c r="C45" s="31" t="s">
        <v>265</v>
      </c>
      <c r="D45" s="32" t="s">
        <v>125</v>
      </c>
      <c r="E45" s="30" t="s">
        <v>139</v>
      </c>
      <c r="F45" s="30" t="s">
        <v>144</v>
      </c>
      <c r="G45" s="30"/>
      <c r="H45" s="30"/>
      <c r="I45" s="30"/>
      <c r="J45" s="30"/>
      <c r="K45" s="30"/>
      <c r="L45" s="30"/>
      <c r="M45" s="30"/>
    </row>
    <row r="46" spans="1:13">
      <c r="A46" s="31" t="s">
        <v>298</v>
      </c>
      <c r="B46" s="31" t="s">
        <v>141</v>
      </c>
      <c r="C46" s="31" t="s">
        <v>301</v>
      </c>
      <c r="D46" s="32" t="s">
        <v>243</v>
      </c>
      <c r="E46" s="30" t="s">
        <v>297</v>
      </c>
      <c r="F46" s="30" t="s">
        <v>144</v>
      </c>
      <c r="G46" s="30"/>
      <c r="H46" s="30"/>
      <c r="I46" s="30"/>
      <c r="J46" s="30"/>
      <c r="K46" s="30"/>
      <c r="L46" s="30"/>
      <c r="M46" s="30"/>
    </row>
    <row r="47" spans="1:13">
      <c r="A47" s="31" t="s">
        <v>217</v>
      </c>
      <c r="B47" s="31"/>
      <c r="C47" s="31" t="s">
        <v>220</v>
      </c>
      <c r="D47" s="32" t="s">
        <v>218</v>
      </c>
      <c r="E47" s="30" t="s">
        <v>139</v>
      </c>
      <c r="F47" s="30" t="s">
        <v>144</v>
      </c>
      <c r="G47" s="30"/>
      <c r="H47" s="30"/>
      <c r="I47" s="30"/>
      <c r="J47" s="30"/>
      <c r="K47" s="30"/>
      <c r="L47" s="30"/>
      <c r="M47" s="30"/>
    </row>
    <row r="48" spans="1:13">
      <c r="A48" s="31" t="s">
        <v>419</v>
      </c>
      <c r="B48" s="31"/>
      <c r="C48" s="31" t="s">
        <v>393</v>
      </c>
      <c r="D48" s="32" t="s">
        <v>267</v>
      </c>
      <c r="E48" s="30" t="s">
        <v>274</v>
      </c>
      <c r="F48" s="30" t="s">
        <v>156</v>
      </c>
      <c r="G48" s="30"/>
      <c r="H48" s="30"/>
      <c r="I48" s="30"/>
      <c r="J48" s="30"/>
      <c r="K48" s="30"/>
      <c r="L48" s="30"/>
      <c r="M48" s="30"/>
    </row>
    <row r="49" spans="1:13">
      <c r="A49" s="31" t="s">
        <v>409</v>
      </c>
      <c r="B49" s="31" t="s">
        <v>410</v>
      </c>
      <c r="C49" s="31" t="s">
        <v>410</v>
      </c>
      <c r="D49" s="32" t="s">
        <v>411</v>
      </c>
      <c r="E49" s="30" t="s">
        <v>274</v>
      </c>
      <c r="F49" s="30" t="s">
        <v>156</v>
      </c>
      <c r="G49" s="30"/>
      <c r="H49" s="30"/>
      <c r="I49" s="30"/>
      <c r="J49" s="30"/>
      <c r="K49" s="30"/>
      <c r="L49" s="30"/>
      <c r="M49" s="30"/>
    </row>
    <row r="50" spans="1:13">
      <c r="A50" s="31" t="s">
        <v>198</v>
      </c>
      <c r="B50" s="31"/>
      <c r="C50" s="31" t="s">
        <v>200</v>
      </c>
      <c r="D50" s="32" t="s">
        <v>199</v>
      </c>
      <c r="E50" s="30" t="s">
        <v>139</v>
      </c>
      <c r="F50" s="30" t="s">
        <v>144</v>
      </c>
      <c r="G50" s="30"/>
      <c r="H50" s="30"/>
      <c r="I50" s="30"/>
      <c r="J50" s="30"/>
      <c r="K50" s="30"/>
      <c r="L50" s="30"/>
      <c r="M50" s="30"/>
    </row>
    <row r="51" spans="1:13">
      <c r="A51" s="31" t="s">
        <v>431</v>
      </c>
      <c r="B51" s="31"/>
      <c r="C51" s="31" t="s">
        <v>393</v>
      </c>
      <c r="D51" s="32" t="s">
        <v>432</v>
      </c>
      <c r="E51" s="30" t="s">
        <v>274</v>
      </c>
      <c r="F51" s="30" t="s">
        <v>156</v>
      </c>
      <c r="G51" s="30"/>
      <c r="H51" s="30"/>
      <c r="I51" s="30"/>
      <c r="J51" s="30"/>
      <c r="K51" s="30"/>
      <c r="L51" s="30"/>
      <c r="M51" s="30"/>
    </row>
    <row r="52" spans="1:13">
      <c r="A52" s="31" t="s">
        <v>326</v>
      </c>
      <c r="B52" s="31" t="s">
        <v>164</v>
      </c>
      <c r="C52" s="31" t="s">
        <v>200</v>
      </c>
      <c r="D52" s="32" t="s">
        <v>125</v>
      </c>
      <c r="E52" s="30" t="s">
        <v>297</v>
      </c>
      <c r="F52" s="30" t="s">
        <v>144</v>
      </c>
      <c r="G52" s="30"/>
      <c r="H52" s="30"/>
      <c r="I52" s="30"/>
      <c r="J52" s="30"/>
      <c r="K52" s="30"/>
      <c r="L52" s="30"/>
      <c r="M52" s="30"/>
    </row>
    <row r="53" spans="1:13">
      <c r="A53" s="31" t="s">
        <v>266</v>
      </c>
      <c r="B53" s="31"/>
      <c r="C53" s="31" t="s">
        <v>210</v>
      </c>
      <c r="D53" s="32" t="s">
        <v>267</v>
      </c>
      <c r="E53" s="30" t="s">
        <v>139</v>
      </c>
      <c r="F53" s="30" t="s">
        <v>128</v>
      </c>
      <c r="G53" s="30"/>
      <c r="H53" s="30"/>
      <c r="I53" s="30"/>
      <c r="J53" s="30"/>
      <c r="K53" s="30"/>
      <c r="L53" s="30"/>
      <c r="M53" s="30"/>
    </row>
    <row r="54" spans="1:13">
      <c r="A54" s="31" t="s">
        <v>344</v>
      </c>
      <c r="B54" s="31" t="s">
        <v>316</v>
      </c>
      <c r="C54" s="31" t="s">
        <v>319</v>
      </c>
      <c r="D54" s="32" t="s">
        <v>345</v>
      </c>
      <c r="E54" s="30" t="s">
        <v>297</v>
      </c>
      <c r="F54" s="30" t="s">
        <v>156</v>
      </c>
      <c r="G54" s="30"/>
      <c r="H54" s="30"/>
      <c r="I54" s="30"/>
      <c r="J54" s="30"/>
      <c r="K54" s="30"/>
      <c r="L54" s="30"/>
      <c r="M54" s="30"/>
    </row>
    <row r="55" spans="1:13">
      <c r="A55" s="31" t="s">
        <v>382</v>
      </c>
      <c r="B55" s="31" t="s">
        <v>312</v>
      </c>
      <c r="C55" s="31" t="s">
        <v>312</v>
      </c>
      <c r="D55" s="32" t="s">
        <v>383</v>
      </c>
      <c r="E55" s="30" t="s">
        <v>297</v>
      </c>
      <c r="F55" s="30" t="s">
        <v>156</v>
      </c>
      <c r="G55" s="30"/>
      <c r="H55" s="30"/>
      <c r="I55" s="30"/>
      <c r="J55" s="30"/>
      <c r="K55" s="30"/>
      <c r="L55" s="30"/>
      <c r="M55" s="30"/>
    </row>
    <row r="56" spans="1:13">
      <c r="A56" s="31" t="s">
        <v>214</v>
      </c>
      <c r="B56" s="31" t="s">
        <v>164</v>
      </c>
      <c r="C56" s="31" t="s">
        <v>200</v>
      </c>
      <c r="D56" s="32" t="s">
        <v>215</v>
      </c>
      <c r="E56" s="30" t="s">
        <v>139</v>
      </c>
      <c r="F56" s="30" t="s">
        <v>144</v>
      </c>
      <c r="G56" s="30"/>
      <c r="H56" s="30"/>
      <c r="I56" s="30"/>
      <c r="J56" s="30"/>
      <c r="K56" s="30"/>
      <c r="L56" s="30"/>
      <c r="M56" s="30"/>
    </row>
    <row r="57" spans="1:13">
      <c r="A57" s="31" t="s">
        <v>293</v>
      </c>
      <c r="B57" s="31" t="s">
        <v>234</v>
      </c>
      <c r="C57" s="31" t="s">
        <v>236</v>
      </c>
      <c r="D57" s="32" t="s">
        <v>294</v>
      </c>
      <c r="E57" s="30" t="s">
        <v>297</v>
      </c>
      <c r="F57" s="30" t="s">
        <v>156</v>
      </c>
      <c r="G57" s="30"/>
      <c r="H57" s="30"/>
      <c r="I57" s="30"/>
      <c r="J57" s="30"/>
      <c r="K57" s="30"/>
      <c r="L57" s="30"/>
      <c r="M57" s="30"/>
    </row>
    <row r="58" spans="1:13">
      <c r="A58" s="31" t="s">
        <v>275</v>
      </c>
      <c r="B58" s="30"/>
      <c r="C58" s="31" t="s">
        <v>278</v>
      </c>
      <c r="D58" s="32" t="s">
        <v>277</v>
      </c>
      <c r="E58" s="30" t="s">
        <v>139</v>
      </c>
      <c r="F58" s="30" t="s">
        <v>144</v>
      </c>
      <c r="G58" s="30"/>
      <c r="H58" s="30"/>
      <c r="I58" s="30"/>
      <c r="J58" s="30"/>
      <c r="K58" s="30"/>
      <c r="L58" s="30"/>
      <c r="M58" s="30"/>
    </row>
    <row r="59" spans="1:13">
      <c r="A59" s="33" t="s">
        <v>254</v>
      </c>
      <c r="B59" s="33" t="s">
        <v>141</v>
      </c>
      <c r="C59" s="33" t="s">
        <v>240</v>
      </c>
      <c r="D59" s="34" t="s">
        <v>238</v>
      </c>
      <c r="E59" s="35" t="s">
        <v>274</v>
      </c>
      <c r="F59" s="30" t="s">
        <v>144</v>
      </c>
      <c r="G59" s="30"/>
      <c r="H59" s="30"/>
      <c r="I59" s="30"/>
      <c r="J59" s="30"/>
      <c r="K59" s="30"/>
      <c r="L59" s="30"/>
      <c r="M59" s="30"/>
    </row>
    <row r="60" spans="1:13">
      <c r="A60" s="25" t="s">
        <v>682</v>
      </c>
      <c r="B60" s="30"/>
      <c r="C60" s="25" t="s">
        <v>312</v>
      </c>
      <c r="D60" s="35" t="s">
        <v>192</v>
      </c>
      <c r="E60" s="25" t="s">
        <v>274</v>
      </c>
      <c r="F60" s="30" t="s">
        <v>156</v>
      </c>
      <c r="G60" s="30"/>
      <c r="H60" s="30"/>
      <c r="I60" s="30"/>
      <c r="J60" s="30"/>
      <c r="K60" s="30"/>
      <c r="L60" s="30"/>
      <c r="M60" s="30"/>
    </row>
    <row r="61" spans="1:13">
      <c r="A61" s="25" t="s">
        <v>684</v>
      </c>
      <c r="B61" s="30"/>
      <c r="C61" s="25" t="s">
        <v>685</v>
      </c>
      <c r="D61" s="35" t="s">
        <v>545</v>
      </c>
      <c r="E61" s="25" t="s">
        <v>274</v>
      </c>
      <c r="F61" s="30" t="s">
        <v>144</v>
      </c>
      <c r="G61" s="30"/>
      <c r="H61" s="30"/>
      <c r="I61" s="30"/>
      <c r="J61" s="30"/>
      <c r="K61" s="30"/>
      <c r="L61" s="30"/>
      <c r="M61" s="30"/>
    </row>
    <row r="62" spans="1:13">
      <c r="A62" s="25" t="s">
        <v>701</v>
      </c>
      <c r="B62" s="30"/>
      <c r="C62" s="25" t="s">
        <v>687</v>
      </c>
      <c r="D62" s="36" t="s">
        <v>702</v>
      </c>
      <c r="E62" s="25" t="s">
        <v>274</v>
      </c>
      <c r="F62" s="30" t="s">
        <v>128</v>
      </c>
      <c r="G62" s="30"/>
      <c r="H62" s="30"/>
      <c r="I62" s="30"/>
      <c r="J62" s="30"/>
      <c r="K62" s="30"/>
      <c r="L62" s="30"/>
      <c r="M62" s="30"/>
    </row>
    <row r="63" spans="1:13">
      <c r="A63" s="25" t="s">
        <v>676</v>
      </c>
      <c r="B63" s="25"/>
      <c r="C63" s="1" t="s">
        <v>319</v>
      </c>
      <c r="D63" s="37" t="s">
        <v>545</v>
      </c>
      <c r="E63" s="25" t="s">
        <v>274</v>
      </c>
      <c r="F63" s="30" t="s">
        <v>156</v>
      </c>
      <c r="G63" s="30"/>
      <c r="H63" s="30"/>
      <c r="I63" s="30"/>
      <c r="J63" s="30"/>
      <c r="K63" s="30"/>
      <c r="L63" s="30"/>
      <c r="M63" s="30"/>
    </row>
    <row r="64" spans="1:13">
      <c r="A64" s="25" t="s">
        <v>692</v>
      </c>
      <c r="B64" s="25"/>
      <c r="C64" s="1" t="s">
        <v>693</v>
      </c>
      <c r="D64" s="37" t="s">
        <v>432</v>
      </c>
      <c r="E64" s="25" t="s">
        <v>274</v>
      </c>
      <c r="F64" s="30" t="s">
        <v>156</v>
      </c>
      <c r="G64" s="30"/>
      <c r="H64" s="30"/>
      <c r="I64" s="30"/>
      <c r="J64" s="30"/>
      <c r="K64" s="30"/>
      <c r="L64" s="30"/>
      <c r="M64" s="30"/>
    </row>
    <row r="65" spans="1:13">
      <c r="A65" s="25" t="s">
        <v>446</v>
      </c>
      <c r="B65" s="25"/>
      <c r="C65" s="1" t="s">
        <v>448</v>
      </c>
      <c r="D65" s="38" t="s">
        <v>447</v>
      </c>
      <c r="E65" s="1" t="s">
        <v>703</v>
      </c>
      <c r="F65" s="1" t="s">
        <v>128</v>
      </c>
      <c r="G65" s="30"/>
      <c r="H65" s="30"/>
      <c r="I65" s="30"/>
      <c r="J65" s="30"/>
      <c r="K65" s="30"/>
      <c r="L65" s="30"/>
      <c r="M65" s="30"/>
    </row>
    <row r="66" spans="1:13">
      <c r="A66" s="25" t="s">
        <v>496</v>
      </c>
      <c r="B66" s="30"/>
      <c r="C66" s="25" t="s">
        <v>498</v>
      </c>
      <c r="D66" s="38" t="s">
        <v>497</v>
      </c>
      <c r="E66" s="1" t="s">
        <v>703</v>
      </c>
      <c r="F66" s="25" t="s">
        <v>128</v>
      </c>
      <c r="G66" s="30"/>
      <c r="H66" s="30"/>
      <c r="I66" s="30"/>
      <c r="J66" s="30"/>
      <c r="K66" s="30"/>
      <c r="L66" s="30"/>
      <c r="M66" s="30"/>
    </row>
    <row r="67" spans="1:13">
      <c r="A67" s="25" t="s">
        <v>462</v>
      </c>
      <c r="B67" s="30"/>
      <c r="C67" s="27" t="s">
        <v>439</v>
      </c>
      <c r="D67" s="38" t="s">
        <v>125</v>
      </c>
      <c r="E67" s="1" t="s">
        <v>703</v>
      </c>
      <c r="F67" s="25" t="s">
        <v>128</v>
      </c>
      <c r="G67" s="30"/>
      <c r="H67" s="30"/>
      <c r="I67" s="30"/>
      <c r="J67" s="30"/>
      <c r="K67" s="30"/>
      <c r="L67" s="30"/>
      <c r="M67" s="30"/>
    </row>
    <row r="68" spans="1:13">
      <c r="A68" s="25" t="s">
        <v>459</v>
      </c>
      <c r="B68" s="25" t="s">
        <v>234</v>
      </c>
      <c r="C68" s="27" t="s">
        <v>461</v>
      </c>
      <c r="D68" s="38" t="s">
        <v>460</v>
      </c>
      <c r="E68" s="1" t="s">
        <v>703</v>
      </c>
      <c r="F68" s="25" t="s">
        <v>156</v>
      </c>
      <c r="G68" s="30"/>
      <c r="H68" s="30"/>
      <c r="I68" s="30"/>
      <c r="J68" s="30"/>
      <c r="K68" s="30"/>
      <c r="L68" s="30"/>
      <c r="M68" s="30"/>
    </row>
    <row r="69" spans="1:13">
      <c r="A69" s="25" t="s">
        <v>171</v>
      </c>
      <c r="B69" s="30"/>
      <c r="C69" s="27" t="s">
        <v>487</v>
      </c>
      <c r="D69" s="38" t="s">
        <v>125</v>
      </c>
      <c r="E69" s="1" t="s">
        <v>703</v>
      </c>
      <c r="F69" s="25" t="s">
        <v>486</v>
      </c>
      <c r="G69" s="30"/>
      <c r="H69" s="30"/>
      <c r="I69" s="30"/>
      <c r="J69" s="30"/>
      <c r="K69" s="30"/>
      <c r="L69" s="30"/>
      <c r="M69" s="30"/>
    </row>
    <row r="70" spans="1:13">
      <c r="A70" s="25" t="s">
        <v>440</v>
      </c>
      <c r="B70" s="30"/>
      <c r="C70" s="27" t="s">
        <v>244</v>
      </c>
      <c r="D70" s="38" t="s">
        <v>441</v>
      </c>
      <c r="E70" s="1" t="s">
        <v>703</v>
      </c>
      <c r="F70" s="25" t="s">
        <v>128</v>
      </c>
      <c r="G70" s="30"/>
      <c r="H70" s="30"/>
      <c r="I70" s="30"/>
      <c r="J70" s="30"/>
      <c r="K70" s="30"/>
      <c r="L70" s="30"/>
      <c r="M70" s="30"/>
    </row>
    <row r="71" spans="1:13">
      <c r="A71" s="25" t="s">
        <v>677</v>
      </c>
      <c r="B71" s="25" t="s">
        <v>312</v>
      </c>
      <c r="C71" s="1" t="s">
        <v>312</v>
      </c>
      <c r="D71" s="38" t="s">
        <v>482</v>
      </c>
      <c r="E71" s="1" t="s">
        <v>703</v>
      </c>
      <c r="F71" s="25" t="s">
        <v>156</v>
      </c>
      <c r="G71" s="30"/>
      <c r="H71" s="30"/>
      <c r="I71" s="30"/>
      <c r="J71" s="30"/>
      <c r="K71" s="30"/>
      <c r="L71" s="30"/>
      <c r="M71" s="30"/>
    </row>
    <row r="72" spans="1:13">
      <c r="A72" s="25" t="s">
        <v>476</v>
      </c>
      <c r="B72" s="25" t="s">
        <v>704</v>
      </c>
      <c r="C72" s="27" t="s">
        <v>386</v>
      </c>
      <c r="D72" s="38" t="s">
        <v>477</v>
      </c>
      <c r="E72" s="25" t="s">
        <v>703</v>
      </c>
      <c r="F72" s="25" t="s">
        <v>144</v>
      </c>
      <c r="G72" s="30"/>
      <c r="H72" s="30"/>
      <c r="I72" s="30"/>
      <c r="J72" s="30"/>
      <c r="K72" s="30"/>
      <c r="L72" s="30"/>
      <c r="M72" s="30"/>
    </row>
    <row r="73" spans="1:13">
      <c r="A73" s="25" t="s">
        <v>534</v>
      </c>
      <c r="B73" s="25" t="s">
        <v>312</v>
      </c>
      <c r="C73" s="27" t="s">
        <v>312</v>
      </c>
      <c r="D73" s="38" t="s">
        <v>482</v>
      </c>
      <c r="E73" s="25" t="s">
        <v>703</v>
      </c>
      <c r="F73" s="25" t="s">
        <v>156</v>
      </c>
      <c r="G73" s="30"/>
      <c r="H73" s="30"/>
      <c r="I73" s="30"/>
      <c r="J73" s="30"/>
      <c r="K73" s="30"/>
      <c r="L73" s="30"/>
      <c r="M73" s="30"/>
    </row>
    <row r="74" spans="1:13">
      <c r="A74" s="25" t="s">
        <v>493</v>
      </c>
      <c r="B74" s="25" t="s">
        <v>705</v>
      </c>
      <c r="C74" s="27" t="s">
        <v>494</v>
      </c>
      <c r="D74" s="38" t="s">
        <v>452</v>
      </c>
      <c r="E74" s="25" t="s">
        <v>703</v>
      </c>
      <c r="F74" s="25" t="s">
        <v>156</v>
      </c>
      <c r="G74" s="30"/>
      <c r="H74" s="30"/>
      <c r="I74" s="30"/>
      <c r="J74" s="30"/>
      <c r="K74" s="30"/>
      <c r="L74" s="30"/>
      <c r="M74" s="30"/>
    </row>
    <row r="75" spans="1:13">
      <c r="A75" s="25" t="s">
        <v>568</v>
      </c>
      <c r="B75" s="25" t="s">
        <v>141</v>
      </c>
      <c r="C75" s="27" t="s">
        <v>570</v>
      </c>
      <c r="D75" s="38" t="s">
        <v>569</v>
      </c>
      <c r="E75" s="25" t="s">
        <v>703</v>
      </c>
      <c r="F75" s="25" t="s">
        <v>156</v>
      </c>
      <c r="G75" s="30"/>
      <c r="H75" s="30"/>
      <c r="I75" s="30"/>
      <c r="J75" s="30"/>
      <c r="K75" s="30"/>
      <c r="L75" s="30"/>
      <c r="M75" s="30"/>
    </row>
    <row r="76" spans="1:13">
      <c r="A76" s="25" t="s">
        <v>488</v>
      </c>
      <c r="B76" s="25" t="s">
        <v>282</v>
      </c>
      <c r="C76" s="25" t="s">
        <v>489</v>
      </c>
      <c r="D76" s="38" t="s">
        <v>482</v>
      </c>
      <c r="E76" s="25" t="s">
        <v>703</v>
      </c>
      <c r="F76" s="25" t="s">
        <v>156</v>
      </c>
      <c r="G76" s="30"/>
      <c r="H76" s="30"/>
      <c r="I76" s="30"/>
      <c r="J76" s="30"/>
      <c r="K76" s="30"/>
      <c r="L76" s="30"/>
      <c r="M76" s="30"/>
    </row>
    <row r="77" spans="1:13">
      <c r="A77" s="25" t="s">
        <v>484</v>
      </c>
      <c r="B77" s="30"/>
      <c r="C77" s="25" t="s">
        <v>439</v>
      </c>
      <c r="D77" s="38" t="s">
        <v>238</v>
      </c>
      <c r="E77" s="25" t="s">
        <v>703</v>
      </c>
      <c r="F77" s="25" t="s">
        <v>128</v>
      </c>
      <c r="G77" s="30"/>
      <c r="H77" s="30"/>
      <c r="I77" s="30"/>
      <c r="J77" s="30"/>
      <c r="K77" s="30"/>
      <c r="L77" s="30"/>
      <c r="M77" s="30"/>
    </row>
    <row r="78" spans="1:13">
      <c r="A78" s="25" t="s">
        <v>481</v>
      </c>
      <c r="B78" s="30"/>
      <c r="C78" s="25" t="s">
        <v>483</v>
      </c>
      <c r="D78" s="38" t="s">
        <v>482</v>
      </c>
      <c r="E78" s="25" t="s">
        <v>703</v>
      </c>
      <c r="F78" s="25" t="s">
        <v>156</v>
      </c>
      <c r="G78" s="30"/>
      <c r="H78" s="30"/>
      <c r="I78" s="30"/>
      <c r="J78" s="30"/>
      <c r="K78" s="30"/>
      <c r="L78" s="30"/>
      <c r="M78" s="30"/>
    </row>
    <row r="79" spans="1:13">
      <c r="A79" s="25" t="s">
        <v>495</v>
      </c>
      <c r="B79" s="25" t="s">
        <v>282</v>
      </c>
      <c r="C79" s="25" t="s">
        <v>429</v>
      </c>
      <c r="D79" s="38" t="s">
        <v>482</v>
      </c>
      <c r="E79" s="25" t="s">
        <v>703</v>
      </c>
      <c r="F79" s="25" t="s">
        <v>156</v>
      </c>
      <c r="G79" s="30"/>
      <c r="H79" s="30"/>
      <c r="I79" s="30"/>
      <c r="J79" s="30"/>
      <c r="K79" s="30"/>
      <c r="L79" s="30"/>
      <c r="M79" s="30"/>
    </row>
    <row r="80" spans="1:13">
      <c r="A80" s="25" t="s">
        <v>474</v>
      </c>
      <c r="B80" s="30"/>
      <c r="C80" s="25" t="s">
        <v>474</v>
      </c>
      <c r="D80" s="1" t="s">
        <v>475</v>
      </c>
      <c r="E80" s="25" t="s">
        <v>703</v>
      </c>
      <c r="F80" s="25" t="s">
        <v>156</v>
      </c>
      <c r="G80" s="30"/>
      <c r="H80" s="30"/>
      <c r="I80" s="30"/>
      <c r="J80" s="30"/>
      <c r="K80" s="30"/>
      <c r="L80" s="30"/>
      <c r="M80" s="30"/>
    </row>
    <row r="81" spans="1:13">
      <c r="A81" s="25" t="s">
        <v>665</v>
      </c>
      <c r="B81" s="30"/>
      <c r="C81" s="25" t="s">
        <v>667</v>
      </c>
      <c r="D81" s="38" t="s">
        <v>666</v>
      </c>
      <c r="E81" s="25" t="s">
        <v>703</v>
      </c>
      <c r="F81" s="25" t="s">
        <v>144</v>
      </c>
      <c r="G81" s="25"/>
      <c r="H81" s="30"/>
      <c r="I81" s="30"/>
      <c r="J81" s="30"/>
      <c r="K81" s="30"/>
      <c r="L81" s="30"/>
      <c r="M81" s="30"/>
    </row>
    <row r="82" spans="1:13">
      <c r="A82" s="39" t="s">
        <v>438</v>
      </c>
      <c r="B82" s="30"/>
      <c r="C82" s="25" t="s">
        <v>439</v>
      </c>
      <c r="D82" s="38" t="s">
        <v>238</v>
      </c>
      <c r="E82" s="25" t="s">
        <v>706</v>
      </c>
      <c r="F82" s="25" t="s">
        <v>128</v>
      </c>
      <c r="G82" s="25" t="s">
        <v>169</v>
      </c>
      <c r="H82" s="30"/>
      <c r="I82" s="30"/>
      <c r="J82" s="30"/>
      <c r="K82" s="30"/>
      <c r="L82" s="30"/>
      <c r="M82" s="30"/>
    </row>
    <row r="83" spans="1:13">
      <c r="A83" s="25" t="s">
        <v>707</v>
      </c>
      <c r="B83" s="30"/>
      <c r="C83" s="25" t="s">
        <v>450</v>
      </c>
      <c r="D83" s="38" t="s">
        <v>482</v>
      </c>
      <c r="E83" s="30"/>
      <c r="F83" s="25" t="s">
        <v>128</v>
      </c>
      <c r="G83" s="25" t="s">
        <v>169</v>
      </c>
      <c r="H83" s="30"/>
      <c r="I83" s="30"/>
      <c r="J83" s="30"/>
      <c r="K83" s="30"/>
      <c r="L83" s="30"/>
      <c r="M83" s="30"/>
    </row>
    <row r="84" spans="1:13">
      <c r="A84" s="25" t="s">
        <v>454</v>
      </c>
      <c r="B84" s="30"/>
      <c r="C84" s="25" t="s">
        <v>649</v>
      </c>
      <c r="D84" s="38" t="s">
        <v>455</v>
      </c>
      <c r="E84" s="30"/>
      <c r="F84" s="25" t="s">
        <v>128</v>
      </c>
      <c r="G84" s="25" t="s">
        <v>173</v>
      </c>
      <c r="H84" s="30"/>
      <c r="I84" s="30"/>
      <c r="J84" s="30"/>
      <c r="K84" s="30"/>
      <c r="L84" s="30"/>
      <c r="M84" s="30"/>
    </row>
    <row r="85" spans="1:13">
      <c r="A85" s="25" t="s">
        <v>646</v>
      </c>
      <c r="B85" s="30"/>
      <c r="C85" s="25" t="s">
        <v>648</v>
      </c>
      <c r="D85" s="38" t="s">
        <v>647</v>
      </c>
      <c r="E85" s="30"/>
      <c r="F85" s="25" t="s">
        <v>156</v>
      </c>
      <c r="G85" s="25" t="s">
        <v>708</v>
      </c>
      <c r="H85" s="30"/>
      <c r="I85" s="30"/>
      <c r="J85" s="30"/>
      <c r="K85" s="30"/>
      <c r="L85" s="30"/>
      <c r="M85" s="30"/>
    </row>
    <row r="86" spans="1:13">
      <c r="A86" s="25" t="s">
        <v>641</v>
      </c>
      <c r="B86" s="30"/>
      <c r="C86" s="25" t="s">
        <v>439</v>
      </c>
      <c r="D86" s="38" t="s">
        <v>615</v>
      </c>
      <c r="E86" s="25" t="s">
        <v>706</v>
      </c>
      <c r="F86" s="25" t="s">
        <v>128</v>
      </c>
      <c r="G86" s="25" t="s">
        <v>616</v>
      </c>
      <c r="H86" s="30"/>
      <c r="I86" s="30"/>
      <c r="J86" s="30"/>
      <c r="K86" s="30"/>
      <c r="L86" s="30"/>
      <c r="M86" s="30"/>
    </row>
    <row r="87" spans="1:13">
      <c r="A87" s="25" t="s">
        <v>662</v>
      </c>
      <c r="B87" s="30"/>
      <c r="C87" s="25" t="s">
        <v>439</v>
      </c>
      <c r="D87" s="38" t="s">
        <v>125</v>
      </c>
      <c r="E87" s="25" t="s">
        <v>706</v>
      </c>
      <c r="F87" s="25" t="s">
        <v>128</v>
      </c>
      <c r="G87" s="25" t="s">
        <v>169</v>
      </c>
      <c r="H87" s="30"/>
      <c r="I87" s="30"/>
      <c r="J87" s="30"/>
      <c r="K87" s="30"/>
      <c r="L87" s="30"/>
      <c r="M87" s="30"/>
    </row>
    <row r="88" spans="1:13">
      <c r="A88" s="25" t="s">
        <v>644</v>
      </c>
      <c r="B88" s="30"/>
      <c r="C88" s="25" t="s">
        <v>645</v>
      </c>
      <c r="D88" s="38" t="s">
        <v>463</v>
      </c>
      <c r="E88" s="25" t="s">
        <v>706</v>
      </c>
      <c r="F88" s="25" t="s">
        <v>128</v>
      </c>
      <c r="G88" s="25" t="s">
        <v>261</v>
      </c>
      <c r="H88" s="30"/>
      <c r="I88" s="30"/>
      <c r="J88" s="30"/>
      <c r="K88" s="30"/>
      <c r="L88" s="30"/>
      <c r="M88" s="30"/>
    </row>
    <row r="89" spans="1:13">
      <c r="A89" s="25" t="s">
        <v>661</v>
      </c>
      <c r="B89" s="30"/>
      <c r="C89" s="25" t="s">
        <v>498</v>
      </c>
      <c r="D89" s="38" t="s">
        <v>125</v>
      </c>
      <c r="E89" s="25" t="s">
        <v>706</v>
      </c>
      <c r="F89" s="25" t="s">
        <v>128</v>
      </c>
      <c r="G89" s="25" t="s">
        <v>169</v>
      </c>
      <c r="H89" s="30"/>
      <c r="I89" s="30"/>
      <c r="J89" s="30"/>
      <c r="K89" s="30"/>
      <c r="L89" s="30"/>
      <c r="M89" s="30"/>
    </row>
    <row r="90" spans="1:13">
      <c r="A90" s="25" t="s">
        <v>673</v>
      </c>
      <c r="B90" s="25" t="s">
        <v>223</v>
      </c>
      <c r="C90" s="25" t="s">
        <v>561</v>
      </c>
      <c r="D90" s="38" t="s">
        <v>482</v>
      </c>
      <c r="E90" s="25" t="s">
        <v>706</v>
      </c>
      <c r="F90" s="25" t="s">
        <v>156</v>
      </c>
      <c r="G90" s="25" t="s">
        <v>227</v>
      </c>
      <c r="H90" s="30"/>
      <c r="I90" s="30"/>
      <c r="J90" s="30"/>
      <c r="K90" s="30"/>
      <c r="L90" s="30"/>
      <c r="M90" s="30"/>
    </row>
    <row r="91" spans="1:13">
      <c r="A91" s="25" t="s">
        <v>650</v>
      </c>
      <c r="B91" s="25" t="s">
        <v>709</v>
      </c>
      <c r="C91" s="25" t="s">
        <v>652</v>
      </c>
      <c r="D91" s="38" t="s">
        <v>651</v>
      </c>
      <c r="E91" s="30"/>
      <c r="F91" s="25" t="s">
        <v>156</v>
      </c>
      <c r="G91" s="25" t="s">
        <v>616</v>
      </c>
      <c r="H91" s="30"/>
      <c r="I91" s="30"/>
      <c r="J91" s="30"/>
      <c r="K91" s="30"/>
      <c r="L91" s="30"/>
      <c r="M91" s="30"/>
    </row>
    <row r="92" spans="1:13">
      <c r="A92" s="25" t="s">
        <v>657</v>
      </c>
      <c r="B92" s="30"/>
      <c r="C92" s="25" t="s">
        <v>658</v>
      </c>
      <c r="D92" s="38" t="s">
        <v>125</v>
      </c>
      <c r="E92" s="30"/>
      <c r="F92" s="25" t="s">
        <v>128</v>
      </c>
      <c r="G92" s="25" t="s">
        <v>173</v>
      </c>
      <c r="H92" s="30"/>
      <c r="I92" s="30"/>
      <c r="J92" s="30"/>
      <c r="K92" s="30"/>
      <c r="L92" s="30"/>
      <c r="M92" s="30"/>
    </row>
    <row r="93" spans="1:13">
      <c r="A93" s="25" t="s">
        <v>640</v>
      </c>
      <c r="B93" s="30"/>
      <c r="C93" s="25" t="s">
        <v>240</v>
      </c>
      <c r="D93" s="38" t="s">
        <v>125</v>
      </c>
      <c r="E93" s="30"/>
      <c r="F93" s="25" t="s">
        <v>128</v>
      </c>
      <c r="G93" s="25" t="s">
        <v>261</v>
      </c>
      <c r="H93" s="30"/>
      <c r="I93" s="30"/>
      <c r="J93" s="30"/>
      <c r="K93" s="30"/>
      <c r="L93" s="30"/>
      <c r="M93" s="30"/>
    </row>
    <row r="94" spans="1:13">
      <c r="A94" s="25" t="s">
        <v>402</v>
      </c>
      <c r="B94" s="30"/>
      <c r="C94" s="25" t="s">
        <v>675</v>
      </c>
      <c r="D94" s="38" t="s">
        <v>674</v>
      </c>
      <c r="E94" s="25" t="s">
        <v>706</v>
      </c>
      <c r="F94" s="25" t="s">
        <v>156</v>
      </c>
      <c r="G94" s="25" t="s">
        <v>169</v>
      </c>
      <c r="H94" s="30"/>
      <c r="I94" s="30"/>
      <c r="J94" s="30"/>
      <c r="K94" s="30"/>
      <c r="L94" s="30"/>
      <c r="M94" s="30"/>
    </row>
    <row r="95" spans="1:13">
      <c r="A95" s="25" t="s">
        <v>653</v>
      </c>
      <c r="B95" s="25" t="s">
        <v>710</v>
      </c>
      <c r="C95" s="25" t="s">
        <v>654</v>
      </c>
      <c r="D95" s="38" t="s">
        <v>482</v>
      </c>
      <c r="E95" s="30"/>
      <c r="F95" s="25" t="s">
        <v>156</v>
      </c>
      <c r="G95" s="25" t="s">
        <v>169</v>
      </c>
      <c r="H95" s="30"/>
      <c r="I95" s="30"/>
      <c r="J95" s="30"/>
      <c r="K95" s="30"/>
      <c r="L95" s="30"/>
      <c r="M95" s="30"/>
    </row>
    <row r="96" spans="1:13">
      <c r="A96" s="25" t="s">
        <v>642</v>
      </c>
      <c r="B96" s="25" t="s">
        <v>711</v>
      </c>
      <c r="C96" s="25" t="s">
        <v>643</v>
      </c>
      <c r="D96" s="38" t="s">
        <v>509</v>
      </c>
      <c r="E96" s="30"/>
      <c r="F96" s="25" t="s">
        <v>144</v>
      </c>
      <c r="G96" s="25" t="s">
        <v>227</v>
      </c>
      <c r="H96" s="30"/>
      <c r="I96" s="30"/>
      <c r="J96" s="30"/>
      <c r="K96" s="30"/>
      <c r="L96" s="30"/>
      <c r="M96" s="30"/>
    </row>
    <row r="97" spans="1:13">
      <c r="A97" s="25" t="s">
        <v>655</v>
      </c>
      <c r="B97" s="30"/>
      <c r="C97" s="25" t="s">
        <v>645</v>
      </c>
      <c r="D97" s="38" t="s">
        <v>656</v>
      </c>
      <c r="E97" s="25" t="s">
        <v>706</v>
      </c>
      <c r="F97" s="25" t="s">
        <v>128</v>
      </c>
      <c r="G97" s="25" t="s">
        <v>169</v>
      </c>
      <c r="H97" s="30"/>
      <c r="I97" s="30"/>
      <c r="J97" s="30"/>
      <c r="K97" s="30"/>
      <c r="L97" s="30"/>
      <c r="M97" s="30"/>
    </row>
    <row r="98" spans="1:13">
      <c r="A98" s="25" t="s">
        <v>668</v>
      </c>
      <c r="B98" s="30"/>
      <c r="C98" s="25" t="s">
        <v>301</v>
      </c>
      <c r="D98" s="38" t="s">
        <v>669</v>
      </c>
      <c r="E98" s="30"/>
      <c r="F98" s="25" t="s">
        <v>128</v>
      </c>
      <c r="G98" s="25" t="s">
        <v>169</v>
      </c>
      <c r="H98" s="30"/>
      <c r="I98" s="30"/>
      <c r="J98" s="30"/>
      <c r="K98" s="30"/>
      <c r="L98" s="30"/>
      <c r="M98" s="30"/>
    </row>
    <row r="99" spans="1:13">
      <c r="A99" s="25" t="s">
        <v>712</v>
      </c>
      <c r="B99" s="25" t="s">
        <v>710</v>
      </c>
      <c r="C99" s="25" t="s">
        <v>654</v>
      </c>
      <c r="D99" s="38" t="s">
        <v>482</v>
      </c>
      <c r="E99" s="30"/>
      <c r="F99" s="25" t="s">
        <v>156</v>
      </c>
      <c r="G99" s="25" t="s">
        <v>169</v>
      </c>
      <c r="H99" s="30"/>
      <c r="I99" s="30"/>
      <c r="J99" s="30"/>
      <c r="K99" s="30"/>
      <c r="L99" s="30"/>
      <c r="M99" s="30"/>
    </row>
    <row r="100" spans="1:13">
      <c r="A100" s="25" t="s">
        <v>713</v>
      </c>
      <c r="B100" s="30" t="s">
        <v>164</v>
      </c>
      <c r="C100" s="25" t="s">
        <v>714</v>
      </c>
      <c r="D100" s="38" t="s">
        <v>482</v>
      </c>
      <c r="E100" s="25" t="s">
        <v>706</v>
      </c>
      <c r="F100" s="25" t="s">
        <v>144</v>
      </c>
      <c r="G100" s="25" t="s">
        <v>426</v>
      </c>
      <c r="H100" s="30"/>
      <c r="I100" s="30"/>
      <c r="J100" s="30"/>
      <c r="K100" s="30"/>
      <c r="L100" s="30"/>
      <c r="M100" s="30"/>
    </row>
    <row r="101" spans="1:13">
      <c r="A101" s="25" t="s">
        <v>670</v>
      </c>
      <c r="B101" s="25" t="s">
        <v>312</v>
      </c>
      <c r="C101" s="25" t="s">
        <v>312</v>
      </c>
      <c r="D101" s="38" t="s">
        <v>482</v>
      </c>
      <c r="E101" s="30"/>
      <c r="F101" s="25" t="s">
        <v>156</v>
      </c>
      <c r="G101" s="25" t="s">
        <v>173</v>
      </c>
      <c r="H101" s="30"/>
      <c r="I101" s="30"/>
      <c r="J101" s="30"/>
      <c r="K101" s="30"/>
      <c r="L101" s="30"/>
      <c r="M101" s="30"/>
    </row>
    <row r="102" spans="1:13">
      <c r="A102" s="25" t="s">
        <v>659</v>
      </c>
      <c r="B102" s="30"/>
      <c r="C102" s="25" t="s">
        <v>660</v>
      </c>
      <c r="D102" s="38" t="s">
        <v>615</v>
      </c>
      <c r="E102" s="30"/>
      <c r="F102" s="25" t="s">
        <v>144</v>
      </c>
      <c r="G102" s="25" t="s">
        <v>616</v>
      </c>
      <c r="H102" s="30"/>
      <c r="I102" s="30"/>
      <c r="J102" s="30"/>
      <c r="K102" s="30"/>
      <c r="L102" s="30"/>
      <c r="M102" s="30"/>
    </row>
    <row r="103" spans="1:13">
      <c r="A103" s="25" t="s">
        <v>671</v>
      </c>
      <c r="B103" s="30"/>
      <c r="C103" s="25" t="s">
        <v>672</v>
      </c>
      <c r="D103" s="38" t="s">
        <v>125</v>
      </c>
      <c r="E103" s="30"/>
      <c r="F103" s="25" t="s">
        <v>144</v>
      </c>
      <c r="G103" s="25" t="s">
        <v>169</v>
      </c>
      <c r="H103" s="30"/>
      <c r="I103" s="30"/>
      <c r="J103" s="30"/>
      <c r="K103" s="30"/>
      <c r="L103" s="30"/>
      <c r="M103" s="30"/>
    </row>
    <row r="104" spans="1:13">
      <c r="A104" s="25" t="s">
        <v>715</v>
      </c>
      <c r="B104" s="25" t="s">
        <v>716</v>
      </c>
      <c r="C104" s="25" t="s">
        <v>492</v>
      </c>
      <c r="D104" s="38">
        <v>6050000</v>
      </c>
      <c r="E104" s="25" t="s">
        <v>717</v>
      </c>
      <c r="F104" s="25" t="s">
        <v>156</v>
      </c>
      <c r="G104" s="25" t="s">
        <v>173</v>
      </c>
      <c r="H104" s="30"/>
      <c r="I104" s="30"/>
      <c r="J104" s="30"/>
      <c r="K104" s="30"/>
      <c r="L104" s="30"/>
      <c r="M104" s="30"/>
    </row>
    <row r="105" spans="1:13">
      <c r="A105" s="31"/>
      <c r="B105" s="31"/>
      <c r="C105" s="31"/>
      <c r="D105" s="32"/>
      <c r="E105" s="30"/>
      <c r="F105" s="30"/>
      <c r="G105" s="30"/>
      <c r="H105" s="30"/>
      <c r="I105" s="30"/>
      <c r="J105" s="30"/>
      <c r="K105" s="30"/>
      <c r="L105" s="30"/>
      <c r="M105" s="30"/>
    </row>
    <row r="106" spans="1:13">
      <c r="A106" s="31"/>
      <c r="B106" s="31"/>
      <c r="C106" s="31"/>
      <c r="D106" s="32"/>
      <c r="E106" s="30"/>
      <c r="F106" s="30"/>
      <c r="G106" s="30"/>
      <c r="H106" s="30"/>
      <c r="I106" s="30"/>
      <c r="J106" s="30"/>
      <c r="K106" s="30"/>
      <c r="L106" s="30"/>
      <c r="M106" s="30"/>
    </row>
    <row r="107" spans="1:13">
      <c r="A107" s="31"/>
      <c r="B107" s="31"/>
      <c r="C107" s="31"/>
      <c r="D107" s="32"/>
      <c r="E107" s="30"/>
      <c r="F107" s="30"/>
      <c r="G107" s="30"/>
      <c r="H107" s="30"/>
      <c r="I107" s="30"/>
      <c r="J107" s="30"/>
      <c r="K107" s="30"/>
      <c r="L107" s="30"/>
      <c r="M107" s="30"/>
    </row>
    <row r="108" spans="1:13">
      <c r="A108" s="31"/>
      <c r="B108" s="31"/>
      <c r="C108" s="31"/>
      <c r="D108" s="32"/>
      <c r="E108" s="30"/>
      <c r="F108" s="30"/>
      <c r="G108" s="30"/>
      <c r="H108" s="30"/>
      <c r="I108" s="30"/>
      <c r="J108" s="30"/>
      <c r="K108" s="30"/>
      <c r="L108" s="30"/>
      <c r="M108" s="30"/>
    </row>
    <row r="109" spans="1:13">
      <c r="A109" s="31"/>
      <c r="B109" s="31"/>
      <c r="C109" s="31"/>
      <c r="D109" s="32"/>
      <c r="E109" s="30"/>
      <c r="F109" s="30"/>
      <c r="G109" s="30"/>
      <c r="H109" s="30"/>
      <c r="I109" s="30"/>
      <c r="J109" s="30"/>
      <c r="K109" s="30"/>
      <c r="L109" s="30"/>
      <c r="M109" s="30"/>
    </row>
    <row r="110" spans="1:13">
      <c r="A110" s="31"/>
      <c r="B110" s="31"/>
      <c r="C110" s="31"/>
      <c r="D110" s="32"/>
      <c r="E110" s="30"/>
      <c r="F110" s="30"/>
      <c r="G110" s="30"/>
      <c r="H110" s="30"/>
      <c r="I110" s="30"/>
      <c r="J110" s="30"/>
      <c r="K110" s="30"/>
      <c r="L110" s="30"/>
      <c r="M110" s="30"/>
    </row>
    <row r="111" spans="1:13">
      <c r="A111" s="31"/>
      <c r="B111" s="31"/>
      <c r="C111" s="31"/>
      <c r="D111" s="32"/>
      <c r="E111" s="30"/>
      <c r="F111" s="30"/>
      <c r="G111" s="30"/>
      <c r="H111" s="30"/>
      <c r="I111" s="30"/>
      <c r="J111" s="30"/>
      <c r="K111" s="30"/>
      <c r="L111" s="30"/>
      <c r="M111" s="30"/>
    </row>
    <row r="112" spans="1:13">
      <c r="A112" s="31"/>
      <c r="B112" s="31"/>
      <c r="C112" s="31"/>
      <c r="D112" s="32"/>
      <c r="E112" s="30"/>
      <c r="F112" s="30"/>
      <c r="G112" s="30"/>
      <c r="H112" s="30"/>
      <c r="I112" s="30"/>
      <c r="J112" s="30"/>
      <c r="K112" s="30"/>
      <c r="L112" s="30"/>
      <c r="M112" s="30"/>
    </row>
    <row r="113" spans="1:13">
      <c r="A113" s="31"/>
      <c r="B113" s="31"/>
      <c r="C113" s="31"/>
      <c r="D113" s="32"/>
      <c r="E113" s="30"/>
      <c r="F113" s="30"/>
      <c r="G113" s="30"/>
      <c r="H113" s="30"/>
      <c r="I113" s="30"/>
      <c r="J113" s="30"/>
      <c r="K113" s="30"/>
      <c r="L113" s="30"/>
      <c r="M113" s="30"/>
    </row>
    <row r="114" spans="1:13">
      <c r="A114" s="31"/>
      <c r="B114" s="31"/>
      <c r="C114" s="31"/>
      <c r="D114" s="32"/>
      <c r="E114" s="30"/>
      <c r="F114" s="30"/>
      <c r="G114" s="30"/>
      <c r="H114" s="30"/>
      <c r="I114" s="30"/>
      <c r="J114" s="30"/>
      <c r="K114" s="30"/>
      <c r="L114" s="30"/>
      <c r="M114" s="30"/>
    </row>
    <row r="115" spans="1:13">
      <c r="A115" s="31"/>
      <c r="B115" s="31"/>
      <c r="C115" s="31"/>
      <c r="D115" s="32"/>
      <c r="E115" s="30"/>
      <c r="F115" s="30"/>
      <c r="G115" s="30"/>
      <c r="H115" s="30"/>
      <c r="I115" s="30"/>
      <c r="J115" s="30"/>
      <c r="K115" s="30"/>
      <c r="L115" s="30"/>
      <c r="M115" s="30"/>
    </row>
    <row r="116" spans="1:13">
      <c r="A116" s="31"/>
      <c r="B116" s="31"/>
      <c r="C116" s="31"/>
      <c r="D116" s="32"/>
      <c r="E116" s="30"/>
      <c r="F116" s="30"/>
      <c r="G116" s="30"/>
      <c r="H116" s="30"/>
      <c r="I116" s="30"/>
      <c r="J116" s="30"/>
      <c r="K116" s="30"/>
      <c r="L116" s="30"/>
      <c r="M116" s="30"/>
    </row>
    <row r="117" spans="1:13">
      <c r="A117" s="31"/>
      <c r="B117" s="31"/>
      <c r="C117" s="31"/>
      <c r="D117" s="32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1:13">
      <c r="A118" s="31"/>
      <c r="B118" s="31"/>
      <c r="C118" s="31"/>
      <c r="D118" s="32"/>
      <c r="E118" s="30"/>
      <c r="F118" s="30"/>
      <c r="G118" s="30"/>
      <c r="H118" s="30"/>
      <c r="I118" s="30"/>
      <c r="J118" s="30"/>
      <c r="K118" s="30"/>
      <c r="L118" s="30"/>
      <c r="M118" s="30"/>
    </row>
    <row r="119" spans="1:13">
      <c r="A119" s="31"/>
      <c r="B119" s="31"/>
      <c r="C119" s="31"/>
      <c r="D119" s="32"/>
      <c r="E119" s="30"/>
      <c r="F119" s="30"/>
      <c r="G119" s="30"/>
      <c r="H119" s="30"/>
      <c r="I119" s="30"/>
      <c r="J119" s="30"/>
      <c r="K119" s="30"/>
      <c r="L119" s="30"/>
      <c r="M119" s="30"/>
    </row>
    <row r="120" spans="1:13">
      <c r="A120" s="31"/>
      <c r="B120" s="31"/>
      <c r="C120" s="31"/>
      <c r="D120" s="32"/>
      <c r="E120" s="30"/>
      <c r="F120" s="30"/>
      <c r="G120" s="30"/>
      <c r="H120" s="30"/>
      <c r="I120" s="30"/>
      <c r="J120" s="30"/>
      <c r="K120" s="30"/>
      <c r="L120" s="30"/>
      <c r="M120" s="30"/>
    </row>
    <row r="121" spans="1:13">
      <c r="A121" s="31"/>
      <c r="B121" s="31"/>
      <c r="C121" s="31"/>
      <c r="D121" s="32"/>
      <c r="E121" s="30"/>
      <c r="F121" s="30"/>
      <c r="G121" s="30"/>
      <c r="H121" s="30"/>
      <c r="I121" s="30"/>
      <c r="J121" s="30"/>
      <c r="K121" s="30"/>
      <c r="L121" s="30"/>
      <c r="M121" s="30"/>
    </row>
    <row r="122" spans="1:13">
      <c r="A122" s="31"/>
      <c r="B122" s="31"/>
      <c r="C122" s="31"/>
      <c r="D122" s="32"/>
      <c r="E122" s="30"/>
      <c r="F122" s="30"/>
      <c r="G122" s="30"/>
      <c r="H122" s="30"/>
      <c r="I122" s="30"/>
      <c r="J122" s="30"/>
      <c r="K122" s="30"/>
      <c r="L122" s="30"/>
      <c r="M122" s="30"/>
    </row>
    <row r="123" spans="1:13">
      <c r="A123" s="31"/>
      <c r="B123" s="31"/>
      <c r="C123" s="31"/>
      <c r="D123" s="32"/>
      <c r="E123" s="30"/>
      <c r="F123" s="30"/>
      <c r="G123" s="30"/>
      <c r="H123" s="30"/>
      <c r="I123" s="30"/>
      <c r="J123" s="30"/>
      <c r="K123" s="30"/>
      <c r="L123" s="30"/>
      <c r="M123" s="30"/>
    </row>
    <row r="124" spans="1:13">
      <c r="A124" s="31"/>
      <c r="B124" s="31"/>
      <c r="C124" s="31"/>
      <c r="D124" s="32"/>
      <c r="E124" s="30"/>
      <c r="F124" s="30"/>
      <c r="G124" s="30"/>
      <c r="H124" s="30"/>
      <c r="I124" s="30"/>
      <c r="J124" s="30"/>
      <c r="K124" s="30"/>
      <c r="L124" s="30"/>
      <c r="M124" s="30"/>
    </row>
    <row r="125" spans="1:13">
      <c r="A125" s="31"/>
      <c r="B125" s="31"/>
      <c r="C125" s="31"/>
      <c r="D125" s="32"/>
      <c r="E125" s="30"/>
      <c r="F125" s="30"/>
      <c r="G125" s="30"/>
      <c r="H125" s="30"/>
      <c r="I125" s="30"/>
      <c r="J125" s="30"/>
      <c r="K125" s="30"/>
      <c r="L125" s="30"/>
      <c r="M125" s="30"/>
    </row>
    <row r="126" spans="1:13">
      <c r="A126" s="31"/>
      <c r="B126" s="31"/>
      <c r="C126" s="31"/>
      <c r="D126" s="32"/>
      <c r="E126" s="30"/>
      <c r="F126" s="30"/>
      <c r="G126" s="30"/>
      <c r="H126" s="30"/>
      <c r="I126" s="30"/>
      <c r="J126" s="30"/>
      <c r="K126" s="30"/>
      <c r="L126" s="30"/>
      <c r="M126" s="30"/>
    </row>
    <row r="127" spans="1:13">
      <c r="A127" s="31"/>
      <c r="B127" s="31"/>
      <c r="C127" s="31"/>
      <c r="D127" s="32"/>
      <c r="E127" s="30"/>
      <c r="F127" s="30"/>
      <c r="G127" s="30"/>
      <c r="H127" s="30"/>
      <c r="I127" s="30"/>
      <c r="J127" s="30"/>
      <c r="K127" s="30"/>
      <c r="L127" s="30"/>
      <c r="M127" s="30"/>
    </row>
    <row r="128" spans="1:13">
      <c r="A128" s="31"/>
      <c r="B128" s="31"/>
      <c r="C128" s="31"/>
      <c r="D128" s="32"/>
      <c r="E128" s="30"/>
      <c r="F128" s="30"/>
      <c r="G128" s="30"/>
      <c r="H128" s="30"/>
      <c r="I128" s="30"/>
      <c r="J128" s="30"/>
      <c r="K128" s="30"/>
      <c r="L128" s="30"/>
      <c r="M128" s="30"/>
    </row>
    <row r="129" spans="1:13">
      <c r="A129" s="31"/>
      <c r="B129" s="31"/>
      <c r="C129" s="31"/>
      <c r="D129" s="32"/>
      <c r="E129" s="30"/>
      <c r="F129" s="30"/>
      <c r="G129" s="30"/>
      <c r="H129" s="30"/>
      <c r="I129" s="30"/>
      <c r="J129" s="30"/>
      <c r="K129" s="30"/>
      <c r="L129" s="30"/>
      <c r="M129" s="30"/>
    </row>
    <row r="130" spans="1:13">
      <c r="A130" s="31"/>
      <c r="B130" s="31"/>
      <c r="C130" s="31"/>
      <c r="D130" s="32"/>
      <c r="E130" s="30"/>
      <c r="F130" s="30"/>
      <c r="G130" s="30"/>
      <c r="H130" s="30"/>
      <c r="I130" s="30"/>
      <c r="J130" s="30"/>
      <c r="K130" s="30"/>
      <c r="L130" s="30"/>
      <c r="M130" s="30"/>
    </row>
    <row r="131" spans="1:13">
      <c r="A131" s="31"/>
      <c r="B131" s="31"/>
      <c r="C131" s="31"/>
      <c r="D131" s="32"/>
      <c r="E131" s="30"/>
      <c r="F131" s="30"/>
      <c r="G131" s="30"/>
      <c r="H131" s="30"/>
      <c r="I131" s="30"/>
      <c r="J131" s="30"/>
      <c r="K131" s="30"/>
      <c r="L131" s="30"/>
      <c r="M131" s="30"/>
    </row>
    <row r="132" spans="1:13">
      <c r="A132" s="31"/>
      <c r="B132" s="31"/>
      <c r="C132" s="31"/>
      <c r="D132" s="32"/>
      <c r="E132" s="30"/>
      <c r="F132" s="30"/>
      <c r="G132" s="30"/>
      <c r="H132" s="30"/>
      <c r="I132" s="30"/>
      <c r="J132" s="30"/>
      <c r="K132" s="30"/>
      <c r="L132" s="30"/>
      <c r="M132" s="30"/>
    </row>
    <row r="133" spans="1:13">
      <c r="A133" s="31"/>
      <c r="B133" s="31"/>
      <c r="C133" s="31"/>
      <c r="D133" s="32"/>
      <c r="E133" s="30"/>
      <c r="F133" s="30"/>
      <c r="G133" s="30"/>
      <c r="H133" s="30"/>
      <c r="I133" s="30"/>
      <c r="J133" s="30"/>
      <c r="K133" s="30"/>
      <c r="L133" s="30"/>
      <c r="M133" s="30"/>
    </row>
    <row r="134" spans="1:13">
      <c r="A134" s="31"/>
      <c r="B134" s="31"/>
      <c r="C134" s="31"/>
      <c r="D134" s="32"/>
      <c r="E134" s="30"/>
      <c r="F134" s="30"/>
      <c r="G134" s="30"/>
      <c r="H134" s="30"/>
      <c r="I134" s="30"/>
      <c r="J134" s="30"/>
      <c r="K134" s="30"/>
      <c r="L134" s="30"/>
      <c r="M134" s="30"/>
    </row>
    <row r="135" spans="1:13">
      <c r="A135" s="31"/>
      <c r="B135" s="31"/>
      <c r="C135" s="31"/>
      <c r="D135" s="32"/>
      <c r="E135" s="30"/>
      <c r="F135" s="30"/>
      <c r="G135" s="30"/>
      <c r="H135" s="30"/>
      <c r="I135" s="30"/>
      <c r="J135" s="30"/>
      <c r="K135" s="30"/>
      <c r="L135" s="30"/>
      <c r="M135" s="30"/>
    </row>
    <row r="136" spans="1:13">
      <c r="A136" s="31"/>
      <c r="B136" s="31"/>
      <c r="C136" s="31"/>
      <c r="D136" s="32"/>
      <c r="E136" s="30"/>
      <c r="F136" s="30"/>
      <c r="G136" s="30"/>
      <c r="H136" s="30"/>
      <c r="I136" s="30"/>
      <c r="J136" s="30"/>
      <c r="K136" s="30"/>
      <c r="L136" s="30"/>
      <c r="M136" s="30"/>
    </row>
    <row r="137" spans="1:13">
      <c r="A137" s="31"/>
      <c r="B137" s="31"/>
      <c r="C137" s="31"/>
      <c r="D137" s="32"/>
      <c r="E137" s="30"/>
      <c r="F137" s="30"/>
      <c r="G137" s="30"/>
      <c r="H137" s="30"/>
      <c r="I137" s="30"/>
      <c r="J137" s="30"/>
      <c r="K137" s="30"/>
      <c r="L137" s="30"/>
      <c r="M137" s="30"/>
    </row>
    <row r="138" spans="1:13">
      <c r="A138" s="31"/>
      <c r="B138" s="31"/>
      <c r="C138" s="31"/>
      <c r="D138" s="32"/>
      <c r="E138" s="30"/>
      <c r="F138" s="30"/>
      <c r="G138" s="30"/>
      <c r="H138" s="30"/>
      <c r="I138" s="30"/>
      <c r="J138" s="30"/>
      <c r="K138" s="30"/>
      <c r="L138" s="30"/>
      <c r="M138" s="30"/>
    </row>
    <row r="139" spans="1:13">
      <c r="A139" s="31"/>
      <c r="B139" s="31"/>
      <c r="C139" s="31"/>
      <c r="D139" s="32"/>
      <c r="E139" s="30"/>
      <c r="F139" s="30"/>
      <c r="G139" s="30"/>
      <c r="H139" s="30"/>
      <c r="I139" s="30"/>
      <c r="J139" s="30"/>
      <c r="K139" s="30"/>
      <c r="L139" s="30"/>
      <c r="M139" s="30"/>
    </row>
    <row r="140" spans="1:13">
      <c r="A140" s="31"/>
      <c r="B140" s="31"/>
      <c r="C140" s="31"/>
      <c r="D140" s="32"/>
      <c r="E140" s="30"/>
      <c r="F140" s="30"/>
      <c r="G140" s="30"/>
      <c r="H140" s="30"/>
      <c r="I140" s="30"/>
      <c r="J140" s="30"/>
      <c r="K140" s="30"/>
      <c r="L140" s="30"/>
      <c r="M140" s="30"/>
    </row>
    <row r="141" spans="1:13">
      <c r="A141" s="31"/>
      <c r="B141" s="31"/>
      <c r="C141" s="31"/>
      <c r="D141" s="32"/>
      <c r="E141" s="30"/>
      <c r="F141" s="30"/>
      <c r="G141" s="30"/>
      <c r="H141" s="30"/>
      <c r="I141" s="30"/>
      <c r="J141" s="30"/>
      <c r="K141" s="30"/>
      <c r="L141" s="30"/>
      <c r="M141" s="30"/>
    </row>
    <row r="142" spans="1:13">
      <c r="A142" s="31"/>
      <c r="B142" s="31"/>
      <c r="C142" s="31"/>
      <c r="D142" s="32"/>
      <c r="E142" s="30"/>
      <c r="F142" s="30"/>
      <c r="G142" s="30"/>
      <c r="H142" s="30"/>
      <c r="I142" s="30"/>
      <c r="J142" s="30"/>
      <c r="K142" s="30"/>
      <c r="L142" s="30"/>
      <c r="M142" s="30"/>
    </row>
    <row r="143" spans="1:13">
      <c r="A143" s="31"/>
      <c r="B143" s="31"/>
      <c r="C143" s="31"/>
      <c r="D143" s="32"/>
      <c r="E143" s="30"/>
      <c r="F143" s="30"/>
      <c r="G143" s="30"/>
      <c r="H143" s="30"/>
      <c r="I143" s="30"/>
      <c r="J143" s="30"/>
      <c r="K143" s="30"/>
      <c r="L143" s="30"/>
      <c r="M143" s="30"/>
    </row>
    <row r="144" spans="1:13">
      <c r="A144" s="31"/>
      <c r="B144" s="31"/>
      <c r="C144" s="31"/>
      <c r="D144" s="32"/>
      <c r="E144" s="30"/>
      <c r="F144" s="30"/>
      <c r="G144" s="30"/>
      <c r="H144" s="30"/>
      <c r="I144" s="30"/>
      <c r="J144" s="30"/>
      <c r="K144" s="30"/>
      <c r="L144" s="30"/>
      <c r="M144" s="30"/>
    </row>
    <row r="145" spans="1:13">
      <c r="A145" s="31"/>
      <c r="B145" s="31"/>
      <c r="C145" s="31"/>
      <c r="D145" s="32"/>
      <c r="E145" s="30"/>
      <c r="F145" s="30"/>
      <c r="G145" s="30"/>
      <c r="H145" s="30"/>
      <c r="I145" s="30"/>
      <c r="J145" s="30"/>
      <c r="K145" s="30"/>
      <c r="L145" s="30"/>
      <c r="M145" s="30"/>
    </row>
    <row r="146" spans="1:13">
      <c r="A146" s="31"/>
      <c r="B146" s="31"/>
      <c r="C146" s="31"/>
      <c r="D146" s="32"/>
      <c r="E146" s="30"/>
      <c r="F146" s="30"/>
      <c r="G146" s="30"/>
      <c r="H146" s="30"/>
      <c r="I146" s="30"/>
      <c r="J146" s="30"/>
      <c r="K146" s="30"/>
      <c r="L146" s="30"/>
      <c r="M146" s="30"/>
    </row>
    <row r="147" spans="1:13">
      <c r="A147" s="31"/>
      <c r="B147" s="31"/>
      <c r="C147" s="31"/>
      <c r="D147" s="32"/>
      <c r="E147" s="30"/>
      <c r="F147" s="30"/>
      <c r="G147" s="30"/>
      <c r="H147" s="30"/>
      <c r="I147" s="30"/>
      <c r="J147" s="30"/>
      <c r="K147" s="30"/>
      <c r="L147" s="30"/>
      <c r="M147" s="30"/>
    </row>
    <row r="148" spans="1:13">
      <c r="A148" s="31"/>
      <c r="B148" s="31"/>
      <c r="C148" s="31"/>
      <c r="D148" s="32"/>
      <c r="E148" s="30"/>
      <c r="F148" s="30"/>
      <c r="G148" s="30"/>
      <c r="H148" s="30"/>
      <c r="I148" s="30"/>
      <c r="J148" s="30"/>
      <c r="K148" s="30"/>
      <c r="L148" s="30"/>
      <c r="M148" s="30"/>
    </row>
    <row r="149" spans="1:13">
      <c r="A149" s="31"/>
      <c r="B149" s="31"/>
      <c r="C149" s="31"/>
      <c r="D149" s="32"/>
      <c r="E149" s="30"/>
      <c r="F149" s="30"/>
      <c r="G149" s="30"/>
      <c r="H149" s="30"/>
      <c r="I149" s="30"/>
      <c r="J149" s="30"/>
      <c r="K149" s="30"/>
      <c r="L149" s="30"/>
      <c r="M149" s="30"/>
    </row>
    <row r="150" spans="1:13">
      <c r="A150" s="31"/>
      <c r="B150" s="31"/>
      <c r="C150" s="31"/>
      <c r="D150" s="32"/>
      <c r="E150" s="30"/>
      <c r="F150" s="30"/>
      <c r="G150" s="30"/>
      <c r="H150" s="30"/>
      <c r="I150" s="30"/>
      <c r="J150" s="30"/>
      <c r="K150" s="30"/>
      <c r="L150" s="30"/>
      <c r="M150" s="30"/>
    </row>
    <row r="151" spans="1:13">
      <c r="A151" s="31"/>
      <c r="B151" s="31"/>
      <c r="C151" s="31"/>
      <c r="D151" s="32"/>
      <c r="E151" s="30"/>
      <c r="F151" s="30"/>
      <c r="G151" s="30"/>
      <c r="H151" s="30"/>
      <c r="I151" s="30"/>
      <c r="J151" s="30"/>
      <c r="K151" s="30"/>
      <c r="L151" s="30"/>
      <c r="M151" s="30"/>
    </row>
    <row r="152" spans="1:13">
      <c r="A152" s="31"/>
      <c r="B152" s="31"/>
      <c r="C152" s="31"/>
      <c r="D152" s="32"/>
      <c r="E152" s="30"/>
      <c r="F152" s="30"/>
      <c r="G152" s="30"/>
      <c r="H152" s="30"/>
      <c r="I152" s="30"/>
      <c r="J152" s="30"/>
      <c r="K152" s="30"/>
      <c r="L152" s="30"/>
      <c r="M152" s="30"/>
    </row>
    <row r="153" spans="1:13">
      <c r="A153" s="31"/>
      <c r="B153" s="31"/>
      <c r="C153" s="31"/>
      <c r="D153" s="32"/>
      <c r="E153" s="30"/>
      <c r="F153" s="30"/>
      <c r="G153" s="30"/>
      <c r="H153" s="30"/>
      <c r="I153" s="30"/>
      <c r="J153" s="30"/>
      <c r="K153" s="30"/>
      <c r="L153" s="30"/>
      <c r="M153" s="30"/>
    </row>
    <row r="154" spans="1:13">
      <c r="A154" s="31"/>
      <c r="B154" s="31"/>
      <c r="C154" s="31"/>
      <c r="D154" s="32"/>
      <c r="E154" s="30"/>
      <c r="F154" s="30"/>
      <c r="G154" s="30"/>
      <c r="H154" s="30"/>
      <c r="I154" s="30"/>
      <c r="J154" s="30"/>
      <c r="K154" s="30"/>
      <c r="L154" s="30"/>
      <c r="M154" s="30"/>
    </row>
    <row r="155" spans="1:13">
      <c r="A155" s="31"/>
      <c r="B155" s="31"/>
      <c r="C155" s="31"/>
      <c r="D155" s="32"/>
      <c r="E155" s="30"/>
      <c r="F155" s="30"/>
      <c r="G155" s="30"/>
      <c r="H155" s="30"/>
      <c r="I155" s="30"/>
      <c r="J155" s="30"/>
      <c r="K155" s="30"/>
      <c r="L155" s="30"/>
      <c r="M155" s="30"/>
    </row>
    <row r="156" spans="1:13">
      <c r="A156" s="31"/>
      <c r="B156" s="31"/>
      <c r="C156" s="31"/>
      <c r="D156" s="32"/>
      <c r="E156" s="30"/>
      <c r="F156" s="30"/>
      <c r="G156" s="30"/>
      <c r="H156" s="30"/>
      <c r="I156" s="30"/>
      <c r="J156" s="30"/>
      <c r="K156" s="30"/>
      <c r="L156" s="30"/>
      <c r="M156" s="30"/>
    </row>
    <row r="157" spans="1:13">
      <c r="A157" s="31"/>
      <c r="B157" s="31"/>
      <c r="C157" s="31"/>
      <c r="D157" s="32"/>
      <c r="E157" s="30"/>
      <c r="F157" s="30"/>
      <c r="G157" s="30"/>
      <c r="H157" s="30"/>
      <c r="I157" s="30"/>
      <c r="J157" s="30"/>
      <c r="K157" s="30"/>
      <c r="L157" s="30"/>
      <c r="M157" s="30"/>
    </row>
    <row r="158" spans="1:13">
      <c r="A158" s="31"/>
      <c r="B158" s="31"/>
      <c r="C158" s="31"/>
      <c r="D158" s="32"/>
      <c r="E158" s="30"/>
      <c r="F158" s="30"/>
      <c r="G158" s="30"/>
      <c r="H158" s="30"/>
      <c r="I158" s="30"/>
      <c r="J158" s="30"/>
      <c r="K158" s="30"/>
      <c r="L158" s="30"/>
      <c r="M158" s="30"/>
    </row>
    <row r="159" spans="1:13">
      <c r="A159" s="31"/>
      <c r="B159" s="31"/>
      <c r="C159" s="31"/>
      <c r="D159" s="32"/>
      <c r="E159" s="30"/>
      <c r="F159" s="30"/>
      <c r="G159" s="30"/>
      <c r="H159" s="30"/>
      <c r="I159" s="30"/>
      <c r="J159" s="30"/>
      <c r="K159" s="30"/>
      <c r="L159" s="30"/>
      <c r="M159" s="30"/>
    </row>
    <row r="160" spans="1:13">
      <c r="A160" s="31"/>
      <c r="B160" s="31"/>
      <c r="C160" s="31"/>
      <c r="D160" s="32"/>
      <c r="E160" s="30"/>
      <c r="F160" s="30"/>
      <c r="G160" s="30"/>
      <c r="H160" s="30"/>
      <c r="I160" s="30"/>
      <c r="J160" s="30"/>
      <c r="K160" s="30"/>
      <c r="L160" s="30"/>
      <c r="M160" s="30"/>
    </row>
    <row r="161" spans="1:13">
      <c r="A161" s="31"/>
      <c r="B161" s="31"/>
      <c r="C161" s="31"/>
      <c r="D161" s="32"/>
      <c r="E161" s="30"/>
      <c r="F161" s="30"/>
      <c r="G161" s="30"/>
      <c r="H161" s="30"/>
      <c r="I161" s="30"/>
      <c r="J161" s="30"/>
      <c r="K161" s="30"/>
      <c r="L161" s="30"/>
      <c r="M161" s="30"/>
    </row>
    <row r="162" spans="1:13">
      <c r="A162" s="31"/>
      <c r="B162" s="31"/>
      <c r="C162" s="31"/>
      <c r="D162" s="32"/>
      <c r="E162" s="30"/>
      <c r="F162" s="30"/>
      <c r="G162" s="30"/>
      <c r="H162" s="30"/>
      <c r="I162" s="30"/>
      <c r="J162" s="30"/>
      <c r="K162" s="30"/>
      <c r="L162" s="30"/>
      <c r="M162" s="30"/>
    </row>
    <row r="163" spans="1:13">
      <c r="A163" s="31"/>
      <c r="B163" s="31"/>
      <c r="C163" s="31"/>
      <c r="D163" s="32"/>
      <c r="E163" s="30"/>
      <c r="F163" s="30"/>
      <c r="G163" s="30"/>
      <c r="H163" s="30"/>
      <c r="I163" s="30"/>
      <c r="J163" s="30"/>
      <c r="K163" s="30"/>
      <c r="L163" s="30"/>
      <c r="M163" s="30"/>
    </row>
    <row r="164" spans="1:13">
      <c r="A164" s="31"/>
      <c r="B164" s="31"/>
      <c r="C164" s="31"/>
      <c r="D164" s="32"/>
      <c r="E164" s="30"/>
      <c r="F164" s="30"/>
      <c r="G164" s="30"/>
      <c r="H164" s="30"/>
      <c r="I164" s="30"/>
      <c r="J164" s="30"/>
      <c r="K164" s="30"/>
      <c r="L164" s="30"/>
      <c r="M164" s="30"/>
    </row>
    <row r="165" spans="1:13">
      <c r="A165" s="31"/>
      <c r="B165" s="31"/>
      <c r="C165" s="31"/>
      <c r="D165" s="32"/>
      <c r="E165" s="30"/>
      <c r="F165" s="30"/>
      <c r="G165" s="30"/>
      <c r="H165" s="30"/>
      <c r="I165" s="30"/>
      <c r="J165" s="30"/>
      <c r="K165" s="30"/>
      <c r="L165" s="30"/>
      <c r="M165" s="30"/>
    </row>
    <row r="166" spans="1:13">
      <c r="A166" s="31"/>
      <c r="B166" s="31"/>
      <c r="C166" s="31"/>
      <c r="D166" s="32"/>
      <c r="E166" s="30"/>
      <c r="F166" s="30"/>
      <c r="G166" s="30"/>
      <c r="H166" s="30"/>
      <c r="I166" s="30"/>
      <c r="J166" s="30"/>
      <c r="K166" s="30"/>
      <c r="L166" s="30"/>
      <c r="M166" s="30"/>
    </row>
    <row r="167" spans="1:13">
      <c r="A167" s="31"/>
      <c r="B167" s="31"/>
      <c r="C167" s="31"/>
      <c r="D167" s="32"/>
      <c r="E167" s="30"/>
      <c r="F167" s="30"/>
      <c r="G167" s="30"/>
      <c r="H167" s="30"/>
      <c r="I167" s="30"/>
      <c r="J167" s="30"/>
      <c r="K167" s="30"/>
      <c r="L167" s="30"/>
      <c r="M167" s="30"/>
    </row>
    <row r="168" spans="1:13">
      <c r="A168" s="31"/>
      <c r="B168" s="31"/>
      <c r="C168" s="31"/>
      <c r="D168" s="32"/>
      <c r="E168" s="30"/>
      <c r="F168" s="30"/>
      <c r="G168" s="30"/>
      <c r="H168" s="30"/>
      <c r="I168" s="30"/>
      <c r="J168" s="30"/>
      <c r="K168" s="30"/>
      <c r="L168" s="30"/>
      <c r="M168" s="30"/>
    </row>
    <row r="169" spans="1:13">
      <c r="A169" s="31"/>
      <c r="B169" s="31"/>
      <c r="C169" s="31"/>
      <c r="D169" s="32"/>
      <c r="E169" s="30"/>
      <c r="F169" s="30"/>
      <c r="G169" s="30"/>
      <c r="H169" s="30"/>
      <c r="I169" s="30"/>
      <c r="J169" s="30"/>
      <c r="K169" s="30"/>
      <c r="L169" s="30"/>
      <c r="M169" s="30"/>
    </row>
    <row r="170" spans="1:13">
      <c r="A170" s="31"/>
      <c r="B170" s="31"/>
      <c r="C170" s="31"/>
      <c r="D170" s="32"/>
      <c r="E170" s="30"/>
      <c r="F170" s="30"/>
      <c r="G170" s="30"/>
      <c r="H170" s="30"/>
      <c r="I170" s="30"/>
      <c r="J170" s="30"/>
      <c r="K170" s="30"/>
      <c r="L170" s="30"/>
      <c r="M170" s="30"/>
    </row>
    <row r="171" spans="1:13">
      <c r="A171" s="31"/>
      <c r="B171" s="31"/>
      <c r="C171" s="31"/>
      <c r="D171" s="32"/>
      <c r="E171" s="30"/>
      <c r="F171" s="30"/>
      <c r="G171" s="30"/>
      <c r="H171" s="30"/>
      <c r="I171" s="30"/>
      <c r="J171" s="30"/>
      <c r="K171" s="30"/>
      <c r="L171" s="30"/>
      <c r="M171" s="30"/>
    </row>
    <row r="172" spans="1:13">
      <c r="A172" s="31"/>
      <c r="B172" s="31"/>
      <c r="C172" s="31"/>
      <c r="D172" s="32"/>
      <c r="E172" s="30"/>
      <c r="F172" s="30"/>
      <c r="G172" s="30"/>
      <c r="H172" s="30"/>
      <c r="I172" s="30"/>
      <c r="J172" s="30"/>
      <c r="K172" s="30"/>
      <c r="L172" s="30"/>
      <c r="M172" s="30"/>
    </row>
    <row r="173" spans="1:13">
      <c r="A173" s="31"/>
      <c r="B173" s="31"/>
      <c r="C173" s="31"/>
      <c r="D173" s="32"/>
      <c r="E173" s="30"/>
      <c r="F173" s="30"/>
      <c r="G173" s="30"/>
      <c r="H173" s="30"/>
      <c r="I173" s="30"/>
      <c r="J173" s="30"/>
      <c r="K173" s="30"/>
      <c r="L173" s="30"/>
      <c r="M173" s="30"/>
    </row>
    <row r="174" spans="1:13">
      <c r="A174" s="31"/>
      <c r="B174" s="31"/>
      <c r="C174" s="31"/>
      <c r="D174" s="32"/>
      <c r="E174" s="30"/>
      <c r="F174" s="30"/>
      <c r="G174" s="30"/>
      <c r="H174" s="30"/>
      <c r="I174" s="30"/>
      <c r="J174" s="30"/>
      <c r="K174" s="30"/>
      <c r="L174" s="30"/>
      <c r="M174" s="30"/>
    </row>
    <row r="175" spans="1:13">
      <c r="A175" s="31"/>
      <c r="B175" s="31"/>
      <c r="C175" s="31"/>
      <c r="D175" s="32"/>
      <c r="E175" s="30"/>
      <c r="F175" s="30"/>
      <c r="G175" s="30"/>
      <c r="H175" s="30"/>
      <c r="I175" s="30"/>
      <c r="J175" s="30"/>
      <c r="K175" s="30"/>
      <c r="L175" s="30"/>
      <c r="M175" s="30"/>
    </row>
    <row r="176" spans="1:13">
      <c r="A176" s="31"/>
      <c r="B176" s="31"/>
      <c r="C176" s="31"/>
      <c r="D176" s="32"/>
      <c r="E176" s="30"/>
      <c r="F176" s="30"/>
      <c r="G176" s="30"/>
      <c r="H176" s="30"/>
      <c r="I176" s="30"/>
      <c r="J176" s="30"/>
      <c r="K176" s="30"/>
      <c r="L176" s="30"/>
      <c r="M176" s="30"/>
    </row>
    <row r="177" spans="1:13">
      <c r="A177" s="31"/>
      <c r="B177" s="31"/>
      <c r="C177" s="31"/>
      <c r="D177" s="32"/>
      <c r="E177" s="30"/>
      <c r="F177" s="30"/>
      <c r="G177" s="30"/>
      <c r="H177" s="30"/>
      <c r="I177" s="30"/>
      <c r="J177" s="30"/>
      <c r="K177" s="30"/>
      <c r="L177" s="30"/>
      <c r="M177" s="30"/>
    </row>
    <row r="178" spans="1:13">
      <c r="A178" s="31"/>
      <c r="B178" s="31"/>
      <c r="C178" s="31"/>
      <c r="D178" s="32"/>
      <c r="E178" s="30"/>
      <c r="F178" s="30"/>
      <c r="G178" s="30"/>
      <c r="H178" s="30"/>
      <c r="I178" s="30"/>
      <c r="J178" s="30"/>
      <c r="K178" s="30"/>
      <c r="L178" s="30"/>
      <c r="M178" s="30"/>
    </row>
    <row r="179" spans="1:13">
      <c r="A179" s="31"/>
      <c r="B179" s="31"/>
      <c r="C179" s="31"/>
      <c r="D179" s="32"/>
      <c r="E179" s="30"/>
      <c r="F179" s="30"/>
      <c r="G179" s="30"/>
      <c r="H179" s="30"/>
      <c r="I179" s="30"/>
      <c r="J179" s="30"/>
      <c r="K179" s="30"/>
      <c r="L179" s="30"/>
      <c r="M179" s="30"/>
    </row>
    <row r="180" spans="1:13">
      <c r="A180" s="31"/>
      <c r="B180" s="31"/>
      <c r="C180" s="31"/>
      <c r="D180" s="32"/>
      <c r="E180" s="30"/>
      <c r="F180" s="30"/>
      <c r="G180" s="30"/>
      <c r="H180" s="30"/>
      <c r="I180" s="30"/>
      <c r="J180" s="30"/>
      <c r="K180" s="30"/>
      <c r="L180" s="30"/>
      <c r="M180" s="30"/>
    </row>
    <row r="181" spans="1:13">
      <c r="A181" s="31"/>
      <c r="B181" s="31"/>
      <c r="C181" s="31"/>
      <c r="D181" s="32"/>
      <c r="E181" s="30"/>
      <c r="F181" s="30"/>
      <c r="G181" s="30"/>
      <c r="H181" s="30"/>
      <c r="I181" s="30"/>
      <c r="J181" s="30"/>
      <c r="K181" s="30"/>
      <c r="L181" s="30"/>
      <c r="M181" s="30"/>
    </row>
    <row r="182" spans="1:13">
      <c r="A182" s="31"/>
      <c r="B182" s="31"/>
      <c r="C182" s="31"/>
      <c r="D182" s="32"/>
      <c r="E182" s="30"/>
      <c r="F182" s="30"/>
      <c r="G182" s="30"/>
      <c r="H182" s="30"/>
      <c r="I182" s="30"/>
      <c r="J182" s="30"/>
      <c r="K182" s="30"/>
      <c r="L182" s="30"/>
      <c r="M182" s="30"/>
    </row>
    <row r="183" spans="1:13">
      <c r="A183" s="31"/>
      <c r="B183" s="31"/>
      <c r="C183" s="31"/>
      <c r="D183" s="32"/>
      <c r="E183" s="30"/>
      <c r="F183" s="30"/>
      <c r="G183" s="30"/>
      <c r="H183" s="30"/>
      <c r="I183" s="30"/>
      <c r="J183" s="30"/>
      <c r="K183" s="30"/>
      <c r="L183" s="30"/>
      <c r="M183" s="30"/>
    </row>
    <row r="184" spans="1:13">
      <c r="A184" s="31"/>
      <c r="B184" s="31"/>
      <c r="C184" s="31"/>
      <c r="D184" s="32"/>
      <c r="E184" s="30"/>
      <c r="F184" s="30"/>
      <c r="G184" s="30"/>
      <c r="H184" s="30"/>
      <c r="I184" s="30"/>
      <c r="J184" s="30"/>
      <c r="K184" s="30"/>
      <c r="L184" s="30"/>
      <c r="M184" s="30"/>
    </row>
    <row r="185" spans="1:13">
      <c r="A185" s="31"/>
      <c r="B185" s="31"/>
      <c r="C185" s="31"/>
      <c r="D185" s="32"/>
      <c r="E185" s="30"/>
      <c r="F185" s="30"/>
      <c r="G185" s="30"/>
      <c r="H185" s="30"/>
      <c r="I185" s="30"/>
      <c r="J185" s="30"/>
      <c r="K185" s="30"/>
      <c r="L185" s="30"/>
      <c r="M185" s="30"/>
    </row>
    <row r="186" spans="1:13">
      <c r="A186" s="31"/>
      <c r="B186" s="31"/>
      <c r="C186" s="31"/>
      <c r="D186" s="32"/>
      <c r="E186" s="30"/>
      <c r="F186" s="30"/>
      <c r="G186" s="30"/>
      <c r="H186" s="30"/>
      <c r="I186" s="30"/>
      <c r="J186" s="30"/>
      <c r="K186" s="30"/>
      <c r="L186" s="30"/>
      <c r="M186" s="30"/>
    </row>
    <row r="187" spans="1:13">
      <c r="A187" s="31"/>
      <c r="B187" s="31"/>
      <c r="C187" s="31"/>
      <c r="D187" s="32"/>
      <c r="E187" s="30"/>
      <c r="F187" s="30"/>
      <c r="G187" s="30"/>
      <c r="H187" s="30"/>
      <c r="I187" s="30"/>
      <c r="J187" s="30"/>
      <c r="K187" s="30"/>
      <c r="L187" s="30"/>
      <c r="M187" s="30"/>
    </row>
    <row r="188" spans="1:13">
      <c r="A188" s="31"/>
      <c r="B188" s="31"/>
      <c r="C188" s="31"/>
      <c r="D188" s="32"/>
      <c r="E188" s="30"/>
      <c r="F188" s="30"/>
      <c r="G188" s="30"/>
      <c r="H188" s="30"/>
      <c r="I188" s="30"/>
      <c r="J188" s="30"/>
      <c r="K188" s="30"/>
      <c r="L188" s="30"/>
      <c r="M188" s="30"/>
    </row>
    <row r="189" spans="1:13">
      <c r="A189" s="31"/>
      <c r="B189" s="31"/>
      <c r="C189" s="31"/>
      <c r="D189" s="32"/>
      <c r="E189" s="30"/>
      <c r="F189" s="30"/>
      <c r="G189" s="30"/>
      <c r="H189" s="30"/>
      <c r="I189" s="30"/>
      <c r="J189" s="30"/>
      <c r="K189" s="30"/>
      <c r="L189" s="30"/>
      <c r="M189" s="30"/>
    </row>
    <row r="190" spans="1:13">
      <c r="A190" s="31"/>
      <c r="B190" s="31"/>
      <c r="C190" s="31"/>
      <c r="D190" s="32"/>
      <c r="E190" s="30"/>
      <c r="F190" s="30"/>
      <c r="G190" s="30"/>
      <c r="H190" s="30"/>
      <c r="I190" s="30"/>
      <c r="J190" s="30"/>
      <c r="K190" s="30"/>
      <c r="L190" s="30"/>
      <c r="M190" s="30"/>
    </row>
    <row r="191" spans="1:13">
      <c r="A191" s="31"/>
      <c r="B191" s="31"/>
      <c r="C191" s="31"/>
      <c r="D191" s="32"/>
      <c r="E191" s="30"/>
      <c r="F191" s="30"/>
      <c r="G191" s="30"/>
      <c r="H191" s="30"/>
      <c r="I191" s="30"/>
      <c r="J191" s="30"/>
      <c r="K191" s="30"/>
      <c r="L191" s="30"/>
      <c r="M191" s="30"/>
    </row>
    <row r="192" spans="1:13">
      <c r="A192" s="31"/>
      <c r="B192" s="31"/>
      <c r="C192" s="31"/>
      <c r="D192" s="32"/>
      <c r="E192" s="30"/>
      <c r="F192" s="30"/>
      <c r="G192" s="30"/>
      <c r="H192" s="30"/>
      <c r="I192" s="30"/>
      <c r="J192" s="30"/>
      <c r="K192" s="30"/>
      <c r="L192" s="30"/>
      <c r="M192" s="30"/>
    </row>
    <row r="193" spans="1:13">
      <c r="A193" s="31"/>
      <c r="B193" s="31"/>
      <c r="C193" s="31"/>
      <c r="D193" s="32"/>
      <c r="E193" s="30"/>
      <c r="F193" s="30"/>
      <c r="G193" s="30"/>
      <c r="H193" s="30"/>
      <c r="I193" s="30"/>
      <c r="J193" s="30"/>
      <c r="K193" s="30"/>
      <c r="L193" s="30"/>
      <c r="M193" s="30"/>
    </row>
    <row r="194" spans="1:13">
      <c r="A194" s="31"/>
      <c r="B194" s="31"/>
      <c r="C194" s="31"/>
      <c r="D194" s="32"/>
      <c r="E194" s="30"/>
      <c r="F194" s="30"/>
      <c r="G194" s="30"/>
      <c r="H194" s="30"/>
      <c r="I194" s="30"/>
      <c r="J194" s="30"/>
      <c r="K194" s="30"/>
      <c r="L194" s="30"/>
      <c r="M194" s="30"/>
    </row>
    <row r="195" spans="1:13">
      <c r="A195" s="31"/>
      <c r="B195" s="31"/>
      <c r="C195" s="31"/>
      <c r="D195" s="32"/>
      <c r="E195" s="30"/>
      <c r="F195" s="30"/>
      <c r="G195" s="30"/>
      <c r="H195" s="30"/>
      <c r="I195" s="30"/>
      <c r="J195" s="30"/>
      <c r="K195" s="30"/>
      <c r="L195" s="30"/>
      <c r="M195" s="30"/>
    </row>
    <row r="196" spans="1:13">
      <c r="A196" s="31"/>
      <c r="B196" s="31"/>
      <c r="C196" s="31"/>
      <c r="D196" s="32"/>
      <c r="E196" s="30"/>
      <c r="F196" s="30"/>
      <c r="G196" s="30"/>
      <c r="H196" s="30"/>
      <c r="I196" s="30"/>
      <c r="J196" s="30"/>
      <c r="K196" s="30"/>
      <c r="L196" s="30"/>
      <c r="M196" s="30"/>
    </row>
    <row r="197" spans="1:13">
      <c r="A197" s="31"/>
      <c r="B197" s="31"/>
      <c r="C197" s="31"/>
      <c r="D197" s="32"/>
      <c r="E197" s="30"/>
      <c r="F197" s="30"/>
      <c r="G197" s="30"/>
      <c r="H197" s="30"/>
      <c r="I197" s="30"/>
      <c r="J197" s="30"/>
      <c r="K197" s="30"/>
      <c r="L197" s="30"/>
      <c r="M197" s="30"/>
    </row>
    <row r="198" spans="1:13">
      <c r="A198" s="31"/>
      <c r="B198" s="31"/>
      <c r="C198" s="31"/>
      <c r="D198" s="32"/>
      <c r="E198" s="30"/>
      <c r="F198" s="30"/>
      <c r="G198" s="30"/>
      <c r="H198" s="30"/>
      <c r="I198" s="30"/>
      <c r="J198" s="30"/>
      <c r="K198" s="30"/>
      <c r="L198" s="30"/>
      <c r="M198" s="30"/>
    </row>
    <row r="199" spans="1:13">
      <c r="A199" s="31"/>
      <c r="B199" s="31"/>
      <c r="C199" s="31"/>
      <c r="D199" s="32"/>
      <c r="E199" s="30"/>
      <c r="F199" s="30"/>
      <c r="G199" s="30"/>
      <c r="H199" s="30"/>
      <c r="I199" s="30"/>
      <c r="J199" s="30"/>
      <c r="K199" s="30"/>
      <c r="L199" s="30"/>
      <c r="M199" s="30"/>
    </row>
    <row r="200" spans="1:13">
      <c r="A200" s="31"/>
      <c r="B200" s="31"/>
      <c r="C200" s="31"/>
      <c r="D200" s="32"/>
      <c r="E200" s="30"/>
      <c r="F200" s="30"/>
      <c r="G200" s="30"/>
      <c r="H200" s="30"/>
      <c r="I200" s="30"/>
      <c r="J200" s="30"/>
      <c r="K200" s="30"/>
      <c r="L200" s="30"/>
      <c r="M200" s="30"/>
    </row>
    <row r="201" spans="1:13">
      <c r="A201" s="31"/>
      <c r="B201" s="31"/>
      <c r="C201" s="31"/>
      <c r="D201" s="32"/>
      <c r="E201" s="30"/>
      <c r="F201" s="30"/>
      <c r="G201" s="30"/>
      <c r="H201" s="30"/>
      <c r="I201" s="30"/>
      <c r="J201" s="30"/>
      <c r="K201" s="30"/>
      <c r="L201" s="30"/>
      <c r="M201" s="30"/>
    </row>
    <row r="202" spans="1:13">
      <c r="A202" s="31"/>
      <c r="B202" s="31"/>
      <c r="C202" s="31"/>
      <c r="D202" s="32"/>
      <c r="E202" s="30"/>
      <c r="F202" s="30"/>
      <c r="G202" s="30"/>
      <c r="H202" s="30"/>
      <c r="I202" s="30"/>
      <c r="J202" s="30"/>
      <c r="K202" s="30"/>
      <c r="L202" s="30"/>
      <c r="M202" s="30"/>
    </row>
    <row r="203" spans="1:13">
      <c r="A203" s="31"/>
      <c r="B203" s="31"/>
      <c r="C203" s="31"/>
      <c r="D203" s="32"/>
      <c r="E203" s="30"/>
      <c r="F203" s="30"/>
      <c r="G203" s="30"/>
      <c r="H203" s="30"/>
      <c r="I203" s="30"/>
      <c r="J203" s="30"/>
      <c r="K203" s="30"/>
      <c r="L203" s="30"/>
      <c r="M203" s="30"/>
    </row>
    <row r="204" spans="1:13">
      <c r="A204" s="31"/>
      <c r="B204" s="31"/>
      <c r="C204" s="31"/>
      <c r="D204" s="32"/>
      <c r="E204" s="30"/>
      <c r="F204" s="30"/>
      <c r="G204" s="30"/>
      <c r="H204" s="30"/>
      <c r="I204" s="30"/>
      <c r="J204" s="30"/>
      <c r="K204" s="30"/>
      <c r="L204" s="30"/>
      <c r="M204" s="30"/>
    </row>
    <row r="205" spans="1:13">
      <c r="A205" s="31"/>
      <c r="B205" s="31"/>
      <c r="C205" s="31"/>
      <c r="D205" s="32"/>
      <c r="E205" s="30"/>
      <c r="F205" s="30"/>
      <c r="G205" s="30"/>
      <c r="H205" s="30"/>
      <c r="I205" s="30"/>
      <c r="J205" s="30"/>
      <c r="K205" s="30"/>
      <c r="L205" s="30"/>
      <c r="M205" s="30"/>
    </row>
    <row r="206" spans="1:13">
      <c r="A206" s="31"/>
      <c r="B206" s="31"/>
      <c r="C206" s="31"/>
      <c r="D206" s="32"/>
      <c r="E206" s="30"/>
      <c r="F206" s="30"/>
      <c r="G206" s="30"/>
      <c r="H206" s="30"/>
      <c r="I206" s="30"/>
      <c r="J206" s="30"/>
      <c r="K206" s="30"/>
      <c r="L206" s="30"/>
      <c r="M206" s="30"/>
    </row>
    <row r="207" spans="1:13">
      <c r="A207" s="31"/>
      <c r="B207" s="31"/>
      <c r="C207" s="31"/>
      <c r="D207" s="32"/>
      <c r="E207" s="30"/>
      <c r="F207" s="30"/>
      <c r="G207" s="30"/>
      <c r="H207" s="30"/>
      <c r="I207" s="30"/>
      <c r="J207" s="30"/>
      <c r="K207" s="30"/>
      <c r="L207" s="30"/>
      <c r="M207" s="30"/>
    </row>
    <row r="208" spans="1:13">
      <c r="A208" s="31"/>
      <c r="B208" s="31"/>
      <c r="C208" s="31"/>
      <c r="D208" s="32"/>
      <c r="E208" s="30"/>
      <c r="F208" s="30"/>
      <c r="G208" s="30"/>
      <c r="H208" s="30"/>
      <c r="I208" s="30"/>
      <c r="J208" s="30"/>
      <c r="K208" s="30"/>
      <c r="L208" s="30"/>
      <c r="M208" s="30"/>
    </row>
    <row r="209" spans="1:13">
      <c r="A209" s="31"/>
      <c r="B209" s="31"/>
      <c r="C209" s="31"/>
      <c r="D209" s="32"/>
      <c r="E209" s="30"/>
      <c r="F209" s="30"/>
      <c r="G209" s="30"/>
      <c r="H209" s="30"/>
      <c r="I209" s="30"/>
      <c r="J209" s="30"/>
      <c r="K209" s="30"/>
      <c r="L209" s="30"/>
      <c r="M209" s="30"/>
    </row>
    <row r="210" spans="1:13">
      <c r="A210" s="31"/>
      <c r="B210" s="31"/>
      <c r="C210" s="31"/>
      <c r="D210" s="32"/>
      <c r="E210" s="30"/>
      <c r="F210" s="30"/>
      <c r="G210" s="30"/>
      <c r="H210" s="30"/>
      <c r="I210" s="30"/>
      <c r="J210" s="30"/>
      <c r="K210" s="30"/>
      <c r="L210" s="30"/>
      <c r="M210" s="30"/>
    </row>
    <row r="211" spans="1:13">
      <c r="A211" s="31"/>
      <c r="B211" s="31"/>
      <c r="C211" s="31"/>
      <c r="D211" s="32"/>
      <c r="E211" s="30"/>
      <c r="F211" s="30"/>
      <c r="G211" s="30"/>
      <c r="H211" s="30"/>
      <c r="I211" s="30"/>
      <c r="J211" s="30"/>
      <c r="K211" s="30"/>
      <c r="L211" s="30"/>
      <c r="M211" s="30"/>
    </row>
    <row r="212" spans="1:13">
      <c r="A212" s="31"/>
      <c r="B212" s="31"/>
      <c r="C212" s="31"/>
      <c r="D212" s="32"/>
      <c r="E212" s="30"/>
      <c r="F212" s="30"/>
      <c r="G212" s="30"/>
      <c r="H212" s="30"/>
      <c r="I212" s="30"/>
      <c r="J212" s="30"/>
      <c r="K212" s="30"/>
      <c r="L212" s="30"/>
      <c r="M212" s="30"/>
    </row>
    <row r="213" spans="1:13">
      <c r="A213" s="31"/>
      <c r="B213" s="31"/>
      <c r="C213" s="31"/>
      <c r="D213" s="32"/>
      <c r="E213" s="30"/>
      <c r="F213" s="30"/>
      <c r="G213" s="30"/>
      <c r="H213" s="30"/>
      <c r="I213" s="30"/>
      <c r="J213" s="30"/>
      <c r="K213" s="30"/>
      <c r="L213" s="30"/>
      <c r="M213" s="30"/>
    </row>
    <row r="214" spans="1:13">
      <c r="A214" s="31"/>
      <c r="B214" s="31"/>
      <c r="C214" s="31"/>
      <c r="D214" s="32"/>
      <c r="E214" s="30"/>
      <c r="F214" s="30"/>
      <c r="G214" s="30"/>
      <c r="H214" s="30"/>
      <c r="I214" s="30"/>
      <c r="J214" s="30"/>
      <c r="K214" s="30"/>
      <c r="L214" s="30"/>
      <c r="M214" s="30"/>
    </row>
    <row r="215" spans="1:13">
      <c r="A215" s="31"/>
      <c r="B215" s="31"/>
      <c r="C215" s="31"/>
      <c r="D215" s="32"/>
      <c r="E215" s="30"/>
      <c r="F215" s="30"/>
      <c r="G215" s="30"/>
      <c r="H215" s="30"/>
      <c r="I215" s="30"/>
      <c r="J215" s="30"/>
      <c r="K215" s="30"/>
      <c r="L215" s="30"/>
      <c r="M215" s="30"/>
    </row>
    <row r="216" spans="1:13">
      <c r="A216" s="31"/>
      <c r="B216" s="31"/>
      <c r="C216" s="31"/>
      <c r="D216" s="32"/>
      <c r="E216" s="30"/>
      <c r="F216" s="30"/>
      <c r="G216" s="30"/>
      <c r="H216" s="30"/>
      <c r="I216" s="30"/>
      <c r="J216" s="30"/>
      <c r="K216" s="30"/>
      <c r="L216" s="30"/>
      <c r="M216" s="30"/>
    </row>
    <row r="217" spans="1:13">
      <c r="A217" s="31"/>
      <c r="B217" s="31"/>
      <c r="C217" s="31"/>
      <c r="D217" s="32"/>
      <c r="E217" s="30"/>
      <c r="F217" s="30"/>
      <c r="G217" s="30"/>
      <c r="H217" s="30"/>
      <c r="I217" s="30"/>
      <c r="J217" s="30"/>
      <c r="K217" s="30"/>
      <c r="L217" s="30"/>
      <c r="M217" s="30"/>
    </row>
    <row r="218" spans="1:13">
      <c r="A218" s="31"/>
      <c r="B218" s="31"/>
      <c r="C218" s="31"/>
      <c r="D218" s="32"/>
      <c r="E218" s="30"/>
      <c r="F218" s="30"/>
      <c r="G218" s="30"/>
      <c r="H218" s="30"/>
      <c r="I218" s="30"/>
      <c r="J218" s="30"/>
      <c r="K218" s="30"/>
      <c r="L218" s="30"/>
      <c r="M218" s="30"/>
    </row>
    <row r="219" spans="1:13">
      <c r="A219" s="31"/>
      <c r="B219" s="31"/>
      <c r="C219" s="31"/>
      <c r="D219" s="32"/>
      <c r="E219" s="30"/>
      <c r="F219" s="30"/>
      <c r="G219" s="30"/>
      <c r="H219" s="30"/>
      <c r="I219" s="30"/>
      <c r="J219" s="30"/>
      <c r="K219" s="30"/>
      <c r="L219" s="30"/>
      <c r="M219" s="30"/>
    </row>
    <row r="220" spans="1:13">
      <c r="A220" s="31"/>
      <c r="B220" s="31"/>
      <c r="C220" s="31"/>
      <c r="D220" s="32"/>
      <c r="E220" s="30"/>
      <c r="F220" s="30"/>
      <c r="G220" s="30"/>
      <c r="H220" s="30"/>
      <c r="I220" s="30"/>
      <c r="J220" s="30"/>
      <c r="K220" s="30"/>
      <c r="L220" s="30"/>
      <c r="M220" s="30"/>
    </row>
    <row r="221" spans="1:13">
      <c r="A221" s="31"/>
      <c r="B221" s="31"/>
      <c r="C221" s="31"/>
      <c r="D221" s="32"/>
      <c r="E221" s="30"/>
      <c r="F221" s="30"/>
      <c r="G221" s="30"/>
      <c r="H221" s="30"/>
      <c r="I221" s="30"/>
      <c r="J221" s="30"/>
      <c r="K221" s="30"/>
      <c r="L221" s="30"/>
      <c r="M221" s="30"/>
    </row>
    <row r="222" spans="1:13">
      <c r="A222" s="31"/>
      <c r="B222" s="31"/>
      <c r="C222" s="31"/>
      <c r="D222" s="32"/>
      <c r="E222" s="30"/>
      <c r="F222" s="30"/>
      <c r="G222" s="30"/>
      <c r="H222" s="30"/>
      <c r="I222" s="30"/>
      <c r="J222" s="30"/>
      <c r="K222" s="30"/>
      <c r="L222" s="30"/>
      <c r="M222" s="30"/>
    </row>
    <row r="223" spans="1:13">
      <c r="A223" s="31"/>
      <c r="B223" s="31"/>
      <c r="C223" s="31"/>
      <c r="D223" s="32"/>
      <c r="E223" s="30"/>
      <c r="F223" s="30"/>
      <c r="G223" s="30"/>
      <c r="H223" s="30"/>
      <c r="I223" s="30"/>
      <c r="J223" s="30"/>
      <c r="K223" s="30"/>
      <c r="L223" s="30"/>
      <c r="M223" s="30"/>
    </row>
    <row r="224" spans="1:13">
      <c r="A224" s="31"/>
      <c r="B224" s="31"/>
      <c r="C224" s="31"/>
      <c r="D224" s="32"/>
      <c r="E224" s="30"/>
      <c r="F224" s="30"/>
      <c r="G224" s="30"/>
      <c r="H224" s="30"/>
      <c r="I224" s="30"/>
      <c r="J224" s="30"/>
      <c r="K224" s="30"/>
      <c r="L224" s="30"/>
      <c r="M224" s="30"/>
    </row>
    <row r="225" spans="1:13">
      <c r="A225" s="31"/>
      <c r="B225" s="31"/>
      <c r="C225" s="31"/>
      <c r="D225" s="32"/>
      <c r="E225" s="30"/>
      <c r="F225" s="30"/>
      <c r="G225" s="30"/>
      <c r="H225" s="30"/>
      <c r="I225" s="30"/>
      <c r="J225" s="30"/>
      <c r="K225" s="30"/>
      <c r="L225" s="30"/>
      <c r="M225" s="30"/>
    </row>
    <row r="226" spans="1:13">
      <c r="A226" s="31"/>
      <c r="B226" s="31"/>
      <c r="C226" s="31"/>
      <c r="D226" s="32"/>
      <c r="E226" s="30"/>
      <c r="F226" s="30"/>
      <c r="G226" s="30"/>
      <c r="H226" s="30"/>
      <c r="I226" s="30"/>
      <c r="J226" s="30"/>
      <c r="K226" s="30"/>
      <c r="L226" s="30"/>
      <c r="M226" s="30"/>
    </row>
    <row r="227" spans="1:13">
      <c r="A227" s="31"/>
      <c r="B227" s="31"/>
      <c r="C227" s="31"/>
      <c r="D227" s="32"/>
      <c r="E227" s="30"/>
      <c r="F227" s="30"/>
      <c r="G227" s="30"/>
      <c r="H227" s="30"/>
      <c r="I227" s="30"/>
      <c r="J227" s="30"/>
      <c r="K227" s="30"/>
      <c r="L227" s="30"/>
      <c r="M227" s="30"/>
    </row>
    <row r="228" spans="1:13">
      <c r="A228" s="31"/>
      <c r="B228" s="31"/>
      <c r="C228" s="31"/>
      <c r="D228" s="32"/>
      <c r="E228" s="30"/>
      <c r="F228" s="30"/>
      <c r="G228" s="30"/>
      <c r="H228" s="30"/>
      <c r="I228" s="30"/>
      <c r="J228" s="30"/>
      <c r="K228" s="30"/>
      <c r="L228" s="30"/>
      <c r="M228" s="30"/>
    </row>
    <row r="229" spans="1:13">
      <c r="A229" s="31"/>
      <c r="B229" s="31"/>
      <c r="C229" s="31"/>
      <c r="D229" s="32"/>
      <c r="E229" s="30"/>
      <c r="F229" s="30"/>
      <c r="G229" s="30"/>
      <c r="H229" s="30"/>
      <c r="I229" s="30"/>
      <c r="J229" s="30"/>
      <c r="K229" s="30"/>
      <c r="L229" s="30"/>
      <c r="M229" s="30"/>
    </row>
    <row r="230" spans="1:13">
      <c r="A230" s="31"/>
      <c r="B230" s="31"/>
      <c r="C230" s="31"/>
      <c r="D230" s="32"/>
      <c r="E230" s="30"/>
      <c r="F230" s="30"/>
      <c r="G230" s="30"/>
      <c r="H230" s="30"/>
      <c r="I230" s="30"/>
      <c r="J230" s="30"/>
      <c r="K230" s="30"/>
      <c r="L230" s="30"/>
      <c r="M230" s="30"/>
    </row>
    <row r="231" spans="1:13">
      <c r="A231" s="31"/>
      <c r="B231" s="31"/>
      <c r="C231" s="31"/>
      <c r="D231" s="32"/>
      <c r="E231" s="30"/>
      <c r="F231" s="30"/>
      <c r="G231" s="30"/>
      <c r="H231" s="30"/>
      <c r="I231" s="30"/>
      <c r="J231" s="30"/>
      <c r="K231" s="30"/>
      <c r="L231" s="30"/>
      <c r="M231" s="30"/>
    </row>
    <row r="232" spans="1:13">
      <c r="A232" s="31"/>
      <c r="B232" s="31"/>
      <c r="C232" s="31"/>
      <c r="D232" s="32"/>
      <c r="E232" s="30"/>
      <c r="F232" s="30"/>
      <c r="G232" s="30"/>
      <c r="H232" s="30"/>
      <c r="I232" s="30"/>
      <c r="J232" s="30"/>
      <c r="K232" s="30"/>
      <c r="L232" s="30"/>
      <c r="M232" s="30"/>
    </row>
    <row r="233" spans="1:13">
      <c r="A233" s="31"/>
      <c r="B233" s="31"/>
      <c r="C233" s="31"/>
      <c r="D233" s="32"/>
      <c r="E233" s="30"/>
      <c r="F233" s="30"/>
      <c r="G233" s="30"/>
      <c r="H233" s="30"/>
      <c r="I233" s="30"/>
      <c r="J233" s="30"/>
      <c r="K233" s="30"/>
      <c r="L233" s="30"/>
      <c r="M233" s="30"/>
    </row>
    <row r="234" spans="1:13">
      <c r="A234" s="31"/>
      <c r="B234" s="31"/>
      <c r="C234" s="31"/>
      <c r="D234" s="32"/>
      <c r="E234" s="30"/>
      <c r="F234" s="30"/>
      <c r="G234" s="30"/>
      <c r="H234" s="30"/>
      <c r="I234" s="30"/>
      <c r="J234" s="30"/>
      <c r="K234" s="30"/>
      <c r="L234" s="30"/>
      <c r="M234" s="30"/>
    </row>
    <row r="235" spans="1:13">
      <c r="A235" s="31"/>
      <c r="B235" s="31"/>
      <c r="C235" s="31"/>
      <c r="D235" s="32"/>
      <c r="E235" s="30"/>
      <c r="F235" s="30"/>
      <c r="G235" s="30"/>
      <c r="H235" s="30"/>
      <c r="I235" s="30"/>
      <c r="J235" s="30"/>
      <c r="K235" s="30"/>
      <c r="L235" s="30"/>
      <c r="M235" s="30"/>
    </row>
    <row r="236" spans="1:13">
      <c r="A236" s="31"/>
      <c r="B236" s="31"/>
      <c r="C236" s="31"/>
      <c r="D236" s="32"/>
      <c r="E236" s="30"/>
      <c r="F236" s="30"/>
      <c r="G236" s="30"/>
      <c r="H236" s="30"/>
      <c r="I236" s="30"/>
      <c r="J236" s="30"/>
      <c r="K236" s="30"/>
      <c r="L236" s="30"/>
      <c r="M236" s="30"/>
    </row>
    <row r="237" spans="1:13">
      <c r="A237" s="31"/>
      <c r="B237" s="31"/>
      <c r="C237" s="31"/>
      <c r="D237" s="32"/>
      <c r="E237" s="30"/>
      <c r="F237" s="30"/>
      <c r="G237" s="30"/>
      <c r="H237" s="30"/>
      <c r="I237" s="30"/>
      <c r="J237" s="30"/>
      <c r="K237" s="30"/>
      <c r="L237" s="30"/>
      <c r="M237" s="30"/>
    </row>
    <row r="238" spans="1:13">
      <c r="A238" s="31"/>
      <c r="B238" s="31"/>
      <c r="C238" s="31"/>
      <c r="D238" s="32"/>
      <c r="E238" s="30"/>
      <c r="F238" s="30"/>
      <c r="G238" s="30"/>
      <c r="H238" s="30"/>
      <c r="I238" s="30"/>
      <c r="J238" s="30"/>
      <c r="K238" s="30"/>
      <c r="L238" s="30"/>
      <c r="M238" s="30"/>
    </row>
    <row r="239" spans="1:13">
      <c r="A239" s="31"/>
      <c r="B239" s="31"/>
      <c r="C239" s="31"/>
      <c r="D239" s="32"/>
      <c r="E239" s="30"/>
      <c r="F239" s="30"/>
      <c r="G239" s="30"/>
      <c r="H239" s="30"/>
      <c r="I239" s="30"/>
      <c r="J239" s="30"/>
      <c r="K239" s="30"/>
      <c r="L239" s="30"/>
      <c r="M239" s="30"/>
    </row>
    <row r="240" spans="1:13">
      <c r="A240" s="31"/>
      <c r="B240" s="31"/>
      <c r="C240" s="31"/>
      <c r="D240" s="32"/>
      <c r="E240" s="30"/>
      <c r="F240" s="30"/>
      <c r="G240" s="30"/>
      <c r="H240" s="30"/>
      <c r="I240" s="30"/>
      <c r="J240" s="30"/>
      <c r="K240" s="30"/>
      <c r="L240" s="30"/>
      <c r="M240" s="30"/>
    </row>
    <row r="241" spans="1:13">
      <c r="A241" s="31"/>
      <c r="B241" s="31"/>
      <c r="C241" s="31"/>
      <c r="D241" s="32"/>
      <c r="E241" s="30"/>
      <c r="F241" s="30"/>
      <c r="G241" s="30"/>
      <c r="H241" s="30"/>
      <c r="I241" s="30"/>
      <c r="J241" s="30"/>
      <c r="K241" s="30"/>
      <c r="L241" s="30"/>
      <c r="M241" s="30"/>
    </row>
    <row r="242" spans="1:13">
      <c r="A242" s="31"/>
      <c r="B242" s="31"/>
      <c r="C242" s="31"/>
      <c r="D242" s="32"/>
      <c r="E242" s="30"/>
      <c r="F242" s="30"/>
      <c r="G242" s="30"/>
      <c r="H242" s="30"/>
      <c r="I242" s="30"/>
      <c r="J242" s="30"/>
      <c r="K242" s="30"/>
      <c r="L242" s="30"/>
      <c r="M242" s="30"/>
    </row>
    <row r="243" spans="1:13">
      <c r="A243" s="31"/>
      <c r="B243" s="31"/>
      <c r="C243" s="31"/>
      <c r="D243" s="32"/>
      <c r="E243" s="30"/>
      <c r="F243" s="30"/>
      <c r="G243" s="30"/>
      <c r="H243" s="30"/>
      <c r="I243" s="30"/>
      <c r="J243" s="30"/>
      <c r="K243" s="30"/>
      <c r="L243" s="30"/>
      <c r="M243" s="30"/>
    </row>
    <row r="244" spans="1:13">
      <c r="A244" s="31"/>
      <c r="B244" s="31"/>
      <c r="C244" s="31"/>
      <c r="D244" s="32"/>
      <c r="E244" s="30"/>
      <c r="F244" s="30"/>
      <c r="G244" s="30"/>
      <c r="H244" s="30"/>
      <c r="I244" s="30"/>
      <c r="J244" s="30"/>
      <c r="K244" s="30"/>
      <c r="L244" s="30"/>
      <c r="M244" s="30"/>
    </row>
    <row r="245" spans="1:13">
      <c r="A245" s="31"/>
      <c r="B245" s="31"/>
      <c r="C245" s="31"/>
      <c r="D245" s="32"/>
      <c r="E245" s="30"/>
      <c r="F245" s="30"/>
      <c r="G245" s="30"/>
      <c r="H245" s="30"/>
      <c r="I245" s="30"/>
      <c r="J245" s="30"/>
      <c r="K245" s="30"/>
      <c r="L245" s="30"/>
      <c r="M245" s="30"/>
    </row>
    <row r="246" spans="1:13">
      <c r="A246" s="31"/>
      <c r="B246" s="31"/>
      <c r="C246" s="31"/>
      <c r="D246" s="32"/>
      <c r="E246" s="30"/>
      <c r="F246" s="30"/>
      <c r="G246" s="30"/>
      <c r="H246" s="30"/>
      <c r="I246" s="30"/>
      <c r="J246" s="30"/>
      <c r="K246" s="30"/>
      <c r="L246" s="30"/>
      <c r="M246" s="30"/>
    </row>
    <row r="247" spans="1:13">
      <c r="A247" s="31"/>
      <c r="B247" s="31"/>
      <c r="C247" s="31"/>
      <c r="D247" s="32"/>
      <c r="E247" s="30"/>
      <c r="F247" s="30"/>
      <c r="G247" s="30"/>
      <c r="H247" s="30"/>
      <c r="I247" s="30"/>
      <c r="J247" s="30"/>
      <c r="K247" s="30"/>
      <c r="L247" s="30"/>
      <c r="M247" s="30"/>
    </row>
    <row r="248" spans="1:13">
      <c r="A248" s="31"/>
      <c r="B248" s="31"/>
      <c r="C248" s="31"/>
      <c r="D248" s="32"/>
      <c r="E248" s="30"/>
      <c r="F248" s="30"/>
      <c r="G248" s="30"/>
      <c r="H248" s="30"/>
      <c r="I248" s="30"/>
      <c r="J248" s="30"/>
      <c r="K248" s="30"/>
      <c r="L248" s="30"/>
      <c r="M248" s="30"/>
    </row>
    <row r="249" spans="1:13">
      <c r="A249" s="31"/>
      <c r="B249" s="31"/>
      <c r="C249" s="31"/>
      <c r="D249" s="32"/>
      <c r="E249" s="30"/>
      <c r="F249" s="30"/>
      <c r="G249" s="30"/>
      <c r="H249" s="30"/>
      <c r="I249" s="30"/>
      <c r="J249" s="30"/>
      <c r="K249" s="30"/>
      <c r="L249" s="30"/>
      <c r="M249" s="30"/>
    </row>
    <row r="250" spans="1:13">
      <c r="A250" s="31"/>
      <c r="B250" s="31"/>
      <c r="C250" s="31"/>
      <c r="D250" s="32"/>
      <c r="E250" s="30"/>
      <c r="F250" s="30"/>
      <c r="G250" s="30"/>
      <c r="H250" s="30"/>
      <c r="I250" s="30"/>
      <c r="J250" s="30"/>
      <c r="K250" s="30"/>
      <c r="L250" s="30"/>
      <c r="M250" s="30"/>
    </row>
    <row r="251" spans="1:13">
      <c r="A251" s="31"/>
      <c r="B251" s="31"/>
      <c r="C251" s="31"/>
      <c r="D251" s="32"/>
      <c r="E251" s="30"/>
      <c r="F251" s="30"/>
      <c r="G251" s="30"/>
      <c r="H251" s="30"/>
      <c r="I251" s="30"/>
      <c r="J251" s="30"/>
      <c r="K251" s="30"/>
      <c r="L251" s="30"/>
      <c r="M251" s="30"/>
    </row>
    <row r="252" spans="1:13">
      <c r="A252" s="31"/>
      <c r="B252" s="31"/>
      <c r="C252" s="31"/>
      <c r="D252" s="32"/>
      <c r="E252" s="30"/>
      <c r="F252" s="30"/>
      <c r="G252" s="30"/>
      <c r="H252" s="30"/>
      <c r="I252" s="30"/>
      <c r="J252" s="30"/>
      <c r="K252" s="30"/>
      <c r="L252" s="30"/>
      <c r="M252" s="30"/>
    </row>
    <row r="253" spans="1:13">
      <c r="A253" s="31"/>
      <c r="B253" s="31"/>
      <c r="C253" s="31"/>
      <c r="D253" s="32"/>
      <c r="E253" s="30"/>
      <c r="F253" s="30"/>
      <c r="G253" s="30"/>
      <c r="H253" s="30"/>
      <c r="I253" s="30"/>
      <c r="J253" s="30"/>
      <c r="K253" s="30"/>
      <c r="L253" s="30"/>
      <c r="M253" s="30"/>
    </row>
    <row r="254" spans="1:13">
      <c r="A254" s="31"/>
      <c r="B254" s="31"/>
      <c r="C254" s="31"/>
      <c r="D254" s="32"/>
      <c r="E254" s="30"/>
      <c r="F254" s="30"/>
      <c r="G254" s="30"/>
      <c r="H254" s="30"/>
      <c r="I254" s="30"/>
      <c r="J254" s="30"/>
      <c r="K254" s="30"/>
      <c r="L254" s="30"/>
      <c r="M254" s="30"/>
    </row>
    <row r="255" spans="1:13">
      <c r="A255" s="31"/>
      <c r="B255" s="31"/>
      <c r="C255" s="31"/>
      <c r="D255" s="32"/>
      <c r="E255" s="30"/>
      <c r="F255" s="30"/>
      <c r="G255" s="30"/>
      <c r="H255" s="30"/>
      <c r="I255" s="30"/>
      <c r="J255" s="30"/>
      <c r="K255" s="30"/>
      <c r="L255" s="30"/>
      <c r="M255" s="30"/>
    </row>
    <row r="256" spans="1:13">
      <c r="A256" s="31"/>
      <c r="B256" s="31"/>
      <c r="C256" s="31"/>
      <c r="D256" s="32"/>
      <c r="E256" s="30"/>
      <c r="F256" s="30"/>
      <c r="G256" s="30"/>
      <c r="H256" s="30"/>
      <c r="I256" s="30"/>
      <c r="J256" s="30"/>
      <c r="K256" s="30"/>
      <c r="L256" s="30"/>
      <c r="M256" s="30"/>
    </row>
    <row r="257" spans="1:13">
      <c r="A257" s="31"/>
      <c r="B257" s="31"/>
      <c r="C257" s="31"/>
      <c r="D257" s="32"/>
      <c r="E257" s="30"/>
      <c r="F257" s="30"/>
      <c r="G257" s="30"/>
      <c r="H257" s="30"/>
      <c r="I257" s="30"/>
      <c r="J257" s="30"/>
      <c r="K257" s="30"/>
      <c r="L257" s="30"/>
      <c r="M257" s="30"/>
    </row>
    <row r="258" spans="1:13">
      <c r="A258" s="31"/>
      <c r="B258" s="31"/>
      <c r="C258" s="31"/>
      <c r="D258" s="32"/>
      <c r="E258" s="30"/>
      <c r="F258" s="30"/>
      <c r="G258" s="30"/>
      <c r="H258" s="30"/>
      <c r="I258" s="30"/>
      <c r="J258" s="30"/>
      <c r="K258" s="30"/>
      <c r="L258" s="30"/>
      <c r="M258" s="30"/>
    </row>
    <row r="259" spans="1:13">
      <c r="A259" s="31"/>
      <c r="B259" s="31"/>
      <c r="C259" s="31"/>
      <c r="D259" s="32"/>
      <c r="E259" s="30"/>
      <c r="F259" s="30"/>
      <c r="G259" s="30"/>
      <c r="H259" s="30"/>
      <c r="I259" s="30"/>
      <c r="J259" s="30"/>
      <c r="K259" s="30"/>
      <c r="L259" s="30"/>
      <c r="M259" s="30"/>
    </row>
    <row r="260" spans="1:13">
      <c r="A260" s="31"/>
      <c r="B260" s="31"/>
      <c r="C260" s="31"/>
      <c r="D260" s="32"/>
      <c r="E260" s="30"/>
      <c r="F260" s="30"/>
      <c r="G260" s="30"/>
      <c r="H260" s="30"/>
      <c r="I260" s="30"/>
      <c r="J260" s="30"/>
      <c r="K260" s="30"/>
      <c r="L260" s="30"/>
      <c r="M260" s="30"/>
    </row>
    <row r="261" spans="1:13">
      <c r="A261" s="31"/>
      <c r="B261" s="31"/>
      <c r="C261" s="31"/>
      <c r="D261" s="32"/>
      <c r="E261" s="30"/>
      <c r="F261" s="30"/>
      <c r="G261" s="30"/>
      <c r="H261" s="30"/>
      <c r="I261" s="30"/>
      <c r="J261" s="30"/>
      <c r="K261" s="30"/>
      <c r="L261" s="30"/>
      <c r="M261" s="30"/>
    </row>
    <row r="262" spans="1:13">
      <c r="A262" s="31"/>
      <c r="B262" s="31"/>
      <c r="C262" s="31"/>
      <c r="D262" s="32"/>
      <c r="E262" s="30"/>
      <c r="F262" s="30"/>
      <c r="G262" s="30"/>
      <c r="H262" s="30"/>
      <c r="I262" s="30"/>
      <c r="J262" s="30"/>
      <c r="K262" s="30"/>
      <c r="L262" s="30"/>
      <c r="M262" s="30"/>
    </row>
    <row r="263" spans="1:13">
      <c r="A263" s="31"/>
      <c r="B263" s="31"/>
      <c r="C263" s="31"/>
      <c r="D263" s="32"/>
      <c r="E263" s="30"/>
      <c r="F263" s="30"/>
      <c r="G263" s="30"/>
      <c r="H263" s="30"/>
      <c r="I263" s="30"/>
      <c r="J263" s="30"/>
      <c r="K263" s="30"/>
      <c r="L263" s="30"/>
      <c r="M263" s="30"/>
    </row>
    <row r="264" spans="1:13">
      <c r="A264" s="31"/>
      <c r="B264" s="31"/>
      <c r="C264" s="31"/>
      <c r="D264" s="32"/>
      <c r="E264" s="30"/>
      <c r="F264" s="30"/>
      <c r="G264" s="30"/>
      <c r="H264" s="30"/>
      <c r="I264" s="30"/>
      <c r="J264" s="30"/>
      <c r="K264" s="30"/>
      <c r="L264" s="30"/>
      <c r="M264" s="30"/>
    </row>
    <row r="265" spans="1:13">
      <c r="A265" s="31"/>
      <c r="B265" s="31"/>
      <c r="C265" s="31"/>
      <c r="D265" s="32"/>
      <c r="E265" s="30"/>
      <c r="F265" s="30"/>
      <c r="G265" s="30"/>
      <c r="H265" s="30"/>
      <c r="I265" s="30"/>
      <c r="J265" s="30"/>
      <c r="K265" s="30"/>
      <c r="L265" s="30"/>
      <c r="M265" s="30"/>
    </row>
    <row r="266" spans="1:13">
      <c r="A266" s="31"/>
      <c r="B266" s="31"/>
      <c r="C266" s="31"/>
      <c r="D266" s="32"/>
      <c r="E266" s="30"/>
      <c r="F266" s="30"/>
      <c r="G266" s="30"/>
      <c r="H266" s="30"/>
      <c r="I266" s="30"/>
      <c r="J266" s="30"/>
      <c r="K266" s="30"/>
      <c r="L266" s="30"/>
      <c r="M266" s="30"/>
    </row>
    <row r="267" spans="1:13">
      <c r="A267" s="31"/>
      <c r="B267" s="31"/>
      <c r="C267" s="31"/>
      <c r="D267" s="32"/>
      <c r="E267" s="30"/>
      <c r="F267" s="30"/>
      <c r="G267" s="30"/>
      <c r="H267" s="30"/>
      <c r="I267" s="30"/>
      <c r="J267" s="30"/>
      <c r="K267" s="30"/>
      <c r="L267" s="30"/>
      <c r="M267" s="30"/>
    </row>
    <row r="268" spans="1:13">
      <c r="A268" s="31"/>
      <c r="B268" s="31"/>
      <c r="C268" s="31"/>
      <c r="D268" s="32"/>
      <c r="E268" s="30"/>
      <c r="F268" s="30"/>
      <c r="G268" s="30"/>
      <c r="H268" s="30"/>
      <c r="I268" s="30"/>
      <c r="J268" s="30"/>
      <c r="K268" s="30"/>
      <c r="L268" s="30"/>
      <c r="M268" s="30"/>
    </row>
    <row r="269" spans="1:13">
      <c r="A269" s="31"/>
      <c r="B269" s="31"/>
      <c r="C269" s="31"/>
      <c r="D269" s="32"/>
      <c r="E269" s="30"/>
      <c r="F269" s="30"/>
      <c r="G269" s="30"/>
      <c r="H269" s="30"/>
      <c r="I269" s="30"/>
      <c r="J269" s="30"/>
      <c r="K269" s="30"/>
      <c r="L269" s="30"/>
      <c r="M269" s="30"/>
    </row>
    <row r="270" spans="1:13">
      <c r="A270" s="31"/>
      <c r="B270" s="31"/>
      <c r="C270" s="31"/>
      <c r="D270" s="32"/>
      <c r="E270" s="30"/>
      <c r="F270" s="30"/>
      <c r="G270" s="30"/>
      <c r="H270" s="30"/>
      <c r="I270" s="30"/>
      <c r="J270" s="30"/>
      <c r="K270" s="30"/>
      <c r="L270" s="30"/>
      <c r="M270" s="30"/>
    </row>
    <row r="271" spans="1:13">
      <c r="A271" s="31"/>
      <c r="B271" s="31"/>
      <c r="C271" s="31"/>
      <c r="D271" s="32"/>
      <c r="E271" s="30"/>
      <c r="F271" s="30"/>
      <c r="G271" s="30"/>
      <c r="H271" s="30"/>
      <c r="I271" s="30"/>
      <c r="J271" s="30"/>
      <c r="K271" s="30"/>
      <c r="L271" s="30"/>
      <c r="M271" s="30"/>
    </row>
    <row r="272" spans="1:13">
      <c r="A272" s="31"/>
      <c r="B272" s="31"/>
      <c r="C272" s="31"/>
      <c r="D272" s="32"/>
      <c r="E272" s="30"/>
      <c r="F272" s="30"/>
      <c r="G272" s="30"/>
      <c r="H272" s="30"/>
      <c r="I272" s="30"/>
      <c r="J272" s="30"/>
      <c r="K272" s="30"/>
      <c r="L272" s="30"/>
      <c r="M272" s="30"/>
    </row>
    <row r="273" spans="1:13">
      <c r="A273" s="31"/>
      <c r="B273" s="31"/>
      <c r="C273" s="31"/>
      <c r="D273" s="32"/>
      <c r="E273" s="30"/>
      <c r="F273" s="30"/>
      <c r="G273" s="30"/>
      <c r="H273" s="30"/>
      <c r="I273" s="30"/>
      <c r="J273" s="30"/>
      <c r="K273" s="30"/>
      <c r="L273" s="30"/>
      <c r="M273" s="30"/>
    </row>
    <row r="274" spans="1:13">
      <c r="A274" s="31"/>
      <c r="B274" s="31"/>
      <c r="C274" s="31"/>
      <c r="D274" s="32"/>
      <c r="E274" s="30"/>
      <c r="F274" s="30"/>
      <c r="G274" s="30"/>
      <c r="H274" s="30"/>
      <c r="I274" s="30"/>
      <c r="J274" s="30"/>
      <c r="K274" s="30"/>
      <c r="L274" s="30"/>
      <c r="M274" s="30"/>
    </row>
    <row r="275" spans="1:13">
      <c r="A275" s="31"/>
      <c r="B275" s="31"/>
      <c r="C275" s="31"/>
      <c r="D275" s="32"/>
      <c r="E275" s="30"/>
      <c r="F275" s="30"/>
      <c r="G275" s="30"/>
      <c r="H275" s="30"/>
      <c r="I275" s="30"/>
      <c r="J275" s="30"/>
      <c r="K275" s="30"/>
      <c r="L275" s="30"/>
      <c r="M275" s="30"/>
    </row>
    <row r="276" spans="1:13">
      <c r="A276" s="31"/>
      <c r="B276" s="31"/>
      <c r="C276" s="31"/>
      <c r="D276" s="32"/>
      <c r="E276" s="30"/>
      <c r="F276" s="30"/>
      <c r="G276" s="30"/>
      <c r="H276" s="30"/>
      <c r="I276" s="30"/>
      <c r="J276" s="30"/>
      <c r="K276" s="30"/>
      <c r="L276" s="30"/>
      <c r="M276" s="30"/>
    </row>
    <row r="277" spans="1:13">
      <c r="A277" s="31"/>
      <c r="B277" s="31"/>
      <c r="C277" s="31"/>
      <c r="D277" s="32"/>
      <c r="E277" s="30"/>
      <c r="F277" s="30"/>
      <c r="G277" s="30"/>
      <c r="H277" s="30"/>
      <c r="I277" s="30"/>
      <c r="J277" s="30"/>
      <c r="K277" s="30"/>
      <c r="L277" s="30"/>
      <c r="M277" s="30"/>
    </row>
    <row r="278" spans="1:13">
      <c r="A278" s="31"/>
      <c r="B278" s="31"/>
      <c r="C278" s="31"/>
      <c r="D278" s="32"/>
      <c r="E278" s="30"/>
      <c r="F278" s="30"/>
      <c r="G278" s="30"/>
      <c r="H278" s="30"/>
      <c r="I278" s="30"/>
      <c r="J278" s="30"/>
      <c r="K278" s="30"/>
      <c r="L278" s="30"/>
      <c r="M278" s="30"/>
    </row>
    <row r="279" spans="1:13">
      <c r="A279" s="31"/>
      <c r="B279" s="31"/>
      <c r="C279" s="31"/>
      <c r="D279" s="32"/>
      <c r="E279" s="30"/>
      <c r="F279" s="30"/>
      <c r="G279" s="30"/>
      <c r="H279" s="30"/>
      <c r="I279" s="30"/>
      <c r="J279" s="30"/>
      <c r="K279" s="30"/>
      <c r="L279" s="30"/>
      <c r="M279" s="30"/>
    </row>
    <row r="280" spans="1:13">
      <c r="A280" s="31"/>
      <c r="B280" s="31"/>
      <c r="C280" s="31"/>
      <c r="D280" s="32"/>
      <c r="E280" s="30"/>
      <c r="F280" s="30"/>
      <c r="G280" s="30"/>
      <c r="H280" s="30"/>
      <c r="I280" s="30"/>
      <c r="J280" s="30"/>
      <c r="K280" s="30"/>
      <c r="L280" s="30"/>
      <c r="M280" s="30"/>
    </row>
    <row r="281" spans="1:13">
      <c r="A281" s="31"/>
      <c r="B281" s="31"/>
      <c r="C281" s="31"/>
      <c r="D281" s="32"/>
      <c r="E281" s="30"/>
      <c r="F281" s="30"/>
      <c r="G281" s="30"/>
      <c r="H281" s="30"/>
      <c r="I281" s="30"/>
      <c r="J281" s="30"/>
      <c r="K281" s="30"/>
      <c r="L281" s="30"/>
      <c r="M281" s="30"/>
    </row>
    <row r="282" spans="1:13">
      <c r="A282" s="31"/>
      <c r="B282" s="31"/>
      <c r="C282" s="31"/>
      <c r="D282" s="32"/>
      <c r="E282" s="30"/>
      <c r="F282" s="30"/>
      <c r="G282" s="30"/>
      <c r="H282" s="30"/>
      <c r="I282" s="30"/>
      <c r="J282" s="30"/>
      <c r="K282" s="30"/>
      <c r="L282" s="30"/>
      <c r="M282" s="30"/>
    </row>
    <row r="283" spans="1:13">
      <c r="A283" s="31"/>
      <c r="B283" s="31"/>
      <c r="C283" s="31"/>
      <c r="D283" s="32"/>
      <c r="E283" s="30"/>
      <c r="F283" s="30"/>
      <c r="G283" s="30"/>
      <c r="H283" s="30"/>
      <c r="I283" s="30"/>
      <c r="J283" s="30"/>
      <c r="K283" s="30"/>
      <c r="L283" s="30"/>
      <c r="M283" s="30"/>
    </row>
    <row r="284" spans="1:13">
      <c r="A284" s="31"/>
      <c r="B284" s="31"/>
      <c r="C284" s="31"/>
      <c r="D284" s="32"/>
      <c r="E284" s="30"/>
      <c r="F284" s="30"/>
      <c r="G284" s="30"/>
      <c r="H284" s="30"/>
      <c r="I284" s="30"/>
      <c r="J284" s="30"/>
      <c r="K284" s="30"/>
      <c r="L284" s="30"/>
      <c r="M284" s="30"/>
    </row>
    <row r="285" spans="1:13">
      <c r="A285" s="31"/>
      <c r="B285" s="31"/>
      <c r="C285" s="31"/>
      <c r="D285" s="32"/>
      <c r="E285" s="30"/>
      <c r="F285" s="30"/>
      <c r="G285" s="30"/>
      <c r="H285" s="30"/>
      <c r="I285" s="30"/>
      <c r="J285" s="30"/>
      <c r="K285" s="30"/>
      <c r="L285" s="30"/>
      <c r="M285" s="30"/>
    </row>
    <row r="286" spans="1:13">
      <c r="A286" s="31"/>
      <c r="B286" s="31"/>
      <c r="C286" s="31"/>
      <c r="D286" s="32"/>
      <c r="E286" s="30"/>
      <c r="F286" s="30"/>
      <c r="G286" s="30"/>
      <c r="H286" s="30"/>
      <c r="I286" s="30"/>
      <c r="J286" s="30"/>
      <c r="K286" s="30"/>
      <c r="L286" s="30"/>
      <c r="M286" s="30"/>
    </row>
    <row r="287" spans="1:13">
      <c r="A287" s="31"/>
      <c r="B287" s="31"/>
      <c r="C287" s="31"/>
      <c r="D287" s="32"/>
      <c r="E287" s="30"/>
      <c r="F287" s="30"/>
      <c r="G287" s="30"/>
      <c r="H287" s="30"/>
      <c r="I287" s="30"/>
      <c r="J287" s="30"/>
      <c r="K287" s="30"/>
      <c r="L287" s="30"/>
      <c r="M287" s="30"/>
    </row>
    <row r="288" spans="1:13">
      <c r="A288" s="31"/>
      <c r="B288" s="31"/>
      <c r="C288" s="31"/>
      <c r="D288" s="32"/>
      <c r="E288" s="30"/>
      <c r="F288" s="30"/>
      <c r="G288" s="30"/>
      <c r="H288" s="30"/>
      <c r="I288" s="30"/>
      <c r="J288" s="30"/>
      <c r="K288" s="30"/>
      <c r="L288" s="30"/>
      <c r="M288" s="30"/>
    </row>
    <row r="289" spans="1:13">
      <c r="A289" s="31"/>
      <c r="B289" s="31"/>
      <c r="C289" s="31"/>
      <c r="D289" s="32"/>
      <c r="E289" s="30"/>
      <c r="F289" s="30"/>
      <c r="G289" s="30"/>
      <c r="H289" s="30"/>
      <c r="I289" s="30"/>
      <c r="J289" s="30"/>
      <c r="K289" s="30"/>
      <c r="L289" s="30"/>
      <c r="M289" s="30"/>
    </row>
    <row r="290" spans="1:13">
      <c r="A290" s="31"/>
      <c r="B290" s="31"/>
      <c r="C290" s="31"/>
      <c r="D290" s="32"/>
      <c r="E290" s="30"/>
      <c r="F290" s="30"/>
      <c r="G290" s="30"/>
      <c r="H290" s="30"/>
      <c r="I290" s="30"/>
      <c r="J290" s="30"/>
      <c r="K290" s="30"/>
      <c r="L290" s="30"/>
      <c r="M290" s="30"/>
    </row>
    <row r="291" spans="1:13">
      <c r="A291" s="31"/>
      <c r="B291" s="31"/>
      <c r="C291" s="31"/>
      <c r="D291" s="32"/>
      <c r="E291" s="30"/>
      <c r="F291" s="30"/>
      <c r="G291" s="30"/>
      <c r="H291" s="30"/>
      <c r="I291" s="30"/>
      <c r="J291" s="30"/>
      <c r="K291" s="30"/>
      <c r="L291" s="30"/>
      <c r="M291" s="30"/>
    </row>
    <row r="292" spans="1:13">
      <c r="A292" s="31"/>
      <c r="B292" s="31"/>
      <c r="C292" s="31"/>
      <c r="D292" s="32"/>
      <c r="E292" s="30"/>
      <c r="F292" s="30"/>
      <c r="G292" s="30"/>
      <c r="H292" s="30"/>
      <c r="I292" s="30"/>
      <c r="J292" s="30"/>
      <c r="K292" s="30"/>
      <c r="L292" s="30"/>
      <c r="M292" s="30"/>
    </row>
    <row r="293" spans="1:13">
      <c r="A293" s="31"/>
      <c r="B293" s="31"/>
      <c r="C293" s="31"/>
      <c r="D293" s="32"/>
      <c r="E293" s="30"/>
      <c r="F293" s="30"/>
      <c r="G293" s="30"/>
      <c r="H293" s="30"/>
      <c r="I293" s="30"/>
      <c r="J293" s="30"/>
      <c r="K293" s="30"/>
      <c r="L293" s="30"/>
      <c r="M293" s="30"/>
    </row>
    <row r="294" spans="1:13">
      <c r="A294" s="31"/>
      <c r="B294" s="31"/>
      <c r="C294" s="31"/>
      <c r="D294" s="32"/>
      <c r="E294" s="30"/>
      <c r="F294" s="30"/>
      <c r="G294" s="30"/>
      <c r="H294" s="30"/>
      <c r="I294" s="30"/>
      <c r="J294" s="30"/>
      <c r="K294" s="30"/>
      <c r="L294" s="30"/>
      <c r="M294" s="30"/>
    </row>
    <row r="295" spans="1:13">
      <c r="A295" s="31"/>
      <c r="B295" s="31"/>
      <c r="C295" s="31"/>
      <c r="D295" s="32"/>
      <c r="E295" s="30"/>
      <c r="F295" s="30"/>
      <c r="G295" s="30"/>
      <c r="H295" s="30"/>
      <c r="I295" s="30"/>
      <c r="J295" s="30"/>
      <c r="K295" s="30"/>
      <c r="L295" s="30"/>
      <c r="M295" s="30"/>
    </row>
    <row r="296" spans="1:13">
      <c r="A296" s="31"/>
      <c r="B296" s="31"/>
      <c r="C296" s="31"/>
      <c r="D296" s="32"/>
      <c r="E296" s="30"/>
      <c r="F296" s="30"/>
      <c r="G296" s="30"/>
      <c r="H296" s="30"/>
      <c r="I296" s="30"/>
      <c r="J296" s="30"/>
      <c r="K296" s="30"/>
      <c r="L296" s="30"/>
      <c r="M296" s="30"/>
    </row>
    <row r="297" spans="1:13">
      <c r="A297" s="31"/>
      <c r="B297" s="31"/>
      <c r="C297" s="31"/>
      <c r="D297" s="32"/>
      <c r="E297" s="30"/>
      <c r="F297" s="30"/>
      <c r="G297" s="30"/>
      <c r="H297" s="30"/>
      <c r="I297" s="30"/>
      <c r="J297" s="30"/>
      <c r="K297" s="30"/>
      <c r="L297" s="30"/>
      <c r="M297" s="30"/>
    </row>
    <row r="298" spans="1:13">
      <c r="A298" s="31"/>
      <c r="B298" s="31"/>
      <c r="C298" s="31"/>
      <c r="D298" s="32"/>
      <c r="E298" s="30"/>
      <c r="F298" s="30"/>
      <c r="G298" s="30"/>
      <c r="H298" s="30"/>
      <c r="I298" s="30"/>
      <c r="J298" s="30"/>
      <c r="K298" s="30"/>
      <c r="L298" s="30"/>
      <c r="M298" s="30"/>
    </row>
    <row r="299" spans="1:13">
      <c r="A299" s="31"/>
      <c r="B299" s="31"/>
      <c r="C299" s="31"/>
      <c r="D299" s="32"/>
      <c r="E299" s="30"/>
      <c r="F299" s="30"/>
      <c r="G299" s="30"/>
      <c r="H299" s="30"/>
      <c r="I299" s="30"/>
      <c r="J299" s="30"/>
      <c r="K299" s="30"/>
      <c r="L299" s="30"/>
      <c r="M299" s="30"/>
    </row>
    <row r="300" spans="1:13">
      <c r="A300" s="31"/>
      <c r="B300" s="31"/>
      <c r="C300" s="31"/>
      <c r="D300" s="32"/>
      <c r="E300" s="30"/>
      <c r="F300" s="30"/>
      <c r="G300" s="30"/>
      <c r="H300" s="30"/>
      <c r="I300" s="30"/>
      <c r="J300" s="30"/>
      <c r="K300" s="30"/>
      <c r="L300" s="30"/>
      <c r="M300" s="30"/>
    </row>
    <row r="301" spans="1:13">
      <c r="A301" s="31"/>
      <c r="B301" s="31"/>
      <c r="C301" s="31"/>
      <c r="D301" s="32"/>
      <c r="E301" s="30"/>
      <c r="F301" s="30"/>
      <c r="G301" s="30"/>
      <c r="H301" s="30"/>
      <c r="I301" s="30"/>
      <c r="J301" s="30"/>
      <c r="K301" s="30"/>
      <c r="L301" s="30"/>
      <c r="M301" s="30"/>
    </row>
    <row r="302" spans="1:13">
      <c r="A302" s="31"/>
      <c r="B302" s="31"/>
      <c r="C302" s="31"/>
      <c r="D302" s="32"/>
      <c r="E302" s="30"/>
      <c r="F302" s="30"/>
      <c r="G302" s="30"/>
      <c r="H302" s="30"/>
      <c r="I302" s="30"/>
      <c r="J302" s="30"/>
      <c r="K302" s="30"/>
      <c r="L302" s="30"/>
      <c r="M302" s="30"/>
    </row>
    <row r="303" spans="1:13">
      <c r="A303" s="31"/>
      <c r="B303" s="31"/>
      <c r="C303" s="31"/>
      <c r="D303" s="32"/>
      <c r="E303" s="30"/>
      <c r="F303" s="30"/>
      <c r="G303" s="30"/>
      <c r="H303" s="30"/>
      <c r="I303" s="30"/>
      <c r="J303" s="30"/>
      <c r="K303" s="30"/>
      <c r="L303" s="30"/>
      <c r="M303" s="30"/>
    </row>
    <row r="304" spans="1:13">
      <c r="A304" s="31"/>
      <c r="B304" s="31"/>
      <c r="C304" s="31"/>
      <c r="D304" s="32"/>
      <c r="E304" s="30"/>
      <c r="F304" s="30"/>
      <c r="G304" s="30"/>
      <c r="H304" s="30"/>
      <c r="I304" s="30"/>
      <c r="J304" s="30"/>
      <c r="K304" s="30"/>
      <c r="L304" s="30"/>
      <c r="M304" s="30"/>
    </row>
    <row r="305" spans="1:13">
      <c r="A305" s="31"/>
      <c r="B305" s="31"/>
      <c r="C305" s="31"/>
      <c r="D305" s="32"/>
      <c r="E305" s="30"/>
      <c r="F305" s="30"/>
      <c r="G305" s="30"/>
      <c r="H305" s="30"/>
      <c r="I305" s="30"/>
      <c r="J305" s="30"/>
      <c r="K305" s="30"/>
      <c r="L305" s="30"/>
      <c r="M305" s="30"/>
    </row>
    <row r="306" spans="1:13">
      <c r="A306" s="31"/>
      <c r="B306" s="31"/>
      <c r="C306" s="31"/>
      <c r="D306" s="32"/>
      <c r="E306" s="30"/>
      <c r="F306" s="30"/>
      <c r="G306" s="30"/>
      <c r="H306" s="30"/>
      <c r="I306" s="30"/>
      <c r="J306" s="30"/>
      <c r="K306" s="30"/>
      <c r="L306" s="30"/>
      <c r="M306" s="30"/>
    </row>
    <row r="307" spans="1:13">
      <c r="A307" s="31"/>
      <c r="B307" s="31"/>
      <c r="C307" s="31"/>
      <c r="D307" s="32"/>
      <c r="E307" s="30"/>
      <c r="F307" s="30"/>
      <c r="G307" s="30"/>
      <c r="H307" s="30"/>
      <c r="I307" s="30"/>
      <c r="J307" s="30"/>
      <c r="K307" s="30"/>
      <c r="L307" s="30"/>
      <c r="M307" s="30"/>
    </row>
    <row r="308" spans="1:13">
      <c r="A308" s="31"/>
      <c r="B308" s="31"/>
      <c r="C308" s="31"/>
      <c r="D308" s="32"/>
      <c r="E308" s="30"/>
      <c r="F308" s="30"/>
      <c r="G308" s="30"/>
      <c r="H308" s="30"/>
      <c r="I308" s="30"/>
      <c r="J308" s="30"/>
      <c r="K308" s="30"/>
      <c r="L308" s="30"/>
      <c r="M308" s="30"/>
    </row>
    <row r="309" spans="1:13">
      <c r="A309" s="31"/>
      <c r="B309" s="31"/>
      <c r="C309" s="31"/>
      <c r="D309" s="32"/>
      <c r="E309" s="30"/>
      <c r="F309" s="30"/>
      <c r="G309" s="30"/>
      <c r="H309" s="30"/>
      <c r="I309" s="30"/>
      <c r="J309" s="30"/>
      <c r="K309" s="30"/>
      <c r="L309" s="30"/>
      <c r="M309" s="30"/>
    </row>
    <row r="310" spans="1:13">
      <c r="A310" s="31"/>
      <c r="B310" s="31"/>
      <c r="C310" s="31"/>
      <c r="D310" s="32"/>
      <c r="E310" s="30"/>
      <c r="F310" s="30"/>
      <c r="G310" s="30"/>
      <c r="H310" s="30"/>
      <c r="I310" s="30"/>
      <c r="J310" s="30"/>
      <c r="K310" s="30"/>
      <c r="L310" s="30"/>
      <c r="M310" s="30"/>
    </row>
    <row r="311" spans="1:13">
      <c r="A311" s="31"/>
      <c r="B311" s="31"/>
      <c r="C311" s="31"/>
      <c r="D311" s="32"/>
      <c r="E311" s="30"/>
      <c r="F311" s="30"/>
      <c r="G311" s="30"/>
      <c r="H311" s="30"/>
      <c r="I311" s="30"/>
      <c r="J311" s="30"/>
      <c r="K311" s="30"/>
      <c r="L311" s="30"/>
      <c r="M311" s="30"/>
    </row>
    <row r="312" spans="1:13">
      <c r="A312" s="31"/>
      <c r="B312" s="31"/>
      <c r="C312" s="31"/>
      <c r="D312" s="32"/>
      <c r="E312" s="30"/>
      <c r="F312" s="30"/>
      <c r="G312" s="30"/>
      <c r="H312" s="30"/>
      <c r="I312" s="30"/>
      <c r="J312" s="30"/>
      <c r="K312" s="30"/>
      <c r="L312" s="30"/>
      <c r="M312" s="30"/>
    </row>
    <row r="313" spans="1:13">
      <c r="A313" s="31"/>
      <c r="B313" s="31"/>
      <c r="C313" s="31"/>
      <c r="D313" s="32"/>
      <c r="E313" s="30"/>
      <c r="F313" s="30"/>
      <c r="G313" s="30"/>
      <c r="H313" s="30"/>
      <c r="I313" s="30"/>
      <c r="J313" s="30"/>
      <c r="K313" s="30"/>
      <c r="L313" s="30"/>
      <c r="M313" s="30"/>
    </row>
    <row r="314" spans="1:13">
      <c r="A314" s="31"/>
      <c r="B314" s="31"/>
      <c r="C314" s="31"/>
      <c r="D314" s="32"/>
      <c r="E314" s="30"/>
      <c r="F314" s="30"/>
      <c r="G314" s="30"/>
      <c r="H314" s="30"/>
      <c r="I314" s="30"/>
      <c r="J314" s="30"/>
      <c r="K314" s="30"/>
      <c r="L314" s="30"/>
      <c r="M314" s="30"/>
    </row>
    <row r="315" spans="1:13">
      <c r="A315" s="31"/>
      <c r="B315" s="31"/>
      <c r="C315" s="31"/>
      <c r="D315" s="32"/>
      <c r="E315" s="30"/>
      <c r="F315" s="30"/>
      <c r="G315" s="30"/>
      <c r="H315" s="30"/>
      <c r="I315" s="30"/>
      <c r="J315" s="30"/>
      <c r="K315" s="30"/>
      <c r="L315" s="30"/>
      <c r="M315" s="30"/>
    </row>
    <row r="316" spans="1:13">
      <c r="A316" s="31"/>
      <c r="B316" s="31"/>
      <c r="C316" s="31"/>
      <c r="D316" s="32"/>
      <c r="E316" s="30"/>
      <c r="F316" s="30"/>
      <c r="G316" s="30"/>
      <c r="H316" s="30"/>
      <c r="I316" s="30"/>
      <c r="J316" s="30"/>
      <c r="K316" s="30"/>
      <c r="L316" s="30"/>
      <c r="M316" s="30"/>
    </row>
    <row r="317" spans="1:13">
      <c r="A317" s="31"/>
      <c r="B317" s="31"/>
      <c r="C317" s="31"/>
      <c r="D317" s="32"/>
      <c r="E317" s="30"/>
      <c r="F317" s="30"/>
      <c r="G317" s="30"/>
      <c r="H317" s="30"/>
      <c r="I317" s="30"/>
      <c r="J317" s="30"/>
      <c r="K317" s="30"/>
      <c r="L317" s="30"/>
      <c r="M317" s="30"/>
    </row>
    <row r="318" spans="1:13">
      <c r="A318" s="31"/>
      <c r="B318" s="31"/>
      <c r="C318" s="31"/>
      <c r="D318" s="32"/>
      <c r="E318" s="30"/>
      <c r="F318" s="30"/>
      <c r="G318" s="30"/>
      <c r="H318" s="30"/>
      <c r="I318" s="30"/>
      <c r="J318" s="30"/>
      <c r="K318" s="30"/>
      <c r="L318" s="30"/>
      <c r="M318" s="30"/>
    </row>
    <row r="319" spans="1:13">
      <c r="A319" s="31"/>
      <c r="B319" s="31"/>
      <c r="C319" s="31"/>
      <c r="D319" s="32"/>
      <c r="E319" s="30"/>
      <c r="F319" s="30"/>
      <c r="G319" s="30"/>
      <c r="H319" s="30"/>
      <c r="I319" s="30"/>
      <c r="J319" s="30"/>
      <c r="K319" s="30"/>
      <c r="L319" s="30"/>
      <c r="M319" s="30"/>
    </row>
    <row r="320" spans="1:13">
      <c r="A320" s="31"/>
      <c r="B320" s="31"/>
      <c r="C320" s="31"/>
      <c r="D320" s="32"/>
      <c r="E320" s="30"/>
      <c r="F320" s="30"/>
      <c r="G320" s="30"/>
      <c r="H320" s="30"/>
      <c r="I320" s="30"/>
      <c r="J320" s="30"/>
      <c r="K320" s="30"/>
      <c r="L320" s="30"/>
      <c r="M320" s="30"/>
    </row>
    <row r="321" spans="1:13">
      <c r="A321" s="31"/>
      <c r="B321" s="31"/>
      <c r="C321" s="31"/>
      <c r="D321" s="32"/>
      <c r="E321" s="30"/>
      <c r="F321" s="30"/>
      <c r="G321" s="30"/>
      <c r="H321" s="30"/>
      <c r="I321" s="30"/>
      <c r="J321" s="30"/>
      <c r="K321" s="30"/>
      <c r="L321" s="30"/>
      <c r="M321" s="30"/>
    </row>
    <row r="322" spans="1:13">
      <c r="A322" s="31"/>
      <c r="B322" s="31"/>
      <c r="C322" s="31"/>
      <c r="D322" s="32"/>
      <c r="E322" s="30"/>
      <c r="F322" s="30"/>
      <c r="G322" s="30"/>
      <c r="H322" s="30"/>
      <c r="I322" s="30"/>
      <c r="J322" s="30"/>
      <c r="K322" s="30"/>
      <c r="L322" s="30"/>
      <c r="M322" s="30"/>
    </row>
    <row r="323" spans="1:13">
      <c r="A323" s="31"/>
      <c r="B323" s="31"/>
      <c r="C323" s="31"/>
      <c r="D323" s="32"/>
      <c r="E323" s="30"/>
      <c r="F323" s="30"/>
      <c r="G323" s="30"/>
      <c r="H323" s="30"/>
      <c r="I323" s="30"/>
      <c r="J323" s="30"/>
      <c r="K323" s="30"/>
      <c r="L323" s="30"/>
      <c r="M323" s="30"/>
    </row>
    <row r="324" spans="1:13">
      <c r="A324" s="31"/>
      <c r="B324" s="31"/>
      <c r="C324" s="31"/>
      <c r="D324" s="32"/>
      <c r="E324" s="30"/>
      <c r="F324" s="30"/>
      <c r="G324" s="30"/>
      <c r="H324" s="30"/>
      <c r="I324" s="30"/>
      <c r="J324" s="30"/>
      <c r="K324" s="30"/>
      <c r="L324" s="30"/>
      <c r="M324" s="30"/>
    </row>
    <row r="325" spans="1:13">
      <c r="A325" s="31"/>
      <c r="B325" s="31"/>
      <c r="C325" s="31"/>
      <c r="D325" s="32"/>
      <c r="E325" s="30"/>
      <c r="F325" s="30"/>
      <c r="G325" s="30"/>
      <c r="H325" s="30"/>
      <c r="I325" s="30"/>
      <c r="J325" s="30"/>
      <c r="K325" s="30"/>
      <c r="L325" s="30"/>
      <c r="M325" s="30"/>
    </row>
    <row r="326" spans="1:13">
      <c r="A326" s="31"/>
      <c r="B326" s="31"/>
      <c r="C326" s="31"/>
      <c r="D326" s="32"/>
      <c r="E326" s="30"/>
      <c r="F326" s="30"/>
      <c r="G326" s="30"/>
      <c r="H326" s="30"/>
      <c r="I326" s="30"/>
      <c r="J326" s="30"/>
      <c r="K326" s="30"/>
      <c r="L326" s="30"/>
      <c r="M326" s="30"/>
    </row>
    <row r="327" spans="1:13">
      <c r="A327" s="31"/>
      <c r="B327" s="31"/>
      <c r="C327" s="31"/>
      <c r="D327" s="32"/>
      <c r="E327" s="30"/>
      <c r="F327" s="30"/>
      <c r="G327" s="30"/>
      <c r="H327" s="30"/>
      <c r="I327" s="30"/>
      <c r="J327" s="30"/>
      <c r="K327" s="30"/>
      <c r="L327" s="30"/>
      <c r="M327" s="30"/>
    </row>
    <row r="328" spans="1:13">
      <c r="A328" s="31"/>
      <c r="B328" s="31"/>
      <c r="C328" s="31"/>
      <c r="D328" s="32"/>
      <c r="E328" s="30"/>
      <c r="F328" s="30"/>
      <c r="G328" s="30"/>
      <c r="H328" s="30"/>
      <c r="I328" s="30"/>
      <c r="J328" s="30"/>
      <c r="K328" s="30"/>
      <c r="L328" s="30"/>
      <c r="M328" s="30"/>
    </row>
    <row r="329" spans="1:13">
      <c r="A329" s="31"/>
      <c r="B329" s="31"/>
      <c r="C329" s="31"/>
      <c r="D329" s="32"/>
      <c r="E329" s="30"/>
      <c r="F329" s="30"/>
      <c r="G329" s="30"/>
      <c r="H329" s="30"/>
      <c r="I329" s="30"/>
      <c r="J329" s="30"/>
      <c r="K329" s="30"/>
      <c r="L329" s="30"/>
      <c r="M329" s="30"/>
    </row>
    <row r="330" spans="1:13">
      <c r="A330" s="31"/>
      <c r="B330" s="31"/>
      <c r="C330" s="31"/>
      <c r="D330" s="32"/>
      <c r="E330" s="30"/>
      <c r="F330" s="30"/>
      <c r="G330" s="30"/>
      <c r="H330" s="30"/>
      <c r="I330" s="30"/>
      <c r="J330" s="30"/>
      <c r="K330" s="30"/>
      <c r="L330" s="30"/>
      <c r="M330" s="30"/>
    </row>
    <row r="331" spans="1:13">
      <c r="A331" s="31"/>
      <c r="B331" s="31"/>
      <c r="C331" s="31"/>
      <c r="D331" s="32"/>
      <c r="E331" s="30"/>
      <c r="F331" s="30"/>
      <c r="G331" s="30"/>
      <c r="H331" s="30"/>
      <c r="I331" s="30"/>
      <c r="J331" s="30"/>
      <c r="K331" s="30"/>
      <c r="L331" s="30"/>
      <c r="M331" s="30"/>
    </row>
    <row r="332" spans="1:13">
      <c r="A332" s="31"/>
      <c r="B332" s="31"/>
      <c r="C332" s="31"/>
      <c r="D332" s="32"/>
      <c r="E332" s="30"/>
      <c r="F332" s="30"/>
      <c r="G332" s="30"/>
      <c r="H332" s="30"/>
      <c r="I332" s="30"/>
      <c r="J332" s="30"/>
      <c r="K332" s="30"/>
      <c r="L332" s="30"/>
      <c r="M332" s="30"/>
    </row>
    <row r="333" spans="1:13">
      <c r="A333" s="31"/>
      <c r="B333" s="31"/>
      <c r="C333" s="31"/>
      <c r="D333" s="32"/>
      <c r="E333" s="30"/>
      <c r="F333" s="30"/>
      <c r="G333" s="30"/>
      <c r="H333" s="30"/>
      <c r="I333" s="30"/>
      <c r="J333" s="30"/>
      <c r="K333" s="30"/>
      <c r="L333" s="30"/>
      <c r="M333" s="30"/>
    </row>
    <row r="334" spans="1:13">
      <c r="A334" s="31"/>
      <c r="B334" s="31"/>
      <c r="C334" s="31"/>
      <c r="D334" s="32"/>
      <c r="E334" s="30"/>
      <c r="F334" s="30"/>
      <c r="G334" s="30"/>
      <c r="H334" s="30"/>
      <c r="I334" s="30"/>
      <c r="J334" s="30"/>
      <c r="K334" s="30"/>
      <c r="L334" s="30"/>
      <c r="M334" s="30"/>
    </row>
    <row r="335" spans="1:13">
      <c r="A335" s="31"/>
      <c r="B335" s="31"/>
      <c r="C335" s="31"/>
      <c r="D335" s="32"/>
      <c r="E335" s="30"/>
      <c r="F335" s="30"/>
      <c r="G335" s="30"/>
      <c r="H335" s="30"/>
      <c r="I335" s="30"/>
      <c r="J335" s="30"/>
      <c r="K335" s="30"/>
      <c r="L335" s="30"/>
      <c r="M335" s="30"/>
    </row>
    <row r="336" spans="1:13">
      <c r="A336" s="31"/>
      <c r="B336" s="31"/>
      <c r="C336" s="31"/>
      <c r="D336" s="32"/>
      <c r="E336" s="30"/>
      <c r="F336" s="30"/>
      <c r="G336" s="30"/>
      <c r="H336" s="30"/>
      <c r="I336" s="30"/>
      <c r="J336" s="30"/>
      <c r="K336" s="30"/>
      <c r="L336" s="30"/>
      <c r="M336" s="30"/>
    </row>
    <row r="337" spans="1:13">
      <c r="A337" s="31"/>
      <c r="B337" s="31"/>
      <c r="C337" s="31"/>
      <c r="D337" s="32"/>
      <c r="E337" s="30"/>
      <c r="F337" s="30"/>
      <c r="G337" s="30"/>
      <c r="H337" s="30"/>
      <c r="I337" s="30"/>
      <c r="J337" s="30"/>
      <c r="K337" s="30"/>
      <c r="L337" s="30"/>
      <c r="M337" s="30"/>
    </row>
    <row r="338" spans="1:13">
      <c r="A338" s="31"/>
      <c r="B338" s="31"/>
      <c r="C338" s="31"/>
      <c r="D338" s="32"/>
      <c r="E338" s="30"/>
      <c r="F338" s="30"/>
      <c r="G338" s="30"/>
      <c r="H338" s="30"/>
      <c r="I338" s="30"/>
      <c r="J338" s="30"/>
      <c r="K338" s="30"/>
      <c r="L338" s="30"/>
      <c r="M338" s="30"/>
    </row>
    <row r="339" spans="1:13">
      <c r="A339" s="31"/>
      <c r="B339" s="31"/>
      <c r="C339" s="31"/>
      <c r="D339" s="32"/>
      <c r="E339" s="30"/>
      <c r="F339" s="30"/>
      <c r="G339" s="30"/>
      <c r="H339" s="30"/>
      <c r="I339" s="30"/>
      <c r="J339" s="30"/>
      <c r="K339" s="30"/>
      <c r="L339" s="30"/>
      <c r="M339" s="30"/>
    </row>
    <row r="340" spans="1:13">
      <c r="A340" s="31"/>
      <c r="B340" s="31"/>
      <c r="C340" s="31"/>
      <c r="D340" s="32"/>
      <c r="E340" s="30"/>
      <c r="F340" s="30"/>
      <c r="G340" s="30"/>
      <c r="H340" s="30"/>
      <c r="I340" s="30"/>
      <c r="J340" s="30"/>
      <c r="K340" s="30"/>
      <c r="L340" s="30"/>
      <c r="M340" s="30"/>
    </row>
    <row r="341" spans="1:13">
      <c r="A341" s="31"/>
      <c r="B341" s="31"/>
      <c r="C341" s="31"/>
      <c r="D341" s="32"/>
      <c r="E341" s="30"/>
      <c r="F341" s="30"/>
      <c r="G341" s="30"/>
      <c r="H341" s="30"/>
      <c r="I341" s="30"/>
      <c r="J341" s="30"/>
      <c r="K341" s="30"/>
      <c r="L341" s="30"/>
      <c r="M341" s="30"/>
    </row>
    <row r="342" spans="1:13">
      <c r="A342" s="31"/>
      <c r="B342" s="31"/>
      <c r="C342" s="31"/>
      <c r="D342" s="32"/>
      <c r="E342" s="30"/>
      <c r="F342" s="30"/>
      <c r="G342" s="30"/>
      <c r="H342" s="30"/>
      <c r="I342" s="30"/>
      <c r="J342" s="30"/>
      <c r="K342" s="30"/>
      <c r="L342" s="30"/>
      <c r="M342" s="30"/>
    </row>
    <row r="343" spans="1:13">
      <c r="A343" s="31"/>
      <c r="B343" s="31"/>
      <c r="C343" s="31"/>
      <c r="D343" s="32"/>
      <c r="E343" s="30"/>
      <c r="F343" s="30"/>
      <c r="G343" s="30"/>
      <c r="H343" s="30"/>
      <c r="I343" s="30"/>
      <c r="J343" s="30"/>
      <c r="K343" s="30"/>
      <c r="L343" s="30"/>
      <c r="M343" s="30"/>
    </row>
    <row r="344" spans="1:13">
      <c r="A344" s="31"/>
      <c r="B344" s="31"/>
      <c r="C344" s="31"/>
      <c r="D344" s="32"/>
      <c r="E344" s="30"/>
      <c r="F344" s="30"/>
      <c r="G344" s="30"/>
      <c r="H344" s="30"/>
      <c r="I344" s="30"/>
      <c r="J344" s="30"/>
      <c r="K344" s="30"/>
      <c r="L344" s="30"/>
      <c r="M344" s="30"/>
    </row>
    <row r="345" spans="1:13">
      <c r="A345" s="31"/>
      <c r="B345" s="31"/>
      <c r="C345" s="31"/>
      <c r="D345" s="32"/>
      <c r="E345" s="30"/>
      <c r="F345" s="30"/>
      <c r="G345" s="30"/>
      <c r="H345" s="30"/>
      <c r="I345" s="30"/>
      <c r="J345" s="30"/>
      <c r="K345" s="30"/>
      <c r="L345" s="30"/>
      <c r="M345" s="30"/>
    </row>
    <row r="346" spans="1:13">
      <c r="A346" s="31"/>
      <c r="B346" s="31"/>
      <c r="C346" s="31"/>
      <c r="D346" s="32"/>
      <c r="E346" s="30"/>
      <c r="F346" s="30"/>
      <c r="G346" s="30"/>
      <c r="H346" s="30"/>
      <c r="I346" s="30"/>
      <c r="J346" s="30"/>
      <c r="K346" s="30"/>
      <c r="L346" s="30"/>
      <c r="M346" s="30"/>
    </row>
    <row r="347" spans="1:13">
      <c r="A347" s="31"/>
      <c r="B347" s="31"/>
      <c r="C347" s="31"/>
      <c r="D347" s="32"/>
      <c r="E347" s="30"/>
      <c r="F347" s="30"/>
      <c r="G347" s="30"/>
      <c r="H347" s="30"/>
      <c r="I347" s="30"/>
      <c r="J347" s="30"/>
      <c r="K347" s="30"/>
      <c r="L347" s="30"/>
      <c r="M347" s="30"/>
    </row>
    <row r="348" spans="1:13">
      <c r="A348" s="31"/>
      <c r="B348" s="31"/>
      <c r="C348" s="31"/>
      <c r="D348" s="32"/>
      <c r="E348" s="30"/>
      <c r="F348" s="30"/>
      <c r="G348" s="30"/>
      <c r="H348" s="30"/>
      <c r="I348" s="30"/>
      <c r="J348" s="30"/>
      <c r="K348" s="30"/>
      <c r="L348" s="30"/>
      <c r="M348" s="30"/>
    </row>
    <row r="349" spans="1:13">
      <c r="A349" s="31"/>
      <c r="B349" s="31"/>
      <c r="C349" s="31"/>
      <c r="D349" s="32"/>
      <c r="E349" s="30"/>
      <c r="F349" s="30"/>
      <c r="G349" s="30"/>
      <c r="H349" s="30"/>
      <c r="I349" s="30"/>
      <c r="J349" s="30"/>
      <c r="K349" s="30"/>
      <c r="L349" s="30"/>
      <c r="M349" s="30"/>
    </row>
    <row r="350" spans="1:13">
      <c r="A350" s="31"/>
      <c r="B350" s="31"/>
      <c r="C350" s="31"/>
      <c r="D350" s="32"/>
      <c r="E350" s="30"/>
      <c r="F350" s="30"/>
      <c r="G350" s="30"/>
      <c r="H350" s="30"/>
      <c r="I350" s="30"/>
      <c r="J350" s="30"/>
      <c r="K350" s="30"/>
      <c r="L350" s="30"/>
      <c r="M350" s="30"/>
    </row>
    <row r="351" spans="1:13">
      <c r="A351" s="31"/>
      <c r="B351" s="31"/>
      <c r="C351" s="31"/>
      <c r="D351" s="32"/>
      <c r="E351" s="30"/>
      <c r="F351" s="30"/>
      <c r="G351" s="30"/>
      <c r="H351" s="30"/>
      <c r="I351" s="30"/>
      <c r="J351" s="30"/>
      <c r="K351" s="30"/>
      <c r="L351" s="30"/>
      <c r="M351" s="30"/>
    </row>
    <row r="352" spans="1:13">
      <c r="A352" s="31"/>
      <c r="B352" s="31"/>
      <c r="C352" s="31"/>
      <c r="D352" s="32"/>
      <c r="E352" s="30"/>
      <c r="F352" s="30"/>
      <c r="G352" s="30"/>
      <c r="H352" s="30"/>
      <c r="I352" s="30"/>
      <c r="J352" s="30"/>
      <c r="K352" s="30"/>
      <c r="L352" s="30"/>
      <c r="M352" s="30"/>
    </row>
    <row r="353" spans="1:13">
      <c r="A353" s="31"/>
      <c r="B353" s="31"/>
      <c r="C353" s="31"/>
      <c r="D353" s="32"/>
      <c r="E353" s="30"/>
      <c r="F353" s="30"/>
      <c r="G353" s="30"/>
      <c r="H353" s="30"/>
      <c r="I353" s="30"/>
      <c r="J353" s="30"/>
      <c r="K353" s="30"/>
      <c r="L353" s="30"/>
      <c r="M353" s="30"/>
    </row>
    <row r="354" spans="1:13">
      <c r="A354" s="31"/>
      <c r="B354" s="31"/>
      <c r="C354" s="31"/>
      <c r="D354" s="32"/>
      <c r="E354" s="30"/>
      <c r="F354" s="30"/>
      <c r="G354" s="30"/>
      <c r="H354" s="30"/>
      <c r="I354" s="30"/>
      <c r="J354" s="30"/>
      <c r="K354" s="30"/>
      <c r="L354" s="30"/>
      <c r="M354" s="30"/>
    </row>
    <row r="355" spans="1:13">
      <c r="A355" s="31"/>
      <c r="B355" s="31"/>
      <c r="C355" s="31"/>
      <c r="D355" s="32"/>
      <c r="E355" s="30"/>
      <c r="F355" s="30"/>
      <c r="G355" s="30"/>
      <c r="H355" s="30"/>
      <c r="I355" s="30"/>
      <c r="J355" s="30"/>
      <c r="K355" s="30"/>
      <c r="L355" s="30"/>
      <c r="M355" s="30"/>
    </row>
    <row r="356" spans="1:13">
      <c r="A356" s="31"/>
      <c r="B356" s="31"/>
      <c r="C356" s="31"/>
      <c r="D356" s="32"/>
      <c r="E356" s="30"/>
      <c r="F356" s="30"/>
      <c r="G356" s="30"/>
      <c r="H356" s="30"/>
      <c r="I356" s="30"/>
      <c r="J356" s="30"/>
      <c r="K356" s="30"/>
      <c r="L356" s="30"/>
      <c r="M356" s="30"/>
    </row>
    <row r="357" spans="1:13">
      <c r="A357" s="31"/>
      <c r="B357" s="31"/>
      <c r="C357" s="31"/>
      <c r="D357" s="32"/>
      <c r="E357" s="30"/>
      <c r="F357" s="30"/>
      <c r="G357" s="30"/>
      <c r="H357" s="30"/>
      <c r="I357" s="30"/>
      <c r="J357" s="30"/>
      <c r="K357" s="30"/>
      <c r="L357" s="30"/>
      <c r="M357" s="30"/>
    </row>
    <row r="358" spans="1:13">
      <c r="A358" s="31"/>
      <c r="B358" s="31"/>
      <c r="C358" s="31"/>
      <c r="D358" s="32"/>
      <c r="E358" s="30"/>
      <c r="F358" s="30"/>
      <c r="G358" s="30"/>
      <c r="H358" s="30"/>
      <c r="I358" s="30"/>
      <c r="J358" s="30"/>
      <c r="K358" s="30"/>
      <c r="L358" s="30"/>
      <c r="M358" s="30"/>
    </row>
    <row r="359" spans="1:13">
      <c r="A359" s="31"/>
      <c r="B359" s="31"/>
      <c r="C359" s="31"/>
      <c r="D359" s="32"/>
      <c r="E359" s="30"/>
      <c r="F359" s="30"/>
      <c r="G359" s="30"/>
      <c r="H359" s="30"/>
      <c r="I359" s="30"/>
      <c r="J359" s="30"/>
      <c r="K359" s="30"/>
      <c r="L359" s="30"/>
      <c r="M359" s="30"/>
    </row>
    <row r="360" spans="1:13">
      <c r="A360" s="31"/>
      <c r="B360" s="31"/>
      <c r="C360" s="31"/>
      <c r="D360" s="32"/>
      <c r="E360" s="30"/>
      <c r="F360" s="30"/>
      <c r="G360" s="30"/>
      <c r="H360" s="30"/>
      <c r="I360" s="30"/>
      <c r="J360" s="30"/>
      <c r="K360" s="30"/>
      <c r="L360" s="30"/>
      <c r="M360" s="30"/>
    </row>
    <row r="361" spans="1:13">
      <c r="A361" s="31"/>
      <c r="B361" s="31"/>
      <c r="C361" s="31"/>
      <c r="D361" s="32"/>
      <c r="E361" s="30"/>
      <c r="F361" s="30"/>
      <c r="G361" s="30"/>
      <c r="H361" s="30"/>
      <c r="I361" s="30"/>
      <c r="J361" s="30"/>
      <c r="K361" s="30"/>
      <c r="L361" s="30"/>
      <c r="M361" s="30"/>
    </row>
    <row r="362" spans="1:13">
      <c r="A362" s="31"/>
      <c r="B362" s="31"/>
      <c r="C362" s="31"/>
      <c r="D362" s="32"/>
      <c r="E362" s="30"/>
      <c r="F362" s="30"/>
      <c r="G362" s="30"/>
      <c r="H362" s="30"/>
      <c r="I362" s="30"/>
      <c r="J362" s="30"/>
      <c r="K362" s="30"/>
      <c r="L362" s="30"/>
      <c r="M362" s="30"/>
    </row>
    <row r="363" spans="1:13">
      <c r="A363" s="31"/>
      <c r="B363" s="31"/>
      <c r="C363" s="31"/>
      <c r="D363" s="32"/>
      <c r="E363" s="30"/>
      <c r="F363" s="30"/>
      <c r="G363" s="30"/>
      <c r="H363" s="30"/>
      <c r="I363" s="30"/>
      <c r="J363" s="30"/>
      <c r="K363" s="30"/>
      <c r="L363" s="30"/>
      <c r="M363" s="30"/>
    </row>
    <row r="364" spans="1:13">
      <c r="A364" s="31"/>
      <c r="B364" s="31"/>
      <c r="C364" s="31"/>
      <c r="D364" s="32"/>
      <c r="E364" s="30"/>
      <c r="F364" s="30"/>
      <c r="G364" s="30"/>
      <c r="H364" s="30"/>
      <c r="I364" s="30"/>
      <c r="J364" s="30"/>
      <c r="K364" s="30"/>
      <c r="L364" s="30"/>
      <c r="M364" s="30"/>
    </row>
    <row r="365" spans="1:13">
      <c r="A365" s="31"/>
      <c r="B365" s="31"/>
      <c r="C365" s="31"/>
      <c r="D365" s="32"/>
      <c r="E365" s="30"/>
      <c r="F365" s="30"/>
      <c r="G365" s="30"/>
      <c r="H365" s="30"/>
      <c r="I365" s="30"/>
      <c r="J365" s="30"/>
      <c r="K365" s="30"/>
      <c r="L365" s="30"/>
      <c r="M365" s="30"/>
    </row>
    <row r="366" spans="1:13">
      <c r="A366" s="31"/>
      <c r="B366" s="31"/>
      <c r="C366" s="31"/>
      <c r="D366" s="32"/>
      <c r="E366" s="30"/>
      <c r="F366" s="30"/>
      <c r="G366" s="30"/>
      <c r="H366" s="30"/>
      <c r="I366" s="30"/>
      <c r="J366" s="30"/>
      <c r="K366" s="30"/>
      <c r="L366" s="30"/>
      <c r="M366" s="30"/>
    </row>
    <row r="367" spans="1:13">
      <c r="A367" s="31"/>
      <c r="B367" s="31"/>
      <c r="C367" s="31"/>
      <c r="D367" s="32"/>
      <c r="E367" s="30"/>
      <c r="F367" s="30"/>
      <c r="G367" s="30"/>
      <c r="H367" s="30"/>
      <c r="I367" s="30"/>
      <c r="J367" s="30"/>
      <c r="K367" s="30"/>
      <c r="L367" s="30"/>
      <c r="M367" s="30"/>
    </row>
    <row r="368" spans="1:13">
      <c r="A368" s="31"/>
      <c r="B368" s="31"/>
      <c r="C368" s="31"/>
      <c r="D368" s="32"/>
      <c r="E368" s="30"/>
      <c r="F368" s="30"/>
      <c r="G368" s="30"/>
      <c r="H368" s="30"/>
      <c r="I368" s="30"/>
      <c r="J368" s="30"/>
      <c r="K368" s="30"/>
      <c r="L368" s="30"/>
      <c r="M368" s="30"/>
    </row>
    <row r="369" spans="1:13">
      <c r="A369" s="31"/>
      <c r="B369" s="31"/>
      <c r="C369" s="31"/>
      <c r="D369" s="32"/>
      <c r="E369" s="30"/>
      <c r="F369" s="30"/>
      <c r="G369" s="30"/>
      <c r="H369" s="30"/>
      <c r="I369" s="30"/>
      <c r="J369" s="30"/>
      <c r="K369" s="30"/>
      <c r="L369" s="30"/>
      <c r="M369" s="30"/>
    </row>
    <row r="370" spans="1:13">
      <c r="A370" s="31"/>
      <c r="B370" s="31"/>
      <c r="C370" s="31"/>
      <c r="D370" s="32"/>
      <c r="E370" s="30"/>
      <c r="F370" s="30"/>
      <c r="G370" s="30"/>
      <c r="H370" s="30"/>
      <c r="I370" s="30"/>
      <c r="J370" s="30"/>
      <c r="K370" s="30"/>
      <c r="L370" s="30"/>
      <c r="M370" s="30"/>
    </row>
    <row r="371" spans="1:13">
      <c r="A371" s="31"/>
      <c r="B371" s="31"/>
      <c r="C371" s="31"/>
      <c r="D371" s="32"/>
      <c r="E371" s="30"/>
      <c r="F371" s="30"/>
      <c r="G371" s="30"/>
      <c r="H371" s="30"/>
      <c r="I371" s="30"/>
      <c r="J371" s="30"/>
      <c r="K371" s="30"/>
      <c r="L371" s="30"/>
      <c r="M371" s="30"/>
    </row>
    <row r="372" spans="1:13">
      <c r="A372" s="31"/>
      <c r="B372" s="31"/>
      <c r="C372" s="31"/>
      <c r="D372" s="32"/>
      <c r="E372" s="30"/>
      <c r="F372" s="30"/>
      <c r="G372" s="30"/>
      <c r="H372" s="30"/>
      <c r="I372" s="30"/>
      <c r="J372" s="30"/>
      <c r="K372" s="30"/>
      <c r="L372" s="30"/>
      <c r="M372" s="30"/>
    </row>
    <row r="373" spans="1:13">
      <c r="A373" s="31"/>
      <c r="B373" s="31"/>
      <c r="C373" s="31"/>
      <c r="D373" s="32"/>
      <c r="E373" s="30"/>
      <c r="F373" s="30"/>
      <c r="G373" s="30"/>
      <c r="H373" s="30"/>
      <c r="I373" s="30"/>
      <c r="J373" s="30"/>
      <c r="K373" s="30"/>
      <c r="L373" s="30"/>
      <c r="M373" s="30"/>
    </row>
    <row r="374" spans="1:13">
      <c r="A374" s="31"/>
      <c r="B374" s="31"/>
      <c r="C374" s="31"/>
      <c r="D374" s="32"/>
      <c r="E374" s="30"/>
      <c r="F374" s="30"/>
      <c r="G374" s="30"/>
      <c r="H374" s="30"/>
      <c r="I374" s="30"/>
      <c r="J374" s="30"/>
      <c r="K374" s="30"/>
      <c r="L374" s="30"/>
      <c r="M374" s="30"/>
    </row>
    <row r="375" spans="1:13">
      <c r="A375" s="31"/>
      <c r="B375" s="31"/>
      <c r="C375" s="31"/>
      <c r="D375" s="32"/>
      <c r="E375" s="30"/>
      <c r="F375" s="30"/>
      <c r="G375" s="30"/>
      <c r="H375" s="30"/>
      <c r="I375" s="30"/>
      <c r="J375" s="30"/>
      <c r="K375" s="30"/>
      <c r="L375" s="30"/>
      <c r="M375" s="30"/>
    </row>
    <row r="376" spans="1:13">
      <c r="A376" s="31"/>
      <c r="B376" s="31"/>
      <c r="C376" s="31"/>
      <c r="D376" s="32"/>
      <c r="E376" s="30"/>
      <c r="F376" s="30"/>
      <c r="G376" s="30"/>
      <c r="H376" s="30"/>
      <c r="I376" s="30"/>
      <c r="J376" s="30"/>
      <c r="K376" s="30"/>
      <c r="L376" s="30"/>
      <c r="M376" s="30"/>
    </row>
    <row r="377" spans="1:13">
      <c r="A377" s="31"/>
      <c r="B377" s="31"/>
      <c r="C377" s="31"/>
      <c r="D377" s="32"/>
      <c r="E377" s="30"/>
      <c r="F377" s="30"/>
      <c r="G377" s="30"/>
      <c r="H377" s="30"/>
      <c r="I377" s="30"/>
      <c r="J377" s="30"/>
      <c r="K377" s="30"/>
      <c r="L377" s="30"/>
      <c r="M377" s="30"/>
    </row>
    <row r="378" spans="1:13">
      <c r="A378" s="31"/>
      <c r="B378" s="31"/>
      <c r="C378" s="31"/>
      <c r="D378" s="32"/>
      <c r="E378" s="30"/>
      <c r="F378" s="30"/>
      <c r="G378" s="30"/>
      <c r="H378" s="30"/>
      <c r="I378" s="30"/>
      <c r="J378" s="30"/>
      <c r="K378" s="30"/>
      <c r="L378" s="30"/>
      <c r="M378" s="30"/>
    </row>
    <row r="379" spans="1:13">
      <c r="A379" s="31"/>
      <c r="B379" s="31"/>
      <c r="C379" s="31"/>
      <c r="D379" s="32"/>
      <c r="E379" s="30"/>
      <c r="F379" s="30"/>
      <c r="G379" s="30"/>
      <c r="H379" s="30"/>
      <c r="I379" s="30"/>
      <c r="J379" s="30"/>
      <c r="K379" s="30"/>
      <c r="L379" s="30"/>
      <c r="M379" s="30"/>
    </row>
    <row r="380" spans="1:13">
      <c r="A380" s="31"/>
      <c r="B380" s="31"/>
      <c r="C380" s="31"/>
      <c r="D380" s="32"/>
      <c r="E380" s="30"/>
      <c r="F380" s="30"/>
      <c r="G380" s="30"/>
      <c r="H380" s="30"/>
      <c r="I380" s="30"/>
      <c r="J380" s="30"/>
      <c r="K380" s="30"/>
      <c r="L380" s="30"/>
      <c r="M380" s="30"/>
    </row>
    <row r="381" spans="1:13">
      <c r="A381" s="31"/>
      <c r="B381" s="31"/>
      <c r="C381" s="31"/>
      <c r="D381" s="32"/>
      <c r="E381" s="30"/>
      <c r="F381" s="30"/>
      <c r="G381" s="30"/>
      <c r="H381" s="30"/>
      <c r="I381" s="30"/>
      <c r="J381" s="30"/>
      <c r="K381" s="30"/>
      <c r="L381" s="30"/>
      <c r="M381" s="30"/>
    </row>
    <row r="382" spans="1:13">
      <c r="A382" s="31"/>
      <c r="B382" s="31"/>
      <c r="C382" s="31"/>
      <c r="D382" s="32"/>
      <c r="E382" s="30"/>
      <c r="F382" s="30"/>
      <c r="G382" s="30"/>
      <c r="H382" s="30"/>
      <c r="I382" s="30"/>
      <c r="J382" s="30"/>
      <c r="K382" s="30"/>
      <c r="L382" s="30"/>
      <c r="M382" s="30"/>
    </row>
    <row r="383" spans="1:13">
      <c r="A383" s="31"/>
      <c r="B383" s="31"/>
      <c r="C383" s="31"/>
      <c r="D383" s="32"/>
      <c r="E383" s="30"/>
      <c r="F383" s="30"/>
      <c r="G383" s="30"/>
      <c r="H383" s="30"/>
      <c r="I383" s="30"/>
      <c r="J383" s="30"/>
      <c r="K383" s="30"/>
      <c r="L383" s="30"/>
      <c r="M383" s="30"/>
    </row>
    <row r="384" spans="1:13">
      <c r="A384" s="31"/>
      <c r="B384" s="31"/>
      <c r="C384" s="31"/>
      <c r="D384" s="32"/>
      <c r="E384" s="30"/>
      <c r="F384" s="30"/>
      <c r="G384" s="30"/>
      <c r="H384" s="30"/>
      <c r="I384" s="30"/>
      <c r="J384" s="30"/>
      <c r="K384" s="30"/>
      <c r="L384" s="30"/>
      <c r="M384" s="30"/>
    </row>
    <row r="385" spans="1:13">
      <c r="A385" s="31"/>
      <c r="B385" s="31"/>
      <c r="C385" s="31"/>
      <c r="D385" s="32"/>
      <c r="E385" s="30"/>
      <c r="F385" s="30"/>
      <c r="G385" s="30"/>
      <c r="H385" s="30"/>
      <c r="I385" s="30"/>
      <c r="J385" s="30"/>
      <c r="K385" s="30"/>
      <c r="L385" s="30"/>
      <c r="M385" s="30"/>
    </row>
    <row r="386" spans="1:13">
      <c r="A386" s="31"/>
      <c r="B386" s="31"/>
      <c r="C386" s="31"/>
      <c r="D386" s="32"/>
      <c r="E386" s="30"/>
      <c r="F386" s="30"/>
      <c r="G386" s="30"/>
      <c r="H386" s="30"/>
      <c r="I386" s="30"/>
      <c r="J386" s="30"/>
      <c r="K386" s="30"/>
      <c r="L386" s="30"/>
      <c r="M386" s="30"/>
    </row>
    <row r="387" spans="1:13">
      <c r="A387" s="31"/>
      <c r="B387" s="31"/>
      <c r="C387" s="31"/>
      <c r="D387" s="32"/>
      <c r="E387" s="30"/>
      <c r="F387" s="30"/>
      <c r="G387" s="30"/>
      <c r="H387" s="30"/>
      <c r="I387" s="30"/>
      <c r="J387" s="30"/>
      <c r="K387" s="30"/>
      <c r="L387" s="30"/>
      <c r="M387" s="30"/>
    </row>
    <row r="388" spans="1:13">
      <c r="A388" s="31"/>
      <c r="B388" s="31"/>
      <c r="C388" s="31"/>
      <c r="D388" s="32"/>
      <c r="E388" s="30"/>
      <c r="F388" s="30"/>
      <c r="G388" s="30"/>
      <c r="H388" s="30"/>
      <c r="I388" s="30"/>
      <c r="J388" s="30"/>
      <c r="K388" s="30"/>
      <c r="L388" s="30"/>
      <c r="M388" s="30"/>
    </row>
    <row r="389" spans="1:13">
      <c r="A389" s="31"/>
      <c r="B389" s="31"/>
      <c r="C389" s="31"/>
      <c r="D389" s="32"/>
      <c r="E389" s="30"/>
      <c r="F389" s="30"/>
      <c r="G389" s="30"/>
      <c r="H389" s="30"/>
      <c r="I389" s="30"/>
      <c r="J389" s="30"/>
      <c r="K389" s="30"/>
      <c r="L389" s="30"/>
      <c r="M389" s="30"/>
    </row>
    <row r="390" spans="1:13">
      <c r="A390" s="31"/>
      <c r="B390" s="31"/>
      <c r="C390" s="31"/>
      <c r="D390" s="32"/>
      <c r="E390" s="30"/>
      <c r="F390" s="30"/>
      <c r="G390" s="30"/>
      <c r="H390" s="30"/>
      <c r="I390" s="30"/>
      <c r="J390" s="30"/>
      <c r="K390" s="30"/>
      <c r="L390" s="30"/>
      <c r="M390" s="30"/>
    </row>
    <row r="391" spans="1:13">
      <c r="A391" s="31"/>
      <c r="B391" s="31"/>
      <c r="C391" s="31"/>
      <c r="D391" s="32"/>
      <c r="E391" s="30"/>
      <c r="F391" s="30"/>
      <c r="G391" s="30"/>
      <c r="H391" s="30"/>
      <c r="I391" s="30"/>
      <c r="J391" s="30"/>
      <c r="K391" s="30"/>
      <c r="L391" s="30"/>
      <c r="M391" s="30"/>
    </row>
    <row r="392" spans="1:13">
      <c r="A392" s="31"/>
      <c r="B392" s="31"/>
      <c r="C392" s="31"/>
      <c r="D392" s="32"/>
      <c r="E392" s="30"/>
      <c r="F392" s="30"/>
      <c r="G392" s="30"/>
      <c r="H392" s="30"/>
      <c r="I392" s="30"/>
      <c r="J392" s="30"/>
      <c r="K392" s="30"/>
      <c r="L392" s="30"/>
      <c r="M392" s="30"/>
    </row>
    <row r="393" spans="1:13">
      <c r="A393" s="31"/>
      <c r="B393" s="31"/>
      <c r="C393" s="31"/>
      <c r="D393" s="32"/>
      <c r="E393" s="30"/>
      <c r="F393" s="30"/>
      <c r="G393" s="30"/>
      <c r="H393" s="30"/>
      <c r="I393" s="30"/>
      <c r="J393" s="30"/>
      <c r="K393" s="30"/>
      <c r="L393" s="30"/>
      <c r="M393" s="30"/>
    </row>
    <row r="394" spans="1:13">
      <c r="A394" s="31"/>
      <c r="B394" s="31"/>
      <c r="C394" s="31"/>
      <c r="D394" s="32"/>
      <c r="E394" s="30"/>
      <c r="F394" s="30"/>
      <c r="G394" s="30"/>
      <c r="H394" s="30"/>
      <c r="I394" s="30"/>
      <c r="J394" s="30"/>
      <c r="K394" s="30"/>
      <c r="L394" s="30"/>
      <c r="M394" s="30"/>
    </row>
    <row r="395" spans="1:13">
      <c r="A395" s="31"/>
      <c r="B395" s="31"/>
      <c r="C395" s="31"/>
      <c r="D395" s="32"/>
      <c r="E395" s="30"/>
      <c r="F395" s="30"/>
      <c r="G395" s="30"/>
      <c r="H395" s="30"/>
      <c r="I395" s="30"/>
      <c r="J395" s="30"/>
      <c r="K395" s="30"/>
      <c r="L395" s="30"/>
      <c r="M395" s="30"/>
    </row>
    <row r="396" spans="1:13">
      <c r="A396" s="31"/>
      <c r="B396" s="31"/>
      <c r="C396" s="31"/>
      <c r="D396" s="32"/>
      <c r="E396" s="30"/>
      <c r="F396" s="30"/>
      <c r="G396" s="30"/>
      <c r="H396" s="30"/>
      <c r="I396" s="30"/>
      <c r="J396" s="30"/>
      <c r="K396" s="30"/>
      <c r="L396" s="30"/>
      <c r="M396" s="30"/>
    </row>
    <row r="397" spans="1:13">
      <c r="A397" s="31"/>
      <c r="B397" s="31"/>
      <c r="C397" s="31"/>
      <c r="D397" s="32"/>
      <c r="E397" s="30"/>
      <c r="F397" s="30"/>
      <c r="G397" s="30"/>
      <c r="H397" s="30"/>
      <c r="I397" s="30"/>
      <c r="J397" s="30"/>
      <c r="K397" s="30"/>
      <c r="L397" s="30"/>
      <c r="M397" s="30"/>
    </row>
    <row r="398" spans="1:13">
      <c r="A398" s="31"/>
      <c r="B398" s="31"/>
      <c r="C398" s="31"/>
      <c r="D398" s="32"/>
      <c r="E398" s="30"/>
      <c r="F398" s="30"/>
      <c r="G398" s="30"/>
      <c r="H398" s="30"/>
      <c r="I398" s="30"/>
      <c r="J398" s="30"/>
      <c r="K398" s="30"/>
      <c r="L398" s="30"/>
      <c r="M398" s="30"/>
    </row>
    <row r="399" spans="1:13">
      <c r="A399" s="31"/>
      <c r="B399" s="31"/>
      <c r="C399" s="31"/>
      <c r="D399" s="32"/>
      <c r="E399" s="30"/>
      <c r="F399" s="30"/>
      <c r="G399" s="30"/>
      <c r="H399" s="30"/>
      <c r="I399" s="30"/>
      <c r="J399" s="30"/>
      <c r="K399" s="30"/>
      <c r="L399" s="30"/>
      <c r="M399" s="30"/>
    </row>
    <row r="400" spans="1:13">
      <c r="A400" s="31"/>
      <c r="B400" s="31"/>
      <c r="C400" s="31"/>
      <c r="D400" s="32"/>
      <c r="E400" s="30"/>
      <c r="F400" s="30"/>
      <c r="G400" s="30"/>
      <c r="H400" s="30"/>
      <c r="I400" s="30"/>
      <c r="J400" s="30"/>
      <c r="K400" s="30"/>
      <c r="L400" s="30"/>
      <c r="M400" s="30"/>
    </row>
    <row r="401" spans="1:13">
      <c r="A401" s="31"/>
      <c r="B401" s="31"/>
      <c r="C401" s="31"/>
      <c r="D401" s="32"/>
      <c r="E401" s="30"/>
      <c r="F401" s="30"/>
      <c r="G401" s="30"/>
      <c r="H401" s="30"/>
      <c r="I401" s="30"/>
      <c r="J401" s="30"/>
      <c r="K401" s="30"/>
      <c r="L401" s="30"/>
      <c r="M401" s="30"/>
    </row>
    <row r="402" spans="1:13">
      <c r="A402" s="31"/>
      <c r="B402" s="31"/>
      <c r="C402" s="31"/>
      <c r="D402" s="32"/>
      <c r="E402" s="30"/>
      <c r="F402" s="30"/>
      <c r="G402" s="30"/>
      <c r="H402" s="30"/>
      <c r="I402" s="30"/>
      <c r="J402" s="30"/>
      <c r="K402" s="30"/>
      <c r="L402" s="30"/>
      <c r="M402" s="30"/>
    </row>
    <row r="403" spans="1:13">
      <c r="A403" s="31"/>
      <c r="B403" s="31"/>
      <c r="C403" s="31"/>
      <c r="D403" s="32"/>
      <c r="E403" s="30"/>
      <c r="F403" s="30"/>
      <c r="G403" s="30"/>
      <c r="H403" s="30"/>
      <c r="I403" s="30"/>
      <c r="J403" s="30"/>
      <c r="K403" s="30"/>
      <c r="L403" s="30"/>
      <c r="M403" s="30"/>
    </row>
    <row r="404" spans="1:13">
      <c r="A404" s="31"/>
      <c r="B404" s="31"/>
      <c r="C404" s="31"/>
      <c r="D404" s="32"/>
      <c r="E404" s="30"/>
      <c r="F404" s="30"/>
      <c r="G404" s="30"/>
      <c r="H404" s="30"/>
      <c r="I404" s="30"/>
      <c r="J404" s="30"/>
      <c r="K404" s="30"/>
      <c r="L404" s="30"/>
      <c r="M404" s="30"/>
    </row>
    <row r="405" spans="1:13">
      <c r="A405" s="31"/>
      <c r="B405" s="31"/>
      <c r="C405" s="31"/>
      <c r="D405" s="32"/>
      <c r="E405" s="30"/>
      <c r="F405" s="30"/>
      <c r="G405" s="30"/>
      <c r="H405" s="30"/>
      <c r="I405" s="30"/>
      <c r="J405" s="30"/>
      <c r="K405" s="30"/>
      <c r="L405" s="30"/>
      <c r="M405" s="30"/>
    </row>
    <row r="406" spans="1:13">
      <c r="A406" s="31"/>
      <c r="B406" s="31"/>
      <c r="C406" s="31"/>
      <c r="D406" s="32"/>
      <c r="E406" s="30"/>
      <c r="F406" s="30"/>
      <c r="G406" s="30"/>
      <c r="H406" s="30"/>
      <c r="I406" s="30"/>
      <c r="J406" s="30"/>
      <c r="K406" s="30"/>
      <c r="L406" s="30"/>
      <c r="M406" s="30"/>
    </row>
    <row r="407" spans="1:13">
      <c r="A407" s="31"/>
      <c r="B407" s="31"/>
      <c r="C407" s="31"/>
      <c r="D407" s="32"/>
      <c r="E407" s="30"/>
      <c r="F407" s="30"/>
      <c r="G407" s="30"/>
      <c r="H407" s="30"/>
      <c r="I407" s="30"/>
      <c r="J407" s="30"/>
      <c r="K407" s="30"/>
      <c r="L407" s="30"/>
      <c r="M407" s="30"/>
    </row>
    <row r="408" spans="1:13">
      <c r="A408" s="31"/>
      <c r="B408" s="31"/>
      <c r="C408" s="31"/>
      <c r="D408" s="32"/>
      <c r="E408" s="30"/>
      <c r="F408" s="30"/>
      <c r="G408" s="30"/>
      <c r="H408" s="30"/>
      <c r="I408" s="30"/>
      <c r="J408" s="30"/>
      <c r="K408" s="30"/>
      <c r="L408" s="30"/>
      <c r="M408" s="30"/>
    </row>
    <row r="409" spans="1:13">
      <c r="A409" s="31"/>
      <c r="B409" s="31"/>
      <c r="C409" s="31"/>
      <c r="D409" s="32"/>
      <c r="E409" s="30"/>
      <c r="F409" s="30"/>
      <c r="G409" s="30"/>
      <c r="H409" s="30"/>
      <c r="I409" s="30"/>
      <c r="J409" s="30"/>
      <c r="K409" s="30"/>
      <c r="L409" s="30"/>
      <c r="M409" s="30"/>
    </row>
    <row r="410" spans="1:13">
      <c r="A410" s="31"/>
      <c r="B410" s="31"/>
      <c r="C410" s="31"/>
      <c r="D410" s="32"/>
      <c r="E410" s="30"/>
      <c r="F410" s="30"/>
      <c r="G410" s="30"/>
      <c r="H410" s="30"/>
      <c r="I410" s="30"/>
      <c r="J410" s="30"/>
      <c r="K410" s="30"/>
      <c r="L410" s="30"/>
      <c r="M410" s="30"/>
    </row>
    <row r="411" spans="1:13">
      <c r="A411" s="31"/>
      <c r="B411" s="31"/>
      <c r="C411" s="31"/>
      <c r="D411" s="32"/>
      <c r="E411" s="30"/>
      <c r="F411" s="30"/>
      <c r="G411" s="30"/>
      <c r="H411" s="30"/>
      <c r="I411" s="30"/>
      <c r="J411" s="30"/>
      <c r="K411" s="30"/>
      <c r="L411" s="30"/>
      <c r="M411" s="30"/>
    </row>
    <row r="412" spans="1:13">
      <c r="A412" s="31"/>
      <c r="B412" s="31"/>
      <c r="C412" s="31"/>
      <c r="D412" s="32"/>
      <c r="E412" s="30"/>
      <c r="F412" s="30"/>
      <c r="G412" s="30"/>
      <c r="H412" s="30"/>
      <c r="I412" s="30"/>
      <c r="J412" s="30"/>
      <c r="K412" s="30"/>
      <c r="L412" s="30"/>
      <c r="M412" s="30"/>
    </row>
    <row r="413" spans="1:13">
      <c r="A413" s="31"/>
      <c r="B413" s="31"/>
      <c r="C413" s="31"/>
      <c r="D413" s="32"/>
      <c r="E413" s="30"/>
      <c r="F413" s="30"/>
      <c r="G413" s="30"/>
      <c r="H413" s="30"/>
      <c r="I413" s="30"/>
      <c r="J413" s="30"/>
      <c r="K413" s="30"/>
      <c r="L413" s="30"/>
      <c r="M413" s="30"/>
    </row>
    <row r="414" spans="1:13">
      <c r="A414" s="31"/>
      <c r="B414" s="31"/>
      <c r="C414" s="31"/>
      <c r="D414" s="32"/>
      <c r="E414" s="30"/>
      <c r="F414" s="30"/>
      <c r="G414" s="30"/>
      <c r="H414" s="30"/>
      <c r="I414" s="30"/>
      <c r="J414" s="30"/>
      <c r="K414" s="30"/>
      <c r="L414" s="30"/>
      <c r="M414" s="30"/>
    </row>
    <row r="415" spans="1:13">
      <c r="A415" s="31"/>
      <c r="B415" s="31"/>
      <c r="C415" s="31"/>
      <c r="D415" s="32"/>
      <c r="E415" s="30"/>
      <c r="F415" s="30"/>
      <c r="G415" s="30"/>
      <c r="H415" s="30"/>
      <c r="I415" s="30"/>
      <c r="J415" s="30"/>
      <c r="K415" s="30"/>
      <c r="L415" s="30"/>
      <c r="M415" s="30"/>
    </row>
    <row r="416" spans="1:13">
      <c r="A416" s="31"/>
      <c r="B416" s="31"/>
      <c r="C416" s="31"/>
      <c r="D416" s="32"/>
      <c r="E416" s="30"/>
      <c r="F416" s="30"/>
      <c r="G416" s="30"/>
      <c r="H416" s="30"/>
      <c r="I416" s="30"/>
      <c r="J416" s="30"/>
      <c r="K416" s="30"/>
      <c r="L416" s="30"/>
      <c r="M416" s="30"/>
    </row>
    <row r="417" spans="1:13">
      <c r="A417" s="31"/>
      <c r="B417" s="31"/>
      <c r="C417" s="31"/>
      <c r="D417" s="32"/>
      <c r="E417" s="30"/>
      <c r="F417" s="30"/>
      <c r="G417" s="30"/>
      <c r="H417" s="30"/>
      <c r="I417" s="30"/>
      <c r="J417" s="30"/>
      <c r="K417" s="30"/>
      <c r="L417" s="30"/>
      <c r="M417" s="30"/>
    </row>
    <row r="418" spans="1:13">
      <c r="A418" s="31"/>
      <c r="B418" s="31"/>
      <c r="C418" s="31"/>
      <c r="D418" s="32"/>
      <c r="E418" s="30"/>
      <c r="F418" s="30"/>
      <c r="G418" s="30"/>
      <c r="H418" s="30"/>
      <c r="I418" s="30"/>
      <c r="J418" s="30"/>
      <c r="K418" s="30"/>
      <c r="L418" s="30"/>
      <c r="M418" s="30"/>
    </row>
    <row r="419" spans="1:13">
      <c r="A419" s="31"/>
      <c r="B419" s="31"/>
      <c r="C419" s="31"/>
      <c r="D419" s="32"/>
      <c r="E419" s="30"/>
      <c r="F419" s="30"/>
      <c r="G419" s="30"/>
      <c r="H419" s="30"/>
      <c r="I419" s="30"/>
      <c r="J419" s="30"/>
      <c r="K419" s="30"/>
      <c r="L419" s="30"/>
      <c r="M419" s="30"/>
    </row>
    <row r="420" spans="1:13">
      <c r="A420" s="31"/>
      <c r="B420" s="31"/>
      <c r="C420" s="31"/>
      <c r="D420" s="32"/>
      <c r="E420" s="30"/>
      <c r="F420" s="30"/>
      <c r="G420" s="30"/>
      <c r="H420" s="30"/>
      <c r="I420" s="30"/>
      <c r="J420" s="30"/>
      <c r="K420" s="30"/>
      <c r="L420" s="30"/>
      <c r="M420" s="30"/>
    </row>
    <row r="421" spans="1:13">
      <c r="A421" s="31"/>
      <c r="B421" s="31"/>
      <c r="C421" s="31"/>
      <c r="D421" s="32"/>
      <c r="E421" s="30"/>
      <c r="F421" s="30"/>
      <c r="G421" s="30"/>
      <c r="H421" s="30"/>
      <c r="I421" s="30"/>
      <c r="J421" s="30"/>
      <c r="K421" s="30"/>
      <c r="L421" s="30"/>
      <c r="M421" s="30"/>
    </row>
    <row r="422" spans="1:13">
      <c r="A422" s="31"/>
      <c r="B422" s="31"/>
      <c r="C422" s="31"/>
      <c r="D422" s="32"/>
      <c r="E422" s="30"/>
      <c r="F422" s="30"/>
      <c r="G422" s="30"/>
      <c r="H422" s="30"/>
      <c r="I422" s="30"/>
      <c r="J422" s="30"/>
      <c r="K422" s="30"/>
      <c r="L422" s="30"/>
      <c r="M422" s="30"/>
    </row>
    <row r="423" spans="1:13">
      <c r="A423" s="31"/>
      <c r="B423" s="31"/>
      <c r="C423" s="31"/>
      <c r="D423" s="32"/>
      <c r="E423" s="30"/>
      <c r="F423" s="30"/>
      <c r="G423" s="30"/>
      <c r="H423" s="30"/>
      <c r="I423" s="30"/>
      <c r="J423" s="30"/>
      <c r="K423" s="30"/>
      <c r="L423" s="30"/>
      <c r="M423" s="30"/>
    </row>
    <row r="424" spans="1:13">
      <c r="A424" s="31"/>
      <c r="B424" s="31"/>
      <c r="C424" s="31"/>
      <c r="D424" s="32"/>
      <c r="E424" s="30"/>
      <c r="F424" s="30"/>
      <c r="G424" s="30"/>
      <c r="H424" s="30"/>
      <c r="I424" s="30"/>
      <c r="J424" s="30"/>
      <c r="K424" s="30"/>
      <c r="L424" s="30"/>
      <c r="M424" s="30"/>
    </row>
    <row r="425" spans="1:13">
      <c r="A425" s="31"/>
      <c r="B425" s="31"/>
      <c r="C425" s="31"/>
      <c r="D425" s="32"/>
      <c r="E425" s="30"/>
      <c r="F425" s="30"/>
      <c r="G425" s="30"/>
      <c r="H425" s="30"/>
      <c r="I425" s="30"/>
      <c r="J425" s="30"/>
      <c r="K425" s="30"/>
      <c r="L425" s="30"/>
      <c r="M425" s="30"/>
    </row>
    <row r="426" spans="1:13">
      <c r="A426" s="31"/>
      <c r="B426" s="31"/>
      <c r="C426" s="31"/>
      <c r="D426" s="32"/>
      <c r="E426" s="30"/>
      <c r="F426" s="30"/>
      <c r="G426" s="30"/>
      <c r="H426" s="30"/>
      <c r="I426" s="30"/>
      <c r="J426" s="30"/>
      <c r="K426" s="30"/>
      <c r="L426" s="30"/>
      <c r="M426" s="30"/>
    </row>
    <row r="427" spans="1:13">
      <c r="A427" s="31"/>
      <c r="B427" s="31"/>
      <c r="C427" s="31"/>
      <c r="D427" s="32"/>
      <c r="E427" s="30"/>
      <c r="F427" s="30"/>
      <c r="G427" s="30"/>
      <c r="H427" s="30"/>
      <c r="I427" s="30"/>
      <c r="J427" s="30"/>
      <c r="K427" s="30"/>
      <c r="L427" s="30"/>
      <c r="M427" s="30"/>
    </row>
    <row r="428" spans="1:13">
      <c r="A428" s="31"/>
      <c r="B428" s="31"/>
      <c r="C428" s="31"/>
      <c r="D428" s="32"/>
      <c r="E428" s="30"/>
      <c r="F428" s="30"/>
      <c r="G428" s="30"/>
      <c r="H428" s="30"/>
      <c r="I428" s="30"/>
      <c r="J428" s="30"/>
      <c r="K428" s="30"/>
      <c r="L428" s="30"/>
      <c r="M428" s="30"/>
    </row>
    <row r="429" spans="1:13">
      <c r="A429" s="31"/>
      <c r="B429" s="31"/>
      <c r="C429" s="31"/>
      <c r="D429" s="32"/>
      <c r="E429" s="30"/>
      <c r="F429" s="30"/>
      <c r="G429" s="30"/>
      <c r="H429" s="30"/>
      <c r="I429" s="30"/>
      <c r="J429" s="30"/>
      <c r="K429" s="30"/>
      <c r="L429" s="30"/>
      <c r="M429" s="30"/>
    </row>
    <row r="430" spans="1:13">
      <c r="A430" s="31"/>
      <c r="B430" s="31"/>
      <c r="C430" s="31"/>
      <c r="D430" s="32"/>
      <c r="E430" s="30"/>
      <c r="F430" s="30"/>
      <c r="G430" s="30"/>
      <c r="H430" s="30"/>
      <c r="I430" s="30"/>
      <c r="J430" s="30"/>
      <c r="K430" s="30"/>
      <c r="L430" s="30"/>
      <c r="M430" s="30"/>
    </row>
    <row r="431" spans="1:13">
      <c r="A431" s="31"/>
      <c r="B431" s="31"/>
      <c r="C431" s="31"/>
      <c r="D431" s="32"/>
      <c r="E431" s="30"/>
      <c r="F431" s="30"/>
      <c r="G431" s="30"/>
      <c r="H431" s="30"/>
      <c r="I431" s="30"/>
      <c r="J431" s="30"/>
      <c r="K431" s="30"/>
      <c r="L431" s="30"/>
      <c r="M431" s="30"/>
    </row>
    <row r="432" spans="1:13">
      <c r="A432" s="31"/>
      <c r="B432" s="31"/>
      <c r="C432" s="31"/>
      <c r="D432" s="32"/>
      <c r="E432" s="30"/>
      <c r="F432" s="30"/>
      <c r="G432" s="30"/>
      <c r="H432" s="30"/>
      <c r="I432" s="30"/>
      <c r="J432" s="30"/>
      <c r="K432" s="30"/>
      <c r="L432" s="30"/>
      <c r="M432" s="30"/>
    </row>
    <row r="433" spans="1:13">
      <c r="A433" s="31"/>
      <c r="B433" s="31"/>
      <c r="C433" s="31"/>
      <c r="D433" s="32"/>
      <c r="E433" s="30"/>
      <c r="F433" s="30"/>
      <c r="G433" s="30"/>
      <c r="H433" s="30"/>
      <c r="I433" s="30"/>
      <c r="J433" s="30"/>
      <c r="K433" s="30"/>
      <c r="L433" s="30"/>
      <c r="M433" s="30"/>
    </row>
    <row r="434" spans="1:13">
      <c r="A434" s="31"/>
      <c r="B434" s="31"/>
      <c r="C434" s="31"/>
      <c r="D434" s="32"/>
      <c r="E434" s="30"/>
      <c r="F434" s="30"/>
      <c r="G434" s="30"/>
      <c r="H434" s="30"/>
      <c r="I434" s="30"/>
      <c r="J434" s="30"/>
      <c r="K434" s="30"/>
      <c r="L434" s="30"/>
      <c r="M434" s="30"/>
    </row>
    <row r="435" spans="1:13">
      <c r="A435" s="31"/>
      <c r="B435" s="31"/>
      <c r="C435" s="31"/>
      <c r="D435" s="32"/>
      <c r="E435" s="30"/>
      <c r="F435" s="30"/>
      <c r="G435" s="30"/>
      <c r="H435" s="30"/>
      <c r="I435" s="30"/>
      <c r="J435" s="30"/>
      <c r="K435" s="30"/>
      <c r="L435" s="30"/>
      <c r="M435" s="30"/>
    </row>
    <row r="436" spans="1:13">
      <c r="A436" s="31"/>
      <c r="B436" s="31"/>
      <c r="C436" s="31"/>
      <c r="D436" s="32"/>
      <c r="E436" s="30"/>
      <c r="F436" s="30"/>
      <c r="G436" s="30"/>
      <c r="H436" s="30"/>
      <c r="I436" s="30"/>
      <c r="J436" s="30"/>
      <c r="K436" s="30"/>
      <c r="L436" s="30"/>
      <c r="M436" s="30"/>
    </row>
    <row r="437" spans="1:13">
      <c r="A437" s="31"/>
      <c r="B437" s="31"/>
      <c r="C437" s="31"/>
      <c r="D437" s="32"/>
      <c r="E437" s="30"/>
      <c r="F437" s="30"/>
      <c r="G437" s="30"/>
      <c r="H437" s="30"/>
      <c r="I437" s="30"/>
      <c r="J437" s="30"/>
      <c r="K437" s="30"/>
      <c r="L437" s="30"/>
      <c r="M437" s="30"/>
    </row>
    <row r="438" spans="1:13">
      <c r="A438" s="31"/>
      <c r="B438" s="31"/>
      <c r="C438" s="31"/>
      <c r="D438" s="32"/>
      <c r="E438" s="30"/>
      <c r="F438" s="30"/>
      <c r="G438" s="30"/>
      <c r="H438" s="30"/>
      <c r="I438" s="30"/>
      <c r="J438" s="30"/>
      <c r="K438" s="30"/>
      <c r="L438" s="30"/>
      <c r="M438" s="30"/>
    </row>
    <row r="439" spans="1:13">
      <c r="A439" s="31"/>
      <c r="B439" s="31"/>
      <c r="C439" s="31"/>
      <c r="D439" s="32"/>
      <c r="E439" s="30"/>
      <c r="F439" s="30"/>
      <c r="G439" s="30"/>
      <c r="H439" s="30"/>
      <c r="I439" s="30"/>
      <c r="J439" s="30"/>
      <c r="K439" s="30"/>
      <c r="L439" s="30"/>
      <c r="M439" s="30"/>
    </row>
    <row r="440" spans="1:13">
      <c r="A440" s="31"/>
      <c r="B440" s="31"/>
      <c r="C440" s="31"/>
      <c r="D440" s="32"/>
      <c r="E440" s="30"/>
      <c r="F440" s="30"/>
      <c r="G440" s="30"/>
      <c r="H440" s="30"/>
      <c r="I440" s="30"/>
      <c r="J440" s="30"/>
      <c r="K440" s="30"/>
      <c r="L440" s="30"/>
      <c r="M440" s="30"/>
    </row>
    <row r="441" spans="1:13">
      <c r="A441" s="31"/>
      <c r="B441" s="31"/>
      <c r="C441" s="31"/>
      <c r="D441" s="32"/>
      <c r="E441" s="30"/>
      <c r="F441" s="30"/>
      <c r="G441" s="30"/>
      <c r="H441" s="30"/>
      <c r="I441" s="30"/>
      <c r="J441" s="30"/>
      <c r="K441" s="30"/>
      <c r="L441" s="30"/>
      <c r="M441" s="30"/>
    </row>
    <row r="442" spans="1:13">
      <c r="A442" s="31"/>
      <c r="B442" s="31"/>
      <c r="C442" s="31"/>
      <c r="D442" s="32"/>
      <c r="E442" s="30"/>
      <c r="F442" s="30"/>
      <c r="G442" s="30"/>
      <c r="H442" s="30"/>
      <c r="I442" s="30"/>
      <c r="J442" s="30"/>
      <c r="K442" s="30"/>
      <c r="L442" s="30"/>
      <c r="M442" s="30"/>
    </row>
    <row r="443" spans="1:13">
      <c r="A443" s="31"/>
      <c r="B443" s="31"/>
      <c r="C443" s="31"/>
      <c r="D443" s="32"/>
      <c r="E443" s="30"/>
      <c r="F443" s="30"/>
      <c r="G443" s="30"/>
      <c r="H443" s="30"/>
      <c r="I443" s="30"/>
      <c r="J443" s="30"/>
      <c r="K443" s="30"/>
      <c r="L443" s="30"/>
      <c r="M443" s="30"/>
    </row>
    <row r="444" spans="1:13">
      <c r="A444" s="31"/>
      <c r="B444" s="31"/>
      <c r="C444" s="31"/>
      <c r="D444" s="32"/>
      <c r="E444" s="30"/>
      <c r="F444" s="30"/>
      <c r="G444" s="30"/>
      <c r="H444" s="30"/>
      <c r="I444" s="30"/>
      <c r="J444" s="30"/>
      <c r="K444" s="30"/>
      <c r="L444" s="30"/>
      <c r="M444" s="30"/>
    </row>
    <row r="445" spans="1:13">
      <c r="A445" s="31"/>
      <c r="B445" s="31"/>
      <c r="C445" s="31"/>
      <c r="D445" s="32"/>
      <c r="E445" s="30"/>
      <c r="F445" s="30"/>
      <c r="G445" s="30"/>
      <c r="H445" s="30"/>
      <c r="I445" s="30"/>
      <c r="J445" s="30"/>
      <c r="K445" s="30"/>
      <c r="L445" s="30"/>
      <c r="M445" s="30"/>
    </row>
    <row r="446" spans="1:13">
      <c r="A446" s="31"/>
      <c r="B446" s="31"/>
      <c r="C446" s="31"/>
      <c r="D446" s="32"/>
      <c r="E446" s="30"/>
      <c r="F446" s="30"/>
      <c r="G446" s="30"/>
      <c r="H446" s="30"/>
      <c r="I446" s="30"/>
      <c r="J446" s="30"/>
      <c r="K446" s="30"/>
      <c r="L446" s="30"/>
      <c r="M446" s="30"/>
    </row>
    <row r="447" spans="1:13">
      <c r="A447" s="31"/>
      <c r="B447" s="31"/>
      <c r="C447" s="31"/>
      <c r="D447" s="32"/>
      <c r="E447" s="30"/>
      <c r="F447" s="30"/>
      <c r="G447" s="30"/>
      <c r="H447" s="30"/>
      <c r="I447" s="30"/>
      <c r="J447" s="30"/>
      <c r="K447" s="30"/>
      <c r="L447" s="30"/>
      <c r="M447" s="30"/>
    </row>
    <row r="448" spans="1:13">
      <c r="A448" s="31"/>
      <c r="B448" s="31"/>
      <c r="C448" s="31"/>
      <c r="D448" s="32"/>
      <c r="E448" s="30"/>
      <c r="F448" s="30"/>
      <c r="G448" s="30"/>
      <c r="H448" s="30"/>
      <c r="I448" s="30"/>
      <c r="J448" s="30"/>
      <c r="K448" s="30"/>
      <c r="L448" s="30"/>
      <c r="M448" s="30"/>
    </row>
    <row r="449" spans="1:13">
      <c r="A449" s="31"/>
      <c r="B449" s="31"/>
      <c r="C449" s="31"/>
      <c r="D449" s="32"/>
      <c r="E449" s="30"/>
      <c r="F449" s="30"/>
      <c r="G449" s="30"/>
      <c r="H449" s="30"/>
      <c r="I449" s="30"/>
      <c r="J449" s="30"/>
      <c r="K449" s="30"/>
      <c r="L449" s="30"/>
      <c r="M449" s="30"/>
    </row>
    <row r="450" spans="1:13">
      <c r="A450" s="31"/>
      <c r="B450" s="31"/>
      <c r="C450" s="31"/>
      <c r="D450" s="32"/>
      <c r="E450" s="30"/>
      <c r="F450" s="30"/>
      <c r="G450" s="30"/>
      <c r="H450" s="30"/>
      <c r="I450" s="30"/>
      <c r="J450" s="30"/>
      <c r="K450" s="30"/>
      <c r="L450" s="30"/>
      <c r="M450" s="30"/>
    </row>
    <row r="451" spans="1:13">
      <c r="A451" s="31"/>
      <c r="B451" s="31"/>
      <c r="C451" s="31"/>
      <c r="D451" s="32"/>
      <c r="E451" s="30"/>
      <c r="F451" s="30"/>
      <c r="G451" s="30"/>
      <c r="H451" s="30"/>
      <c r="I451" s="30"/>
      <c r="J451" s="30"/>
      <c r="K451" s="30"/>
      <c r="L451" s="30"/>
      <c r="M451" s="30"/>
    </row>
    <row r="452" spans="1:13">
      <c r="A452" s="31"/>
      <c r="B452" s="31"/>
      <c r="C452" s="31"/>
      <c r="D452" s="32"/>
      <c r="E452" s="30"/>
      <c r="F452" s="30"/>
      <c r="G452" s="30"/>
      <c r="H452" s="30"/>
      <c r="I452" s="30"/>
      <c r="J452" s="30"/>
      <c r="K452" s="30"/>
      <c r="L452" s="30"/>
      <c r="M452" s="30"/>
    </row>
    <row r="453" spans="1:13">
      <c r="A453" s="31"/>
      <c r="B453" s="31"/>
      <c r="C453" s="31"/>
      <c r="D453" s="32"/>
      <c r="E453" s="30"/>
      <c r="F453" s="30"/>
      <c r="G453" s="30"/>
      <c r="H453" s="30"/>
      <c r="I453" s="30"/>
      <c r="J453" s="30"/>
      <c r="K453" s="30"/>
      <c r="L453" s="30"/>
      <c r="M453" s="30"/>
    </row>
    <row r="454" spans="1:13">
      <c r="A454" s="31"/>
      <c r="B454" s="31"/>
      <c r="C454" s="31"/>
      <c r="D454" s="32"/>
      <c r="E454" s="30"/>
      <c r="F454" s="30"/>
      <c r="G454" s="30"/>
      <c r="H454" s="30"/>
      <c r="I454" s="30"/>
      <c r="J454" s="30"/>
      <c r="K454" s="30"/>
      <c r="L454" s="30"/>
      <c r="M454" s="30"/>
    </row>
    <row r="455" spans="1:13">
      <c r="A455" s="31"/>
      <c r="B455" s="31"/>
      <c r="C455" s="31"/>
      <c r="D455" s="32"/>
      <c r="E455" s="30"/>
      <c r="F455" s="30"/>
      <c r="G455" s="30"/>
      <c r="H455" s="30"/>
      <c r="I455" s="30"/>
      <c r="J455" s="30"/>
      <c r="K455" s="30"/>
      <c r="L455" s="30"/>
      <c r="M455" s="30"/>
    </row>
    <row r="456" spans="1:13">
      <c r="A456" s="31"/>
      <c r="B456" s="31"/>
      <c r="C456" s="31"/>
      <c r="D456" s="32"/>
      <c r="E456" s="30"/>
      <c r="F456" s="30"/>
      <c r="G456" s="30"/>
      <c r="H456" s="30"/>
      <c r="I456" s="30"/>
      <c r="J456" s="30"/>
      <c r="K456" s="30"/>
      <c r="L456" s="30"/>
      <c r="M456" s="30"/>
    </row>
    <row r="457" spans="1:13">
      <c r="A457" s="31"/>
      <c r="B457" s="31"/>
      <c r="C457" s="31"/>
      <c r="D457" s="32"/>
      <c r="E457" s="30"/>
      <c r="F457" s="30"/>
      <c r="G457" s="30"/>
      <c r="H457" s="30"/>
      <c r="I457" s="30"/>
      <c r="J457" s="30"/>
      <c r="K457" s="30"/>
      <c r="L457" s="30"/>
      <c r="M457" s="30"/>
    </row>
    <row r="458" spans="1:13">
      <c r="A458" s="31"/>
      <c r="B458" s="31"/>
      <c r="C458" s="31"/>
      <c r="D458" s="32"/>
      <c r="E458" s="30"/>
      <c r="F458" s="30"/>
      <c r="G458" s="30"/>
      <c r="H458" s="30"/>
      <c r="I458" s="30"/>
      <c r="J458" s="30"/>
      <c r="K458" s="30"/>
      <c r="L458" s="30"/>
      <c r="M458" s="30"/>
    </row>
    <row r="459" spans="1:13">
      <c r="A459" s="31"/>
      <c r="B459" s="31"/>
      <c r="C459" s="31"/>
      <c r="D459" s="32"/>
      <c r="E459" s="30"/>
      <c r="F459" s="30"/>
      <c r="G459" s="30"/>
      <c r="H459" s="30"/>
      <c r="I459" s="30"/>
      <c r="J459" s="30"/>
      <c r="K459" s="30"/>
      <c r="L459" s="30"/>
      <c r="M459" s="30"/>
    </row>
    <row r="460" spans="1:13">
      <c r="A460" s="31"/>
      <c r="B460" s="31"/>
      <c r="C460" s="31"/>
      <c r="D460" s="32"/>
      <c r="E460" s="30"/>
      <c r="F460" s="30"/>
      <c r="G460" s="30"/>
      <c r="H460" s="30"/>
      <c r="I460" s="30"/>
      <c r="J460" s="30"/>
      <c r="K460" s="30"/>
      <c r="L460" s="30"/>
      <c r="M460" s="30"/>
    </row>
    <row r="461" spans="1:13">
      <c r="A461" s="31"/>
      <c r="B461" s="31"/>
      <c r="C461" s="31"/>
      <c r="D461" s="32"/>
      <c r="E461" s="30"/>
      <c r="F461" s="30"/>
      <c r="G461" s="30"/>
      <c r="H461" s="30"/>
      <c r="I461" s="30"/>
      <c r="J461" s="30"/>
      <c r="K461" s="30"/>
      <c r="L461" s="30"/>
      <c r="M461" s="30"/>
    </row>
    <row r="462" spans="1:13">
      <c r="A462" s="31"/>
      <c r="B462" s="31"/>
      <c r="C462" s="31"/>
      <c r="D462" s="32"/>
      <c r="E462" s="30"/>
      <c r="F462" s="30"/>
      <c r="G462" s="30"/>
      <c r="H462" s="30"/>
      <c r="I462" s="30"/>
      <c r="J462" s="30"/>
      <c r="K462" s="30"/>
      <c r="L462" s="30"/>
      <c r="M462" s="30"/>
    </row>
    <row r="463" spans="1:13">
      <c r="A463" s="31"/>
      <c r="B463" s="31"/>
      <c r="C463" s="31"/>
      <c r="D463" s="32"/>
      <c r="E463" s="30"/>
      <c r="F463" s="30"/>
      <c r="G463" s="30"/>
      <c r="H463" s="30"/>
      <c r="I463" s="30"/>
      <c r="J463" s="30"/>
      <c r="K463" s="30"/>
      <c r="L463" s="30"/>
      <c r="M463" s="30"/>
    </row>
    <row r="464" spans="1:13">
      <c r="A464" s="31"/>
      <c r="B464" s="31"/>
      <c r="C464" s="31"/>
      <c r="D464" s="32"/>
      <c r="E464" s="30"/>
      <c r="F464" s="30"/>
      <c r="G464" s="30"/>
      <c r="H464" s="30"/>
      <c r="I464" s="30"/>
      <c r="J464" s="30"/>
      <c r="K464" s="30"/>
      <c r="L464" s="30"/>
      <c r="M464" s="30"/>
    </row>
    <row r="465" spans="1:13">
      <c r="A465" s="31"/>
      <c r="B465" s="31"/>
      <c r="C465" s="31"/>
      <c r="D465" s="32"/>
      <c r="E465" s="30"/>
      <c r="F465" s="30"/>
      <c r="G465" s="30"/>
      <c r="H465" s="30"/>
      <c r="I465" s="30"/>
      <c r="J465" s="30"/>
      <c r="K465" s="30"/>
      <c r="L465" s="30"/>
      <c r="M465" s="30"/>
    </row>
    <row r="466" spans="1:13">
      <c r="A466" s="31"/>
      <c r="B466" s="31"/>
      <c r="C466" s="31"/>
      <c r="D466" s="32"/>
      <c r="E466" s="30"/>
      <c r="F466" s="30"/>
      <c r="G466" s="30"/>
      <c r="H466" s="30"/>
      <c r="I466" s="30"/>
      <c r="J466" s="30"/>
      <c r="K466" s="30"/>
      <c r="L466" s="30"/>
      <c r="M466" s="30"/>
    </row>
    <row r="467" spans="1:13">
      <c r="A467" s="31"/>
      <c r="B467" s="31"/>
      <c r="C467" s="31"/>
      <c r="D467" s="32"/>
      <c r="E467" s="30"/>
      <c r="F467" s="30"/>
      <c r="G467" s="30"/>
      <c r="H467" s="30"/>
      <c r="I467" s="30"/>
      <c r="J467" s="30"/>
      <c r="K467" s="30"/>
      <c r="L467" s="30"/>
      <c r="M467" s="30"/>
    </row>
    <row r="468" spans="1:13">
      <c r="A468" s="31"/>
      <c r="B468" s="31"/>
      <c r="C468" s="31"/>
      <c r="D468" s="32"/>
      <c r="E468" s="30"/>
      <c r="F468" s="30"/>
      <c r="G468" s="30"/>
      <c r="H468" s="30"/>
      <c r="I468" s="30"/>
      <c r="J468" s="30"/>
      <c r="K468" s="30"/>
      <c r="L468" s="30"/>
      <c r="M468" s="30"/>
    </row>
    <row r="469" spans="1:13">
      <c r="A469" s="31"/>
      <c r="B469" s="31"/>
      <c r="C469" s="31"/>
      <c r="D469" s="32"/>
      <c r="E469" s="30"/>
      <c r="F469" s="30"/>
      <c r="G469" s="30"/>
      <c r="H469" s="30"/>
      <c r="I469" s="30"/>
      <c r="J469" s="30"/>
      <c r="K469" s="30"/>
      <c r="L469" s="30"/>
      <c r="M469" s="30"/>
    </row>
    <row r="470" spans="1:13">
      <c r="A470" s="31"/>
      <c r="B470" s="31"/>
      <c r="C470" s="31"/>
      <c r="D470" s="32"/>
      <c r="E470" s="30"/>
      <c r="F470" s="30"/>
      <c r="G470" s="30"/>
      <c r="H470" s="30"/>
      <c r="I470" s="30"/>
      <c r="J470" s="30"/>
      <c r="K470" s="30"/>
      <c r="L470" s="30"/>
      <c r="M470" s="30"/>
    </row>
    <row r="471" spans="1:13">
      <c r="A471" s="31"/>
      <c r="B471" s="31"/>
      <c r="C471" s="31"/>
      <c r="D471" s="32"/>
      <c r="E471" s="30"/>
      <c r="F471" s="30"/>
      <c r="G471" s="30"/>
      <c r="H471" s="30"/>
      <c r="I471" s="30"/>
      <c r="J471" s="30"/>
      <c r="K471" s="30"/>
      <c r="L471" s="30"/>
      <c r="M471" s="30"/>
    </row>
    <row r="472" spans="1:13">
      <c r="A472" s="31"/>
      <c r="B472" s="31"/>
      <c r="C472" s="31"/>
      <c r="D472" s="32"/>
      <c r="E472" s="30"/>
      <c r="F472" s="30"/>
      <c r="G472" s="30"/>
      <c r="H472" s="30"/>
      <c r="I472" s="30"/>
      <c r="J472" s="30"/>
      <c r="K472" s="30"/>
      <c r="L472" s="30"/>
      <c r="M472" s="30"/>
    </row>
    <row r="473" spans="1:13">
      <c r="A473" s="31"/>
      <c r="B473" s="31"/>
      <c r="C473" s="31"/>
      <c r="D473" s="32"/>
      <c r="E473" s="30"/>
      <c r="F473" s="30"/>
      <c r="G473" s="30"/>
      <c r="H473" s="30"/>
      <c r="I473" s="30"/>
      <c r="J473" s="30"/>
      <c r="K473" s="30"/>
      <c r="L473" s="30"/>
      <c r="M473" s="30"/>
    </row>
    <row r="474" spans="1:13">
      <c r="A474" s="31"/>
      <c r="B474" s="31"/>
      <c r="C474" s="31"/>
      <c r="D474" s="32"/>
      <c r="E474" s="30"/>
      <c r="F474" s="30"/>
      <c r="G474" s="30"/>
      <c r="H474" s="30"/>
      <c r="I474" s="30"/>
      <c r="J474" s="30"/>
      <c r="K474" s="30"/>
      <c r="L474" s="30"/>
      <c r="M474" s="30"/>
    </row>
    <row r="475" spans="1:13">
      <c r="A475" s="31"/>
      <c r="B475" s="31"/>
      <c r="C475" s="31"/>
      <c r="D475" s="32"/>
      <c r="E475" s="30"/>
      <c r="F475" s="30"/>
      <c r="G475" s="30"/>
      <c r="H475" s="30"/>
      <c r="I475" s="30"/>
      <c r="J475" s="30"/>
      <c r="K475" s="30"/>
      <c r="L475" s="30"/>
      <c r="M475" s="30"/>
    </row>
    <row r="476" spans="1:13">
      <c r="A476" s="31"/>
      <c r="B476" s="31"/>
      <c r="C476" s="31"/>
      <c r="D476" s="32"/>
      <c r="E476" s="30"/>
      <c r="F476" s="30"/>
      <c r="G476" s="30"/>
      <c r="H476" s="30"/>
      <c r="I476" s="30"/>
      <c r="J476" s="30"/>
      <c r="K476" s="30"/>
      <c r="L476" s="30"/>
      <c r="M476" s="30"/>
    </row>
    <row r="477" spans="1:13">
      <c r="A477" s="31"/>
      <c r="B477" s="31"/>
      <c r="C477" s="31"/>
      <c r="D477" s="32"/>
      <c r="E477" s="30"/>
      <c r="F477" s="30"/>
      <c r="G477" s="30"/>
      <c r="H477" s="30"/>
      <c r="I477" s="30"/>
      <c r="J477" s="30"/>
      <c r="K477" s="30"/>
      <c r="L477" s="30"/>
      <c r="M477" s="30"/>
    </row>
    <row r="478" spans="1:13">
      <c r="A478" s="31"/>
      <c r="B478" s="31"/>
      <c r="C478" s="31"/>
      <c r="D478" s="32"/>
      <c r="E478" s="30"/>
      <c r="F478" s="30"/>
      <c r="G478" s="30"/>
      <c r="H478" s="30"/>
      <c r="I478" s="30"/>
      <c r="J478" s="30"/>
      <c r="K478" s="30"/>
      <c r="L478" s="30"/>
      <c r="M478" s="30"/>
    </row>
    <row r="479" spans="1:13">
      <c r="A479" s="31"/>
      <c r="B479" s="31"/>
      <c r="C479" s="31"/>
      <c r="D479" s="32"/>
      <c r="E479" s="30"/>
      <c r="F479" s="30"/>
      <c r="G479" s="30"/>
      <c r="H479" s="30"/>
      <c r="I479" s="30"/>
      <c r="J479" s="30"/>
      <c r="K479" s="30"/>
      <c r="L479" s="30"/>
      <c r="M479" s="30"/>
    </row>
    <row r="480" spans="1:13">
      <c r="A480" s="31"/>
      <c r="B480" s="31"/>
      <c r="C480" s="31"/>
      <c r="D480" s="32"/>
      <c r="E480" s="30"/>
      <c r="F480" s="30"/>
      <c r="G480" s="30"/>
      <c r="H480" s="30"/>
      <c r="I480" s="30"/>
      <c r="J480" s="30"/>
      <c r="K480" s="30"/>
      <c r="L480" s="30"/>
      <c r="M480" s="30"/>
    </row>
    <row r="481" spans="1:13">
      <c r="A481" s="31"/>
      <c r="B481" s="31"/>
      <c r="C481" s="31"/>
      <c r="D481" s="32"/>
      <c r="E481" s="30"/>
      <c r="F481" s="30"/>
      <c r="G481" s="30"/>
      <c r="H481" s="30"/>
      <c r="I481" s="30"/>
      <c r="J481" s="30"/>
      <c r="K481" s="30"/>
      <c r="L481" s="30"/>
      <c r="M481" s="30"/>
    </row>
    <row r="482" spans="1:13">
      <c r="A482" s="31"/>
      <c r="B482" s="31"/>
      <c r="C482" s="31"/>
      <c r="D482" s="32"/>
      <c r="E482" s="30"/>
      <c r="F482" s="30"/>
      <c r="G482" s="30"/>
      <c r="H482" s="30"/>
      <c r="I482" s="30"/>
      <c r="J482" s="30"/>
      <c r="K482" s="30"/>
      <c r="L482" s="30"/>
      <c r="M482" s="30"/>
    </row>
    <row r="483" spans="1:13">
      <c r="A483" s="31"/>
      <c r="B483" s="31"/>
      <c r="C483" s="31"/>
      <c r="D483" s="32"/>
      <c r="E483" s="30"/>
      <c r="F483" s="30"/>
      <c r="G483" s="30"/>
      <c r="H483" s="30"/>
      <c r="I483" s="30"/>
      <c r="J483" s="30"/>
      <c r="K483" s="30"/>
      <c r="L483" s="30"/>
      <c r="M483" s="30"/>
    </row>
    <row r="484" spans="1:13">
      <c r="A484" s="31"/>
      <c r="B484" s="31"/>
      <c r="C484" s="31"/>
      <c r="D484" s="32"/>
      <c r="E484" s="30"/>
      <c r="F484" s="30"/>
      <c r="G484" s="30"/>
      <c r="H484" s="30"/>
      <c r="I484" s="30"/>
      <c r="J484" s="30"/>
      <c r="K484" s="30"/>
      <c r="L484" s="30"/>
      <c r="M484" s="30"/>
    </row>
    <row r="485" spans="1:13">
      <c r="A485" s="31"/>
      <c r="B485" s="31"/>
      <c r="C485" s="31"/>
      <c r="D485" s="32"/>
      <c r="E485" s="30"/>
      <c r="F485" s="30"/>
      <c r="G485" s="30"/>
      <c r="H485" s="30"/>
      <c r="I485" s="30"/>
      <c r="J485" s="30"/>
      <c r="K485" s="30"/>
      <c r="L485" s="30"/>
      <c r="M485" s="30"/>
    </row>
    <row r="486" spans="1:13">
      <c r="A486" s="31"/>
      <c r="B486" s="31"/>
      <c r="C486" s="31"/>
      <c r="D486" s="32"/>
      <c r="E486" s="30"/>
      <c r="F486" s="30"/>
      <c r="G486" s="30"/>
      <c r="H486" s="30"/>
      <c r="I486" s="30"/>
      <c r="J486" s="30"/>
      <c r="K486" s="30"/>
      <c r="L486" s="30"/>
      <c r="M486" s="30"/>
    </row>
    <row r="487" spans="1:13">
      <c r="A487" s="31"/>
      <c r="B487" s="31"/>
      <c r="C487" s="31"/>
      <c r="D487" s="32"/>
      <c r="E487" s="30"/>
      <c r="F487" s="30"/>
      <c r="G487" s="30"/>
      <c r="H487" s="30"/>
      <c r="I487" s="30"/>
      <c r="J487" s="30"/>
      <c r="K487" s="30"/>
      <c r="L487" s="30"/>
      <c r="M487" s="30"/>
    </row>
    <row r="488" spans="1:13">
      <c r="A488" s="31"/>
      <c r="B488" s="31"/>
      <c r="C488" s="31"/>
      <c r="D488" s="32"/>
      <c r="E488" s="30"/>
      <c r="F488" s="30"/>
      <c r="G488" s="30"/>
      <c r="H488" s="30"/>
      <c r="I488" s="30"/>
      <c r="J488" s="30"/>
      <c r="K488" s="30"/>
      <c r="L488" s="30"/>
      <c r="M488" s="30"/>
    </row>
    <row r="489" spans="1:13">
      <c r="A489" s="31"/>
      <c r="B489" s="31"/>
      <c r="C489" s="31"/>
      <c r="D489" s="32"/>
      <c r="E489" s="30"/>
      <c r="F489" s="30"/>
      <c r="G489" s="30"/>
      <c r="H489" s="30"/>
      <c r="I489" s="30"/>
      <c r="J489" s="30"/>
      <c r="K489" s="30"/>
      <c r="L489" s="30"/>
      <c r="M489" s="30"/>
    </row>
    <row r="490" spans="1:13">
      <c r="A490" s="31"/>
      <c r="B490" s="31"/>
      <c r="C490" s="31"/>
      <c r="D490" s="32"/>
      <c r="E490" s="30"/>
      <c r="F490" s="30"/>
      <c r="G490" s="30"/>
      <c r="H490" s="30"/>
      <c r="I490" s="30"/>
      <c r="J490" s="30"/>
      <c r="K490" s="30"/>
      <c r="L490" s="30"/>
      <c r="M490" s="30"/>
    </row>
    <row r="491" spans="1:13">
      <c r="A491" s="31"/>
      <c r="B491" s="31"/>
      <c r="C491" s="31"/>
      <c r="D491" s="32"/>
      <c r="E491" s="30"/>
      <c r="F491" s="30"/>
      <c r="G491" s="30"/>
      <c r="H491" s="30"/>
      <c r="I491" s="30"/>
      <c r="J491" s="30"/>
      <c r="K491" s="30"/>
      <c r="L491" s="30"/>
      <c r="M491" s="30"/>
    </row>
    <row r="492" spans="1:13">
      <c r="A492" s="31"/>
      <c r="B492" s="31"/>
      <c r="C492" s="31"/>
      <c r="D492" s="32"/>
      <c r="E492" s="30"/>
      <c r="F492" s="30"/>
      <c r="G492" s="30"/>
      <c r="H492" s="30"/>
      <c r="I492" s="30"/>
      <c r="J492" s="30"/>
      <c r="K492" s="30"/>
      <c r="L492" s="30"/>
      <c r="M492" s="30"/>
    </row>
    <row r="493" spans="1:13">
      <c r="A493" s="31"/>
      <c r="B493" s="31"/>
      <c r="C493" s="31"/>
      <c r="D493" s="32"/>
      <c r="E493" s="30"/>
      <c r="F493" s="30"/>
      <c r="G493" s="30"/>
      <c r="H493" s="30"/>
      <c r="I493" s="30"/>
      <c r="J493" s="30"/>
      <c r="K493" s="30"/>
      <c r="L493" s="30"/>
      <c r="M493" s="30"/>
    </row>
    <row r="494" spans="1:13">
      <c r="A494" s="31"/>
      <c r="B494" s="31"/>
      <c r="C494" s="31"/>
      <c r="D494" s="32"/>
      <c r="E494" s="30"/>
      <c r="F494" s="30"/>
      <c r="G494" s="30"/>
      <c r="H494" s="30"/>
      <c r="I494" s="30"/>
      <c r="J494" s="30"/>
      <c r="K494" s="30"/>
      <c r="L494" s="30"/>
      <c r="M494" s="30"/>
    </row>
    <row r="495" spans="1:13">
      <c r="A495" s="31"/>
      <c r="B495" s="31"/>
      <c r="C495" s="31"/>
      <c r="D495" s="32"/>
      <c r="E495" s="30"/>
      <c r="F495" s="30"/>
      <c r="G495" s="30"/>
      <c r="H495" s="30"/>
      <c r="I495" s="30"/>
      <c r="J495" s="30"/>
      <c r="K495" s="30"/>
      <c r="L495" s="30"/>
      <c r="M495" s="30"/>
    </row>
    <row r="496" spans="1:13">
      <c r="A496" s="31"/>
      <c r="B496" s="31"/>
      <c r="C496" s="31"/>
      <c r="D496" s="32"/>
      <c r="E496" s="30"/>
      <c r="F496" s="30"/>
      <c r="G496" s="30"/>
      <c r="H496" s="30"/>
      <c r="I496" s="30"/>
      <c r="J496" s="30"/>
      <c r="K496" s="30"/>
      <c r="L496" s="30"/>
      <c r="M496" s="30"/>
    </row>
    <row r="497" spans="1:13">
      <c r="A497" s="31"/>
      <c r="B497" s="31"/>
      <c r="C497" s="31"/>
      <c r="D497" s="32"/>
      <c r="E497" s="30"/>
      <c r="F497" s="30"/>
      <c r="G497" s="30"/>
      <c r="H497" s="30"/>
      <c r="I497" s="30"/>
      <c r="J497" s="30"/>
      <c r="K497" s="30"/>
      <c r="L497" s="30"/>
      <c r="M497" s="30"/>
    </row>
    <row r="498" spans="1:13">
      <c r="A498" s="31"/>
      <c r="B498" s="31"/>
      <c r="C498" s="31"/>
      <c r="D498" s="32"/>
      <c r="E498" s="30"/>
      <c r="F498" s="30"/>
      <c r="G498" s="30"/>
      <c r="H498" s="30"/>
      <c r="I498" s="30"/>
      <c r="J498" s="30"/>
      <c r="K498" s="30"/>
      <c r="L498" s="30"/>
      <c r="M498" s="30"/>
    </row>
    <row r="499" spans="1:13">
      <c r="A499" s="31"/>
      <c r="B499" s="31"/>
      <c r="C499" s="31"/>
      <c r="D499" s="32"/>
      <c r="E499" s="30"/>
      <c r="F499" s="30"/>
      <c r="G499" s="30"/>
      <c r="H499" s="30"/>
      <c r="I499" s="30"/>
      <c r="J499" s="30"/>
      <c r="K499" s="30"/>
      <c r="L499" s="30"/>
      <c r="M499" s="30"/>
    </row>
    <row r="500" spans="1:13">
      <c r="A500" s="31"/>
      <c r="B500" s="31"/>
      <c r="C500" s="31"/>
      <c r="D500" s="32"/>
      <c r="E500" s="30"/>
      <c r="F500" s="30"/>
      <c r="G500" s="30"/>
      <c r="H500" s="30"/>
      <c r="I500" s="30"/>
      <c r="J500" s="30"/>
      <c r="K500" s="30"/>
      <c r="L500" s="30"/>
      <c r="M500" s="30"/>
    </row>
    <row r="501" spans="1:13">
      <c r="A501" s="31"/>
      <c r="B501" s="31"/>
      <c r="C501" s="31"/>
      <c r="D501" s="32"/>
      <c r="E501" s="30"/>
      <c r="F501" s="30"/>
      <c r="G501" s="30"/>
      <c r="H501" s="30"/>
      <c r="I501" s="30"/>
      <c r="J501" s="30"/>
      <c r="K501" s="30"/>
      <c r="L501" s="30"/>
      <c r="M501" s="30"/>
    </row>
    <row r="502" spans="1:13">
      <c r="A502" s="31"/>
      <c r="B502" s="31"/>
      <c r="C502" s="31"/>
      <c r="D502" s="32"/>
      <c r="E502" s="30"/>
      <c r="F502" s="30"/>
      <c r="G502" s="30"/>
      <c r="H502" s="30"/>
      <c r="I502" s="30"/>
      <c r="J502" s="30"/>
      <c r="K502" s="30"/>
      <c r="L502" s="30"/>
      <c r="M502" s="30"/>
    </row>
    <row r="503" spans="1:13">
      <c r="A503" s="31"/>
      <c r="B503" s="31"/>
      <c r="C503" s="31"/>
      <c r="D503" s="32"/>
      <c r="E503" s="30"/>
      <c r="F503" s="30"/>
      <c r="G503" s="30"/>
      <c r="H503" s="30"/>
      <c r="I503" s="30"/>
      <c r="J503" s="30"/>
      <c r="K503" s="30"/>
      <c r="L503" s="30"/>
      <c r="M503" s="30"/>
    </row>
    <row r="504" spans="1:13">
      <c r="A504" s="31"/>
      <c r="B504" s="31"/>
      <c r="C504" s="31"/>
      <c r="D504" s="32"/>
      <c r="E504" s="30"/>
      <c r="F504" s="30"/>
      <c r="G504" s="30"/>
      <c r="H504" s="30"/>
      <c r="I504" s="30"/>
      <c r="J504" s="30"/>
      <c r="K504" s="30"/>
      <c r="L504" s="30"/>
      <c r="M504" s="30"/>
    </row>
    <row r="505" spans="1:13">
      <c r="A505" s="31"/>
      <c r="B505" s="31"/>
      <c r="C505" s="31"/>
      <c r="D505" s="32"/>
      <c r="E505" s="30"/>
      <c r="F505" s="30"/>
      <c r="G505" s="30"/>
      <c r="H505" s="30"/>
      <c r="I505" s="30"/>
      <c r="J505" s="30"/>
      <c r="K505" s="30"/>
      <c r="L505" s="30"/>
      <c r="M505" s="30"/>
    </row>
    <row r="506" spans="1:13">
      <c r="A506" s="31"/>
      <c r="B506" s="31"/>
      <c r="C506" s="31"/>
      <c r="D506" s="32"/>
      <c r="E506" s="30"/>
      <c r="F506" s="30"/>
      <c r="G506" s="30"/>
      <c r="H506" s="30"/>
      <c r="I506" s="30"/>
      <c r="J506" s="30"/>
      <c r="K506" s="30"/>
      <c r="L506" s="30"/>
      <c r="M506" s="30"/>
    </row>
    <row r="507" spans="1:13">
      <c r="A507" s="31"/>
      <c r="B507" s="31"/>
      <c r="C507" s="31"/>
      <c r="D507" s="32"/>
      <c r="E507" s="30"/>
      <c r="F507" s="30"/>
      <c r="G507" s="30"/>
      <c r="H507" s="30"/>
      <c r="I507" s="30"/>
      <c r="J507" s="30"/>
      <c r="K507" s="30"/>
      <c r="L507" s="30"/>
      <c r="M507" s="30"/>
    </row>
    <row r="508" spans="1:13">
      <c r="A508" s="31"/>
      <c r="B508" s="31"/>
      <c r="C508" s="31"/>
      <c r="D508" s="32"/>
      <c r="E508" s="30"/>
      <c r="F508" s="30"/>
      <c r="G508" s="30"/>
      <c r="H508" s="30"/>
      <c r="I508" s="30"/>
      <c r="J508" s="30"/>
      <c r="K508" s="30"/>
      <c r="L508" s="30"/>
      <c r="M508" s="30"/>
    </row>
    <row r="509" spans="1:13">
      <c r="A509" s="31"/>
      <c r="B509" s="31"/>
      <c r="C509" s="31"/>
      <c r="D509" s="32"/>
      <c r="E509" s="30"/>
      <c r="F509" s="30"/>
      <c r="G509" s="30"/>
      <c r="H509" s="30"/>
      <c r="I509" s="30"/>
      <c r="J509" s="30"/>
      <c r="K509" s="30"/>
      <c r="L509" s="30"/>
      <c r="M509" s="30"/>
    </row>
    <row r="510" spans="1:13">
      <c r="A510" s="31"/>
      <c r="B510" s="31"/>
      <c r="C510" s="31"/>
      <c r="D510" s="32"/>
      <c r="E510" s="30"/>
      <c r="F510" s="30"/>
      <c r="G510" s="30"/>
      <c r="H510" s="30"/>
      <c r="I510" s="30"/>
      <c r="J510" s="30"/>
      <c r="K510" s="30"/>
      <c r="L510" s="30"/>
      <c r="M510" s="30"/>
    </row>
    <row r="511" spans="1:13">
      <c r="A511" s="31"/>
      <c r="B511" s="31"/>
      <c r="C511" s="31"/>
      <c r="D511" s="32"/>
      <c r="E511" s="30"/>
      <c r="F511" s="30"/>
      <c r="G511" s="30"/>
      <c r="H511" s="30"/>
      <c r="I511" s="30"/>
      <c r="J511" s="30"/>
      <c r="K511" s="30"/>
      <c r="L511" s="30"/>
      <c r="M511" s="30"/>
    </row>
    <row r="512" spans="1:13">
      <c r="A512" s="31"/>
      <c r="B512" s="31"/>
      <c r="C512" s="31"/>
      <c r="D512" s="32"/>
      <c r="E512" s="30"/>
      <c r="F512" s="30"/>
      <c r="G512" s="30"/>
      <c r="H512" s="30"/>
      <c r="I512" s="30"/>
      <c r="J512" s="30"/>
      <c r="K512" s="30"/>
      <c r="L512" s="30"/>
      <c r="M512" s="30"/>
    </row>
    <row r="513" spans="1:13">
      <c r="A513" s="31"/>
      <c r="B513" s="31"/>
      <c r="C513" s="31"/>
      <c r="D513" s="32"/>
      <c r="E513" s="30"/>
      <c r="F513" s="30"/>
      <c r="G513" s="30"/>
      <c r="H513" s="30"/>
      <c r="I513" s="30"/>
      <c r="J513" s="30"/>
      <c r="K513" s="30"/>
      <c r="L513" s="30"/>
      <c r="M513" s="30"/>
    </row>
    <row r="514" spans="1:13">
      <c r="A514" s="31"/>
      <c r="B514" s="31"/>
      <c r="C514" s="31"/>
      <c r="D514" s="32"/>
      <c r="E514" s="30"/>
      <c r="F514" s="30"/>
      <c r="G514" s="30"/>
      <c r="H514" s="30"/>
      <c r="I514" s="30"/>
      <c r="J514" s="30"/>
      <c r="K514" s="30"/>
      <c r="L514" s="30"/>
      <c r="M514" s="30"/>
    </row>
    <row r="515" spans="1:13">
      <c r="A515" s="31"/>
      <c r="B515" s="31"/>
      <c r="C515" s="31"/>
      <c r="D515" s="32"/>
      <c r="E515" s="30"/>
      <c r="F515" s="30"/>
      <c r="G515" s="30"/>
      <c r="H515" s="30"/>
      <c r="I515" s="30"/>
      <c r="J515" s="30"/>
      <c r="K515" s="30"/>
      <c r="L515" s="30"/>
      <c r="M515" s="30"/>
    </row>
    <row r="516" spans="1:13">
      <c r="A516" s="31"/>
      <c r="B516" s="31"/>
      <c r="C516" s="31"/>
      <c r="D516" s="32"/>
      <c r="E516" s="30"/>
      <c r="F516" s="30"/>
      <c r="G516" s="30"/>
      <c r="H516" s="30"/>
      <c r="I516" s="30"/>
      <c r="J516" s="30"/>
      <c r="K516" s="30"/>
      <c r="L516" s="30"/>
      <c r="M516" s="30"/>
    </row>
    <row r="517" spans="1:13">
      <c r="A517" s="31"/>
      <c r="B517" s="31"/>
      <c r="C517" s="31"/>
      <c r="D517" s="32"/>
      <c r="E517" s="30"/>
      <c r="F517" s="30"/>
      <c r="G517" s="30"/>
      <c r="H517" s="30"/>
      <c r="I517" s="30"/>
      <c r="J517" s="30"/>
      <c r="K517" s="30"/>
      <c r="L517" s="30"/>
      <c r="M517" s="30"/>
    </row>
    <row r="518" spans="1:13">
      <c r="A518" s="31"/>
      <c r="B518" s="31"/>
      <c r="C518" s="31"/>
      <c r="D518" s="32"/>
      <c r="E518" s="30"/>
      <c r="F518" s="30"/>
      <c r="G518" s="30"/>
      <c r="H518" s="30"/>
      <c r="I518" s="30"/>
      <c r="J518" s="30"/>
      <c r="K518" s="30"/>
      <c r="L518" s="30"/>
      <c r="M518" s="30"/>
    </row>
    <row r="519" spans="1:13">
      <c r="A519" s="31"/>
      <c r="B519" s="31"/>
      <c r="C519" s="31"/>
      <c r="D519" s="32"/>
      <c r="E519" s="30"/>
      <c r="F519" s="30"/>
      <c r="G519" s="30"/>
      <c r="H519" s="30"/>
      <c r="I519" s="30"/>
      <c r="J519" s="30"/>
      <c r="K519" s="30"/>
      <c r="L519" s="30"/>
      <c r="M519" s="30"/>
    </row>
    <row r="520" spans="1:13">
      <c r="A520" s="31"/>
      <c r="B520" s="31"/>
      <c r="C520" s="31"/>
      <c r="D520" s="32"/>
      <c r="E520" s="30"/>
      <c r="F520" s="30"/>
      <c r="G520" s="30"/>
      <c r="H520" s="30"/>
      <c r="I520" s="30"/>
      <c r="J520" s="30"/>
      <c r="K520" s="30"/>
      <c r="L520" s="30"/>
      <c r="M520" s="30"/>
    </row>
    <row r="521" spans="1:13">
      <c r="A521" s="31"/>
      <c r="B521" s="31"/>
      <c r="C521" s="31"/>
      <c r="D521" s="32"/>
      <c r="E521" s="30"/>
      <c r="F521" s="30"/>
      <c r="G521" s="30"/>
      <c r="H521" s="30"/>
      <c r="I521" s="30"/>
      <c r="J521" s="30"/>
      <c r="K521" s="30"/>
      <c r="L521" s="30"/>
      <c r="M521" s="30"/>
    </row>
    <row r="522" spans="1:13">
      <c r="A522" s="31"/>
      <c r="B522" s="31"/>
      <c r="C522" s="31"/>
      <c r="D522" s="32"/>
      <c r="E522" s="30"/>
      <c r="F522" s="30"/>
      <c r="G522" s="30"/>
      <c r="H522" s="30"/>
      <c r="I522" s="30"/>
      <c r="J522" s="30"/>
      <c r="K522" s="30"/>
      <c r="L522" s="30"/>
      <c r="M522" s="30"/>
    </row>
    <row r="523" spans="1:13">
      <c r="A523" s="31"/>
      <c r="B523" s="31"/>
      <c r="C523" s="31"/>
      <c r="D523" s="32"/>
      <c r="E523" s="30"/>
      <c r="F523" s="30"/>
      <c r="G523" s="30"/>
      <c r="H523" s="30"/>
      <c r="I523" s="30"/>
      <c r="J523" s="30"/>
      <c r="K523" s="30"/>
      <c r="L523" s="30"/>
      <c r="M523" s="30"/>
    </row>
    <row r="524" spans="1:13">
      <c r="A524" s="31"/>
      <c r="B524" s="31"/>
      <c r="C524" s="31"/>
      <c r="D524" s="32"/>
      <c r="E524" s="30"/>
      <c r="F524" s="30"/>
      <c r="G524" s="30"/>
      <c r="H524" s="30"/>
      <c r="I524" s="30"/>
      <c r="J524" s="30"/>
      <c r="K524" s="30"/>
      <c r="L524" s="30"/>
      <c r="M524" s="30"/>
    </row>
    <row r="525" spans="1:13">
      <c r="A525" s="31"/>
      <c r="B525" s="31"/>
      <c r="C525" s="31"/>
      <c r="D525" s="32"/>
      <c r="E525" s="30"/>
      <c r="F525" s="30"/>
      <c r="G525" s="30"/>
      <c r="H525" s="30"/>
      <c r="I525" s="30"/>
      <c r="J525" s="30"/>
      <c r="K525" s="30"/>
      <c r="L525" s="30"/>
      <c r="M525" s="30"/>
    </row>
    <row r="526" spans="1:13">
      <c r="A526" s="31"/>
      <c r="B526" s="31"/>
      <c r="C526" s="31"/>
      <c r="D526" s="32"/>
      <c r="E526" s="30"/>
      <c r="F526" s="30"/>
      <c r="G526" s="30"/>
      <c r="H526" s="30"/>
      <c r="I526" s="30"/>
      <c r="J526" s="30"/>
      <c r="K526" s="30"/>
      <c r="L526" s="30"/>
      <c r="M526" s="30"/>
    </row>
    <row r="527" spans="1:13">
      <c r="A527" s="31"/>
      <c r="B527" s="31"/>
      <c r="C527" s="31"/>
      <c r="D527" s="32"/>
      <c r="E527" s="30"/>
      <c r="F527" s="30"/>
      <c r="G527" s="30"/>
      <c r="H527" s="30"/>
      <c r="I527" s="30"/>
      <c r="J527" s="30"/>
      <c r="K527" s="30"/>
      <c r="L527" s="30"/>
      <c r="M527" s="30"/>
    </row>
    <row r="528" spans="1:13">
      <c r="A528" s="31"/>
      <c r="B528" s="31"/>
      <c r="C528" s="31"/>
      <c r="D528" s="32"/>
      <c r="E528" s="30"/>
      <c r="F528" s="30"/>
      <c r="G528" s="30"/>
      <c r="H528" s="30"/>
      <c r="I528" s="30"/>
      <c r="J528" s="30"/>
      <c r="K528" s="30"/>
      <c r="L528" s="30"/>
      <c r="M528" s="30"/>
    </row>
    <row r="529" spans="1:13">
      <c r="A529" s="31"/>
      <c r="B529" s="31"/>
      <c r="C529" s="31"/>
      <c r="D529" s="32"/>
      <c r="E529" s="30"/>
      <c r="F529" s="30"/>
      <c r="G529" s="30"/>
      <c r="H529" s="30"/>
      <c r="I529" s="30"/>
      <c r="J529" s="30"/>
      <c r="K529" s="30"/>
      <c r="L529" s="30"/>
      <c r="M529" s="30"/>
    </row>
    <row r="530" spans="1:13">
      <c r="A530" s="31"/>
      <c r="B530" s="31"/>
      <c r="C530" s="31"/>
      <c r="D530" s="32"/>
      <c r="E530" s="30"/>
      <c r="F530" s="30"/>
      <c r="G530" s="30"/>
      <c r="H530" s="30"/>
      <c r="I530" s="30"/>
      <c r="J530" s="30"/>
      <c r="K530" s="30"/>
      <c r="L530" s="30"/>
      <c r="M530" s="30"/>
    </row>
    <row r="531" spans="1:13">
      <c r="A531" s="31"/>
      <c r="B531" s="31"/>
      <c r="C531" s="31"/>
      <c r="D531" s="32"/>
      <c r="E531" s="30"/>
      <c r="F531" s="30"/>
      <c r="G531" s="30"/>
      <c r="H531" s="30"/>
      <c r="I531" s="30"/>
      <c r="J531" s="30"/>
      <c r="K531" s="30"/>
      <c r="L531" s="30"/>
      <c r="M531" s="30"/>
    </row>
    <row r="532" spans="1:13">
      <c r="A532" s="31"/>
      <c r="B532" s="31"/>
      <c r="C532" s="31"/>
      <c r="D532" s="32"/>
      <c r="E532" s="30"/>
      <c r="F532" s="30"/>
      <c r="G532" s="30"/>
      <c r="H532" s="30"/>
      <c r="I532" s="30"/>
      <c r="J532" s="30"/>
      <c r="K532" s="30"/>
      <c r="L532" s="30"/>
      <c r="M532" s="30"/>
    </row>
    <row r="533" spans="1:13">
      <c r="A533" s="31"/>
      <c r="B533" s="31"/>
      <c r="C533" s="31"/>
      <c r="D533" s="32"/>
      <c r="E533" s="30"/>
      <c r="F533" s="30"/>
      <c r="G533" s="30"/>
      <c r="H533" s="30"/>
      <c r="I533" s="30"/>
      <c r="J533" s="30"/>
      <c r="K533" s="30"/>
      <c r="L533" s="30"/>
      <c r="M533" s="30"/>
    </row>
    <row r="534" spans="1:13">
      <c r="A534" s="31"/>
      <c r="B534" s="31"/>
      <c r="C534" s="31"/>
      <c r="D534" s="32"/>
      <c r="E534" s="30"/>
      <c r="F534" s="30"/>
      <c r="G534" s="30"/>
      <c r="H534" s="30"/>
      <c r="I534" s="30"/>
      <c r="J534" s="30"/>
      <c r="K534" s="30"/>
      <c r="L534" s="30"/>
      <c r="M534" s="30"/>
    </row>
    <row r="535" spans="1:13">
      <c r="A535" s="31"/>
      <c r="B535" s="31"/>
      <c r="C535" s="31"/>
      <c r="D535" s="32"/>
      <c r="E535" s="30"/>
      <c r="F535" s="30"/>
      <c r="G535" s="30"/>
      <c r="H535" s="30"/>
      <c r="I535" s="30"/>
      <c r="J535" s="30"/>
      <c r="K535" s="30"/>
      <c r="L535" s="30"/>
      <c r="M535" s="30"/>
    </row>
    <row r="536" spans="1:13">
      <c r="A536" s="31"/>
      <c r="B536" s="31"/>
      <c r="C536" s="31"/>
      <c r="D536" s="32"/>
      <c r="E536" s="30"/>
      <c r="F536" s="30"/>
      <c r="G536" s="30"/>
      <c r="H536" s="30"/>
      <c r="I536" s="30"/>
      <c r="J536" s="30"/>
      <c r="K536" s="30"/>
      <c r="L536" s="30"/>
      <c r="M536" s="30"/>
    </row>
    <row r="537" spans="1:13">
      <c r="A537" s="31"/>
      <c r="B537" s="31"/>
      <c r="C537" s="31"/>
      <c r="D537" s="32"/>
      <c r="E537" s="30"/>
      <c r="F537" s="30"/>
      <c r="G537" s="30"/>
      <c r="H537" s="30"/>
      <c r="I537" s="30"/>
      <c r="J537" s="30"/>
      <c r="K537" s="30"/>
      <c r="L537" s="30"/>
      <c r="M537" s="30"/>
    </row>
    <row r="538" spans="1:13">
      <c r="A538" s="31"/>
      <c r="B538" s="31"/>
      <c r="C538" s="31"/>
      <c r="D538" s="32"/>
      <c r="E538" s="30"/>
      <c r="F538" s="30"/>
      <c r="G538" s="30"/>
      <c r="H538" s="30"/>
      <c r="I538" s="30"/>
      <c r="J538" s="30"/>
      <c r="K538" s="30"/>
      <c r="L538" s="30"/>
      <c r="M538" s="30"/>
    </row>
    <row r="539" spans="1:13">
      <c r="A539" s="31"/>
      <c r="B539" s="31"/>
      <c r="C539" s="31"/>
      <c r="D539" s="32"/>
      <c r="E539" s="30"/>
      <c r="F539" s="30"/>
      <c r="G539" s="30"/>
      <c r="H539" s="30"/>
      <c r="I539" s="30"/>
      <c r="J539" s="30"/>
      <c r="K539" s="30"/>
      <c r="L539" s="30"/>
      <c r="M539" s="30"/>
    </row>
    <row r="540" spans="1:13">
      <c r="A540" s="31"/>
      <c r="B540" s="31"/>
      <c r="C540" s="31"/>
      <c r="D540" s="32"/>
      <c r="E540" s="30"/>
      <c r="F540" s="30"/>
      <c r="G540" s="30"/>
      <c r="H540" s="30"/>
      <c r="I540" s="30"/>
      <c r="J540" s="30"/>
      <c r="K540" s="30"/>
      <c r="L540" s="30"/>
      <c r="M540" s="30"/>
    </row>
    <row r="541" spans="1:13">
      <c r="A541" s="31"/>
      <c r="B541" s="31"/>
      <c r="C541" s="31"/>
      <c r="D541" s="32"/>
      <c r="E541" s="30"/>
      <c r="F541" s="30"/>
      <c r="G541" s="30"/>
      <c r="H541" s="30"/>
      <c r="I541" s="30"/>
      <c r="J541" s="30"/>
      <c r="K541" s="30"/>
      <c r="L541" s="30"/>
      <c r="M541" s="30"/>
    </row>
    <row r="542" spans="1:13">
      <c r="A542" s="31"/>
      <c r="B542" s="31"/>
      <c r="C542" s="31"/>
      <c r="D542" s="32"/>
      <c r="E542" s="30"/>
      <c r="F542" s="30"/>
      <c r="G542" s="30"/>
      <c r="H542" s="30"/>
      <c r="I542" s="30"/>
      <c r="J542" s="30"/>
      <c r="K542" s="30"/>
      <c r="L542" s="30"/>
      <c r="M542" s="30"/>
    </row>
    <row r="543" spans="1:13">
      <c r="A543" s="31"/>
      <c r="B543" s="31"/>
      <c r="C543" s="31"/>
      <c r="D543" s="32"/>
      <c r="E543" s="30"/>
      <c r="F543" s="30"/>
      <c r="G543" s="30"/>
      <c r="H543" s="30"/>
      <c r="I543" s="30"/>
      <c r="J543" s="30"/>
      <c r="K543" s="30"/>
      <c r="L543" s="30"/>
      <c r="M543" s="30"/>
    </row>
    <row r="544" spans="1:13">
      <c r="A544" s="31"/>
      <c r="B544" s="31"/>
      <c r="C544" s="31"/>
      <c r="D544" s="32"/>
      <c r="E544" s="30"/>
      <c r="F544" s="30"/>
      <c r="G544" s="30"/>
      <c r="H544" s="30"/>
      <c r="I544" s="30"/>
      <c r="J544" s="30"/>
      <c r="K544" s="30"/>
      <c r="L544" s="30"/>
      <c r="M544" s="30"/>
    </row>
    <row r="545" spans="1:13">
      <c r="A545" s="31"/>
      <c r="B545" s="31"/>
      <c r="C545" s="31"/>
      <c r="D545" s="32"/>
      <c r="E545" s="30"/>
      <c r="F545" s="30"/>
      <c r="G545" s="30"/>
      <c r="H545" s="30"/>
      <c r="I545" s="30"/>
      <c r="J545" s="30"/>
      <c r="K545" s="30"/>
      <c r="L545" s="30"/>
      <c r="M545" s="30"/>
    </row>
    <row r="546" spans="1:13">
      <c r="A546" s="31"/>
      <c r="B546" s="31"/>
      <c r="C546" s="31"/>
      <c r="D546" s="32"/>
      <c r="E546" s="30"/>
      <c r="F546" s="30"/>
      <c r="G546" s="30"/>
      <c r="H546" s="30"/>
      <c r="I546" s="30"/>
      <c r="J546" s="30"/>
      <c r="K546" s="30"/>
      <c r="L546" s="30"/>
      <c r="M546" s="30"/>
    </row>
    <row r="547" spans="1:13">
      <c r="A547" s="31"/>
      <c r="B547" s="31"/>
      <c r="C547" s="31"/>
      <c r="D547" s="32"/>
      <c r="E547" s="30"/>
      <c r="F547" s="30"/>
      <c r="G547" s="30"/>
      <c r="H547" s="30"/>
      <c r="I547" s="30"/>
      <c r="J547" s="30"/>
      <c r="K547" s="30"/>
      <c r="L547" s="30"/>
      <c r="M547" s="30"/>
    </row>
    <row r="548" spans="1:13">
      <c r="A548" s="31"/>
      <c r="B548" s="31"/>
      <c r="C548" s="31"/>
      <c r="D548" s="32"/>
      <c r="E548" s="30"/>
      <c r="F548" s="30"/>
      <c r="G548" s="30"/>
      <c r="H548" s="30"/>
      <c r="I548" s="30"/>
      <c r="J548" s="30"/>
      <c r="K548" s="30"/>
      <c r="L548" s="30"/>
      <c r="M548" s="30"/>
    </row>
    <row r="549" spans="1:13">
      <c r="A549" s="31"/>
      <c r="B549" s="31"/>
      <c r="C549" s="31"/>
      <c r="D549" s="32"/>
      <c r="E549" s="30"/>
      <c r="F549" s="30"/>
      <c r="G549" s="30"/>
      <c r="H549" s="30"/>
      <c r="I549" s="30"/>
      <c r="J549" s="30"/>
      <c r="K549" s="30"/>
      <c r="L549" s="30"/>
      <c r="M549" s="30"/>
    </row>
    <row r="550" spans="1:13">
      <c r="A550" s="31"/>
      <c r="B550" s="31"/>
      <c r="C550" s="31"/>
      <c r="D550" s="32"/>
      <c r="E550" s="30"/>
      <c r="F550" s="30"/>
      <c r="G550" s="30"/>
      <c r="H550" s="30"/>
      <c r="I550" s="30"/>
      <c r="J550" s="30"/>
      <c r="K550" s="30"/>
      <c r="L550" s="30"/>
      <c r="M550" s="30"/>
    </row>
    <row r="551" spans="1:13">
      <c r="A551" s="31"/>
      <c r="B551" s="31"/>
      <c r="C551" s="31"/>
      <c r="D551" s="32"/>
      <c r="E551" s="30"/>
      <c r="F551" s="30"/>
      <c r="G551" s="30"/>
      <c r="H551" s="30"/>
      <c r="I551" s="30"/>
      <c r="J551" s="30"/>
      <c r="K551" s="30"/>
      <c r="L551" s="30"/>
      <c r="M551" s="30"/>
    </row>
    <row r="552" spans="1:13">
      <c r="A552" s="31"/>
      <c r="B552" s="31"/>
      <c r="C552" s="31"/>
      <c r="D552" s="32"/>
      <c r="E552" s="30"/>
      <c r="F552" s="30"/>
      <c r="G552" s="30"/>
      <c r="H552" s="30"/>
      <c r="I552" s="30"/>
      <c r="J552" s="30"/>
      <c r="K552" s="30"/>
      <c r="L552" s="30"/>
      <c r="M552" s="30"/>
    </row>
    <row r="553" spans="1:13">
      <c r="A553" s="31"/>
      <c r="B553" s="31"/>
      <c r="C553" s="31"/>
      <c r="D553" s="32"/>
      <c r="E553" s="30"/>
      <c r="F553" s="30"/>
      <c r="G553" s="30"/>
      <c r="H553" s="30"/>
      <c r="I553" s="30"/>
      <c r="J553" s="30"/>
      <c r="K553" s="30"/>
      <c r="L553" s="30"/>
      <c r="M553" s="30"/>
    </row>
    <row r="554" spans="1:13">
      <c r="A554" s="31"/>
      <c r="B554" s="31"/>
      <c r="C554" s="31"/>
      <c r="D554" s="32"/>
      <c r="E554" s="30"/>
      <c r="F554" s="30"/>
      <c r="G554" s="30"/>
      <c r="H554" s="30"/>
      <c r="I554" s="30"/>
      <c r="J554" s="30"/>
      <c r="K554" s="30"/>
      <c r="L554" s="30"/>
      <c r="M554" s="30"/>
    </row>
    <row r="555" spans="1:13">
      <c r="A555" s="31"/>
      <c r="B555" s="31"/>
      <c r="C555" s="31"/>
      <c r="D555" s="32"/>
      <c r="E555" s="30"/>
      <c r="F555" s="30"/>
      <c r="G555" s="30"/>
      <c r="H555" s="30"/>
      <c r="I555" s="30"/>
      <c r="J555" s="30"/>
      <c r="K555" s="30"/>
      <c r="L555" s="30"/>
      <c r="M555" s="30"/>
    </row>
    <row r="556" spans="1:13">
      <c r="A556" s="31"/>
      <c r="B556" s="31"/>
      <c r="C556" s="31"/>
      <c r="D556" s="32"/>
      <c r="E556" s="30"/>
      <c r="F556" s="30"/>
      <c r="G556" s="30"/>
      <c r="H556" s="30"/>
      <c r="I556" s="30"/>
      <c r="J556" s="30"/>
      <c r="K556" s="30"/>
      <c r="L556" s="30"/>
      <c r="M556" s="30"/>
    </row>
    <row r="557" spans="1:13">
      <c r="A557" s="31"/>
      <c r="B557" s="31"/>
      <c r="C557" s="31"/>
      <c r="D557" s="32"/>
      <c r="E557" s="30"/>
      <c r="F557" s="30"/>
      <c r="G557" s="30"/>
      <c r="H557" s="30"/>
      <c r="I557" s="30"/>
      <c r="J557" s="30"/>
      <c r="K557" s="30"/>
      <c r="L557" s="30"/>
      <c r="M557" s="30"/>
    </row>
    <row r="558" spans="1:13">
      <c r="A558" s="31"/>
      <c r="B558" s="31"/>
      <c r="C558" s="31"/>
      <c r="D558" s="32"/>
      <c r="E558" s="30"/>
      <c r="F558" s="30"/>
      <c r="G558" s="30"/>
      <c r="H558" s="30"/>
      <c r="I558" s="30"/>
      <c r="J558" s="30"/>
      <c r="K558" s="30"/>
      <c r="L558" s="30"/>
      <c r="M558" s="30"/>
    </row>
    <row r="559" spans="1:13">
      <c r="A559" s="31"/>
      <c r="B559" s="31"/>
      <c r="C559" s="31"/>
      <c r="D559" s="32"/>
      <c r="E559" s="30"/>
      <c r="F559" s="30"/>
      <c r="G559" s="30"/>
      <c r="H559" s="30"/>
      <c r="I559" s="30"/>
      <c r="J559" s="30"/>
      <c r="K559" s="30"/>
      <c r="L559" s="30"/>
      <c r="M559" s="30"/>
    </row>
    <row r="560" spans="1:13">
      <c r="A560" s="31"/>
      <c r="B560" s="31"/>
      <c r="C560" s="31"/>
      <c r="D560" s="32"/>
      <c r="E560" s="30"/>
      <c r="F560" s="30"/>
      <c r="G560" s="30"/>
      <c r="H560" s="30"/>
      <c r="I560" s="30"/>
      <c r="J560" s="30"/>
      <c r="K560" s="30"/>
      <c r="L560" s="30"/>
      <c r="M560" s="30"/>
    </row>
    <row r="561" spans="1:13">
      <c r="A561" s="31"/>
      <c r="B561" s="31"/>
      <c r="C561" s="31"/>
      <c r="D561" s="32"/>
      <c r="E561" s="30"/>
      <c r="F561" s="30"/>
      <c r="G561" s="30"/>
      <c r="H561" s="30"/>
      <c r="I561" s="30"/>
      <c r="J561" s="30"/>
      <c r="K561" s="30"/>
      <c r="L561" s="30"/>
      <c r="M561" s="30"/>
    </row>
    <row r="562" spans="1:13">
      <c r="A562" s="31"/>
      <c r="B562" s="31"/>
      <c r="C562" s="31"/>
      <c r="D562" s="32"/>
      <c r="E562" s="30"/>
      <c r="F562" s="30"/>
      <c r="G562" s="30"/>
      <c r="H562" s="30"/>
      <c r="I562" s="30"/>
      <c r="J562" s="30"/>
      <c r="K562" s="30"/>
      <c r="L562" s="30"/>
      <c r="M562" s="30"/>
    </row>
    <row r="563" spans="1:13">
      <c r="A563" s="31"/>
      <c r="B563" s="31"/>
      <c r="C563" s="31"/>
      <c r="D563" s="32"/>
      <c r="E563" s="30"/>
      <c r="F563" s="30"/>
      <c r="G563" s="30"/>
      <c r="H563" s="30"/>
      <c r="I563" s="30"/>
      <c r="J563" s="30"/>
      <c r="K563" s="30"/>
      <c r="L563" s="30"/>
      <c r="M563" s="30"/>
    </row>
    <row r="564" spans="1:13">
      <c r="A564" s="31"/>
      <c r="B564" s="31"/>
      <c r="C564" s="31"/>
      <c r="D564" s="32"/>
      <c r="E564" s="30"/>
      <c r="F564" s="30"/>
      <c r="G564" s="30"/>
      <c r="H564" s="30"/>
      <c r="I564" s="30"/>
      <c r="J564" s="30"/>
      <c r="K564" s="30"/>
      <c r="L564" s="30"/>
      <c r="M564" s="30"/>
    </row>
    <row r="565" spans="1:13">
      <c r="A565" s="31"/>
      <c r="B565" s="31"/>
      <c r="C565" s="31"/>
      <c r="D565" s="32"/>
      <c r="E565" s="30"/>
      <c r="F565" s="30"/>
      <c r="G565" s="30"/>
      <c r="H565" s="30"/>
      <c r="I565" s="30"/>
      <c r="J565" s="30"/>
      <c r="K565" s="30"/>
      <c r="L565" s="30"/>
      <c r="M565" s="30"/>
    </row>
    <row r="566" spans="1:13">
      <c r="A566" s="31"/>
      <c r="B566" s="31"/>
      <c r="C566" s="31"/>
      <c r="D566" s="32"/>
      <c r="E566" s="30"/>
      <c r="F566" s="30"/>
      <c r="G566" s="30"/>
      <c r="H566" s="30"/>
      <c r="I566" s="30"/>
      <c r="J566" s="30"/>
      <c r="K566" s="30"/>
      <c r="L566" s="30"/>
      <c r="M566" s="30"/>
    </row>
    <row r="567" spans="1:13">
      <c r="A567" s="31"/>
      <c r="B567" s="31"/>
      <c r="C567" s="31"/>
      <c r="D567" s="32"/>
      <c r="E567" s="30"/>
      <c r="F567" s="30"/>
      <c r="G567" s="30"/>
      <c r="H567" s="30"/>
      <c r="I567" s="30"/>
      <c r="J567" s="30"/>
      <c r="K567" s="30"/>
      <c r="L567" s="30"/>
      <c r="M567" s="30"/>
    </row>
    <row r="568" spans="1:13">
      <c r="A568" s="31"/>
      <c r="B568" s="31"/>
      <c r="C568" s="31"/>
      <c r="D568" s="32"/>
      <c r="E568" s="30"/>
      <c r="F568" s="30"/>
      <c r="G568" s="30"/>
      <c r="H568" s="30"/>
      <c r="I568" s="30"/>
      <c r="J568" s="30"/>
      <c r="K568" s="30"/>
      <c r="L568" s="30"/>
      <c r="M568" s="30"/>
    </row>
    <row r="569" spans="1:13">
      <c r="A569" s="31"/>
      <c r="B569" s="31"/>
      <c r="C569" s="31"/>
      <c r="D569" s="32"/>
      <c r="E569" s="30"/>
      <c r="F569" s="30"/>
      <c r="G569" s="30"/>
      <c r="H569" s="30"/>
      <c r="I569" s="30"/>
      <c r="J569" s="30"/>
      <c r="K569" s="30"/>
      <c r="L569" s="30"/>
      <c r="M569" s="30"/>
    </row>
    <row r="570" spans="1:13">
      <c r="A570" s="31"/>
      <c r="B570" s="31"/>
      <c r="C570" s="31"/>
      <c r="D570" s="32"/>
      <c r="E570" s="30"/>
      <c r="F570" s="30"/>
      <c r="G570" s="30"/>
      <c r="H570" s="30"/>
      <c r="I570" s="30"/>
      <c r="J570" s="30"/>
      <c r="K570" s="30"/>
      <c r="L570" s="30"/>
      <c r="M570" s="30"/>
    </row>
    <row r="571" spans="1:13">
      <c r="A571" s="31"/>
      <c r="B571" s="31"/>
      <c r="C571" s="31"/>
      <c r="D571" s="32"/>
      <c r="E571" s="30"/>
      <c r="F571" s="30"/>
      <c r="G571" s="30"/>
      <c r="H571" s="30"/>
      <c r="I571" s="30"/>
      <c r="J571" s="30"/>
      <c r="K571" s="30"/>
      <c r="L571" s="30"/>
      <c r="M571" s="30"/>
    </row>
    <row r="572" spans="1:13">
      <c r="A572" s="31"/>
      <c r="B572" s="31"/>
      <c r="C572" s="31"/>
      <c r="D572" s="32"/>
      <c r="E572" s="30"/>
      <c r="F572" s="30"/>
      <c r="G572" s="30"/>
      <c r="H572" s="30"/>
      <c r="I572" s="30"/>
      <c r="J572" s="30"/>
      <c r="K572" s="30"/>
      <c r="L572" s="30"/>
      <c r="M572" s="30"/>
    </row>
    <row r="573" spans="1:13">
      <c r="A573" s="31"/>
      <c r="B573" s="31"/>
      <c r="C573" s="31"/>
      <c r="D573" s="32"/>
      <c r="E573" s="30"/>
      <c r="F573" s="30"/>
      <c r="G573" s="30"/>
      <c r="H573" s="30"/>
      <c r="I573" s="30"/>
      <c r="J573" s="30"/>
      <c r="K573" s="30"/>
      <c r="L573" s="30"/>
      <c r="M573" s="30"/>
    </row>
    <row r="574" spans="1:13">
      <c r="A574" s="31"/>
      <c r="B574" s="31"/>
      <c r="C574" s="31"/>
      <c r="D574" s="32"/>
      <c r="E574" s="30"/>
      <c r="F574" s="30"/>
      <c r="G574" s="30"/>
      <c r="H574" s="30"/>
      <c r="I574" s="30"/>
      <c r="J574" s="30"/>
      <c r="K574" s="30"/>
      <c r="L574" s="30"/>
      <c r="M574" s="30"/>
    </row>
    <row r="575" spans="1:13">
      <c r="A575" s="31"/>
      <c r="B575" s="31"/>
      <c r="C575" s="31"/>
      <c r="D575" s="32"/>
      <c r="E575" s="30"/>
      <c r="F575" s="30"/>
      <c r="G575" s="30"/>
      <c r="H575" s="30"/>
      <c r="I575" s="30"/>
      <c r="J575" s="30"/>
      <c r="K575" s="30"/>
      <c r="L575" s="30"/>
      <c r="M575" s="30"/>
    </row>
    <row r="576" spans="1:13">
      <c r="A576" s="31"/>
      <c r="B576" s="31"/>
      <c r="C576" s="31"/>
      <c r="D576" s="32"/>
      <c r="E576" s="30"/>
      <c r="F576" s="30"/>
      <c r="G576" s="30"/>
      <c r="H576" s="30"/>
      <c r="I576" s="30"/>
      <c r="J576" s="30"/>
      <c r="K576" s="30"/>
      <c r="L576" s="30"/>
      <c r="M576" s="30"/>
    </row>
    <row r="577" spans="1:13">
      <c r="A577" s="31"/>
      <c r="B577" s="31"/>
      <c r="C577" s="31"/>
      <c r="D577" s="32"/>
      <c r="E577" s="30"/>
      <c r="F577" s="30"/>
      <c r="G577" s="30"/>
      <c r="H577" s="30"/>
      <c r="I577" s="30"/>
      <c r="J577" s="30"/>
      <c r="K577" s="30"/>
      <c r="L577" s="30"/>
      <c r="M577" s="30"/>
    </row>
    <row r="578" spans="1:13">
      <c r="A578" s="31"/>
      <c r="B578" s="31"/>
      <c r="C578" s="31"/>
      <c r="D578" s="32"/>
      <c r="E578" s="30"/>
      <c r="F578" s="30"/>
      <c r="G578" s="30"/>
      <c r="H578" s="30"/>
      <c r="I578" s="30"/>
      <c r="J578" s="30"/>
      <c r="K578" s="30"/>
      <c r="L578" s="30"/>
      <c r="M578" s="30"/>
    </row>
    <row r="579" spans="1:13">
      <c r="A579" s="31"/>
      <c r="B579" s="31"/>
      <c r="C579" s="31"/>
      <c r="D579" s="32"/>
      <c r="E579" s="30"/>
      <c r="F579" s="30"/>
      <c r="G579" s="30"/>
      <c r="H579" s="30"/>
      <c r="I579" s="30"/>
      <c r="J579" s="30"/>
      <c r="K579" s="30"/>
      <c r="L579" s="30"/>
      <c r="M579" s="30"/>
    </row>
    <row r="580" spans="1:13">
      <c r="A580" s="31"/>
      <c r="B580" s="31"/>
      <c r="C580" s="31"/>
      <c r="D580" s="32"/>
      <c r="E580" s="30"/>
      <c r="F580" s="30"/>
      <c r="G580" s="30"/>
      <c r="H580" s="30"/>
      <c r="I580" s="30"/>
      <c r="J580" s="30"/>
      <c r="K580" s="30"/>
      <c r="L580" s="30"/>
      <c r="M580" s="30"/>
    </row>
    <row r="581" spans="1:13">
      <c r="A581" s="31"/>
      <c r="B581" s="31"/>
      <c r="C581" s="31"/>
      <c r="D581" s="32"/>
      <c r="E581" s="30"/>
      <c r="F581" s="30"/>
      <c r="G581" s="30"/>
      <c r="H581" s="30"/>
      <c r="I581" s="30"/>
      <c r="J581" s="30"/>
      <c r="K581" s="30"/>
      <c r="L581" s="30"/>
      <c r="M581" s="30"/>
    </row>
    <row r="582" spans="1:13">
      <c r="A582" s="31"/>
      <c r="B582" s="31"/>
      <c r="C582" s="31"/>
      <c r="D582" s="32"/>
      <c r="E582" s="30"/>
      <c r="F582" s="30"/>
      <c r="G582" s="30"/>
      <c r="H582" s="30"/>
      <c r="I582" s="30"/>
      <c r="J582" s="30"/>
      <c r="K582" s="30"/>
      <c r="L582" s="30"/>
      <c r="M582" s="30"/>
    </row>
    <row r="583" spans="1:13">
      <c r="A583" s="31"/>
      <c r="B583" s="31"/>
      <c r="C583" s="31"/>
      <c r="D583" s="32"/>
      <c r="E583" s="30"/>
      <c r="F583" s="30"/>
      <c r="G583" s="30"/>
      <c r="H583" s="30"/>
      <c r="I583" s="30"/>
      <c r="J583" s="30"/>
      <c r="K583" s="30"/>
      <c r="L583" s="30"/>
      <c r="M583" s="30"/>
    </row>
    <row r="584" spans="1:13">
      <c r="A584" s="31"/>
      <c r="B584" s="31"/>
      <c r="C584" s="31"/>
      <c r="D584" s="32"/>
      <c r="E584" s="30"/>
      <c r="F584" s="30"/>
      <c r="G584" s="30"/>
      <c r="H584" s="30"/>
      <c r="I584" s="30"/>
      <c r="J584" s="30"/>
      <c r="K584" s="30"/>
      <c r="L584" s="30"/>
      <c r="M584" s="30"/>
    </row>
    <row r="585" spans="1:13">
      <c r="A585" s="31"/>
      <c r="B585" s="31"/>
      <c r="C585" s="31"/>
      <c r="D585" s="32"/>
      <c r="E585" s="30"/>
      <c r="F585" s="30"/>
      <c r="G585" s="30"/>
      <c r="H585" s="30"/>
      <c r="I585" s="30"/>
      <c r="J585" s="30"/>
      <c r="K585" s="30"/>
      <c r="L585" s="30"/>
      <c r="M585" s="30"/>
    </row>
    <row r="586" spans="1:13">
      <c r="A586" s="31"/>
      <c r="B586" s="31"/>
      <c r="C586" s="31"/>
      <c r="D586" s="32"/>
      <c r="E586" s="30"/>
      <c r="F586" s="30"/>
      <c r="G586" s="30"/>
      <c r="H586" s="30"/>
      <c r="I586" s="30"/>
      <c r="J586" s="30"/>
      <c r="K586" s="30"/>
      <c r="L586" s="30"/>
      <c r="M586" s="30"/>
    </row>
    <row r="587" spans="1:13">
      <c r="A587" s="31"/>
      <c r="B587" s="31"/>
      <c r="C587" s="31"/>
      <c r="D587" s="32"/>
      <c r="E587" s="30"/>
      <c r="F587" s="30"/>
      <c r="G587" s="30"/>
      <c r="H587" s="30"/>
      <c r="I587" s="30"/>
      <c r="J587" s="30"/>
      <c r="K587" s="30"/>
      <c r="L587" s="30"/>
      <c r="M587" s="30"/>
    </row>
    <row r="588" spans="1:13">
      <c r="A588" s="31"/>
      <c r="B588" s="31"/>
      <c r="C588" s="31"/>
      <c r="D588" s="32"/>
      <c r="E588" s="30"/>
      <c r="F588" s="30"/>
      <c r="G588" s="30"/>
      <c r="H588" s="30"/>
      <c r="I588" s="30"/>
      <c r="J588" s="30"/>
      <c r="K588" s="30"/>
      <c r="L588" s="30"/>
      <c r="M588" s="30"/>
    </row>
    <row r="589" spans="1:13">
      <c r="A589" s="31"/>
      <c r="B589" s="31"/>
      <c r="C589" s="31"/>
      <c r="D589" s="32"/>
      <c r="E589" s="30"/>
      <c r="F589" s="30"/>
      <c r="G589" s="30"/>
      <c r="H589" s="30"/>
      <c r="I589" s="30"/>
      <c r="J589" s="30"/>
      <c r="K589" s="30"/>
      <c r="L589" s="30"/>
      <c r="M589" s="30"/>
    </row>
    <row r="590" spans="1:13">
      <c r="A590" s="31"/>
      <c r="B590" s="31"/>
      <c r="C590" s="31"/>
      <c r="D590" s="32"/>
      <c r="E590" s="30"/>
      <c r="F590" s="30"/>
      <c r="G590" s="30"/>
      <c r="H590" s="30"/>
      <c r="I590" s="30"/>
      <c r="J590" s="30"/>
      <c r="K590" s="30"/>
      <c r="L590" s="30"/>
      <c r="M590" s="30"/>
    </row>
    <row r="591" spans="1:13">
      <c r="A591" s="31"/>
      <c r="B591" s="31"/>
      <c r="C591" s="31"/>
      <c r="D591" s="32"/>
      <c r="E591" s="30"/>
      <c r="F591" s="30"/>
      <c r="G591" s="30"/>
      <c r="H591" s="30"/>
      <c r="I591" s="30"/>
      <c r="J591" s="30"/>
      <c r="K591" s="30"/>
      <c r="L591" s="30"/>
      <c r="M591" s="30"/>
    </row>
    <row r="592" spans="1:13">
      <c r="A592" s="31"/>
      <c r="B592" s="31"/>
      <c r="C592" s="31"/>
      <c r="D592" s="32"/>
      <c r="E592" s="30"/>
      <c r="F592" s="30"/>
      <c r="G592" s="30"/>
      <c r="H592" s="30"/>
      <c r="I592" s="30"/>
      <c r="J592" s="30"/>
      <c r="K592" s="30"/>
      <c r="L592" s="30"/>
      <c r="M592" s="30"/>
    </row>
    <row r="593" spans="1:13">
      <c r="A593" s="31"/>
      <c r="B593" s="31"/>
      <c r="C593" s="31"/>
      <c r="D593" s="32"/>
      <c r="E593" s="30"/>
      <c r="F593" s="30"/>
      <c r="G593" s="30"/>
      <c r="H593" s="30"/>
      <c r="I593" s="30"/>
      <c r="J593" s="30"/>
      <c r="K593" s="30"/>
      <c r="L593" s="30"/>
      <c r="M593" s="30"/>
    </row>
    <row r="594" spans="1:13">
      <c r="A594" s="31"/>
      <c r="B594" s="31"/>
      <c r="C594" s="31"/>
      <c r="D594" s="32"/>
      <c r="E594" s="30"/>
      <c r="F594" s="30"/>
      <c r="G594" s="30"/>
      <c r="H594" s="30"/>
      <c r="I594" s="30"/>
      <c r="J594" s="30"/>
      <c r="K594" s="30"/>
      <c r="L594" s="30"/>
      <c r="M594" s="30"/>
    </row>
    <row r="595" spans="1:13">
      <c r="A595" s="31"/>
      <c r="B595" s="31"/>
      <c r="C595" s="31"/>
      <c r="D595" s="32"/>
      <c r="E595" s="30"/>
      <c r="F595" s="30"/>
      <c r="G595" s="30"/>
      <c r="H595" s="30"/>
      <c r="I595" s="30"/>
      <c r="J595" s="30"/>
      <c r="K595" s="30"/>
      <c r="L595" s="30"/>
      <c r="M595" s="30"/>
    </row>
    <row r="596" spans="1:13">
      <c r="A596" s="31"/>
      <c r="B596" s="31"/>
      <c r="C596" s="31"/>
      <c r="D596" s="32"/>
      <c r="E596" s="30"/>
      <c r="F596" s="30"/>
      <c r="G596" s="30"/>
      <c r="H596" s="30"/>
      <c r="I596" s="30"/>
      <c r="J596" s="30"/>
      <c r="K596" s="30"/>
      <c r="L596" s="30"/>
      <c r="M596" s="30"/>
    </row>
    <row r="597" spans="1:13">
      <c r="A597" s="31"/>
      <c r="B597" s="31"/>
      <c r="C597" s="31"/>
      <c r="D597" s="32"/>
      <c r="E597" s="30"/>
      <c r="F597" s="30"/>
      <c r="G597" s="30"/>
      <c r="H597" s="30"/>
      <c r="I597" s="30"/>
      <c r="J597" s="30"/>
      <c r="K597" s="30"/>
      <c r="L597" s="30"/>
      <c r="M597" s="30"/>
    </row>
    <row r="598" spans="1:13">
      <c r="A598" s="31"/>
      <c r="B598" s="31"/>
      <c r="C598" s="31"/>
      <c r="D598" s="32"/>
      <c r="E598" s="30"/>
      <c r="F598" s="30"/>
      <c r="G598" s="30"/>
      <c r="H598" s="30"/>
      <c r="I598" s="30"/>
      <c r="J598" s="30"/>
      <c r="K598" s="30"/>
      <c r="L598" s="30"/>
      <c r="M598" s="30"/>
    </row>
    <row r="599" spans="1:13">
      <c r="A599" s="31"/>
      <c r="B599" s="31"/>
      <c r="C599" s="31"/>
      <c r="D599" s="32"/>
      <c r="E599" s="30"/>
      <c r="F599" s="30"/>
      <c r="G599" s="30"/>
      <c r="H599" s="30"/>
      <c r="I599" s="30"/>
      <c r="J599" s="30"/>
      <c r="K599" s="30"/>
      <c r="L599" s="30"/>
      <c r="M599" s="30"/>
    </row>
    <row r="600" spans="1:13">
      <c r="A600" s="31"/>
      <c r="B600" s="31"/>
      <c r="C600" s="31"/>
      <c r="D600" s="32"/>
      <c r="E600" s="30"/>
      <c r="F600" s="30"/>
      <c r="G600" s="30"/>
      <c r="H600" s="30"/>
      <c r="I600" s="30"/>
      <c r="J600" s="30"/>
      <c r="K600" s="30"/>
      <c r="L600" s="30"/>
      <c r="M600" s="30"/>
    </row>
    <row r="601" spans="1:13">
      <c r="A601" s="31"/>
      <c r="B601" s="31"/>
      <c r="C601" s="31"/>
      <c r="D601" s="32"/>
      <c r="E601" s="30"/>
      <c r="F601" s="30"/>
      <c r="G601" s="30"/>
      <c r="H601" s="30"/>
      <c r="I601" s="30"/>
      <c r="J601" s="30"/>
      <c r="K601" s="30"/>
      <c r="L601" s="30"/>
      <c r="M601" s="30"/>
    </row>
    <row r="602" spans="1:13">
      <c r="A602" s="31"/>
      <c r="B602" s="31"/>
      <c r="C602" s="31"/>
      <c r="D602" s="32"/>
      <c r="E602" s="30"/>
      <c r="F602" s="30"/>
      <c r="G602" s="30"/>
      <c r="H602" s="30"/>
      <c r="I602" s="30"/>
      <c r="J602" s="30"/>
      <c r="K602" s="30"/>
      <c r="L602" s="30"/>
      <c r="M602" s="30"/>
    </row>
    <row r="603" spans="1:13">
      <c r="A603" s="31"/>
      <c r="B603" s="31"/>
      <c r="C603" s="31"/>
      <c r="D603" s="32"/>
      <c r="E603" s="30"/>
      <c r="F603" s="30"/>
      <c r="G603" s="30"/>
      <c r="H603" s="30"/>
      <c r="I603" s="30"/>
      <c r="J603" s="30"/>
      <c r="K603" s="30"/>
      <c r="L603" s="30"/>
      <c r="M603" s="30"/>
    </row>
    <row r="604" spans="1:13">
      <c r="A604" s="31"/>
      <c r="B604" s="31"/>
      <c r="C604" s="31"/>
      <c r="D604" s="32"/>
      <c r="E604" s="30"/>
      <c r="F604" s="30"/>
      <c r="G604" s="30"/>
      <c r="H604" s="30"/>
      <c r="I604" s="30"/>
      <c r="J604" s="30"/>
      <c r="K604" s="30"/>
      <c r="L604" s="30"/>
      <c r="M604" s="30"/>
    </row>
    <row r="605" spans="1:13">
      <c r="A605" s="31"/>
      <c r="B605" s="31"/>
      <c r="C605" s="31"/>
      <c r="D605" s="32"/>
      <c r="E605" s="30"/>
      <c r="F605" s="30"/>
      <c r="G605" s="30"/>
      <c r="H605" s="30"/>
      <c r="I605" s="30"/>
      <c r="J605" s="30"/>
      <c r="K605" s="30"/>
      <c r="L605" s="30"/>
      <c r="M605" s="30"/>
    </row>
    <row r="606" spans="1:13">
      <c r="A606" s="31"/>
      <c r="B606" s="31"/>
      <c r="C606" s="31"/>
      <c r="D606" s="32"/>
      <c r="E606" s="30"/>
      <c r="F606" s="30"/>
      <c r="G606" s="30"/>
      <c r="H606" s="30"/>
      <c r="I606" s="30"/>
      <c r="J606" s="30"/>
      <c r="K606" s="30"/>
      <c r="L606" s="30"/>
      <c r="M606" s="30"/>
    </row>
    <row r="607" spans="1:13">
      <c r="A607" s="31"/>
      <c r="B607" s="31"/>
      <c r="C607" s="31"/>
      <c r="D607" s="32"/>
      <c r="E607" s="30"/>
      <c r="F607" s="30"/>
      <c r="G607" s="30"/>
      <c r="H607" s="30"/>
      <c r="I607" s="30"/>
      <c r="J607" s="30"/>
      <c r="K607" s="30"/>
      <c r="L607" s="30"/>
      <c r="M607" s="30"/>
    </row>
    <row r="608" spans="1:13">
      <c r="A608" s="31"/>
      <c r="B608" s="31"/>
      <c r="C608" s="31"/>
      <c r="D608" s="32"/>
      <c r="E608" s="30"/>
      <c r="F608" s="30"/>
      <c r="G608" s="30"/>
      <c r="H608" s="30"/>
      <c r="I608" s="30"/>
      <c r="J608" s="30"/>
      <c r="K608" s="30"/>
      <c r="L608" s="30"/>
      <c r="M608" s="30"/>
    </row>
    <row r="609" spans="1:13">
      <c r="A609" s="31"/>
      <c r="B609" s="31"/>
      <c r="C609" s="31"/>
      <c r="D609" s="32"/>
      <c r="E609" s="30"/>
      <c r="F609" s="30"/>
      <c r="G609" s="30"/>
      <c r="H609" s="30"/>
      <c r="I609" s="30"/>
      <c r="J609" s="30"/>
      <c r="K609" s="30"/>
      <c r="L609" s="30"/>
      <c r="M609" s="30"/>
    </row>
    <row r="610" spans="1:13">
      <c r="A610" s="31"/>
      <c r="B610" s="31"/>
      <c r="C610" s="31"/>
      <c r="D610" s="32"/>
      <c r="E610" s="30"/>
      <c r="F610" s="30"/>
      <c r="G610" s="30"/>
      <c r="H610" s="30"/>
      <c r="I610" s="30"/>
      <c r="J610" s="30"/>
      <c r="K610" s="30"/>
      <c r="L610" s="30"/>
      <c r="M610" s="30"/>
    </row>
    <row r="611" spans="1:13">
      <c r="A611" s="31"/>
      <c r="B611" s="31"/>
      <c r="C611" s="31"/>
      <c r="D611" s="32"/>
      <c r="E611" s="30"/>
      <c r="F611" s="30"/>
      <c r="G611" s="30"/>
      <c r="H611" s="30"/>
      <c r="I611" s="30"/>
      <c r="J611" s="30"/>
      <c r="K611" s="30"/>
      <c r="L611" s="30"/>
      <c r="M611" s="30"/>
    </row>
    <row r="612" spans="1:13">
      <c r="A612" s="31"/>
      <c r="B612" s="31"/>
      <c r="C612" s="31"/>
      <c r="D612" s="32"/>
      <c r="E612" s="30"/>
      <c r="F612" s="30"/>
      <c r="G612" s="30"/>
      <c r="H612" s="30"/>
      <c r="I612" s="30"/>
      <c r="J612" s="30"/>
      <c r="K612" s="30"/>
      <c r="L612" s="30"/>
      <c r="M612" s="30"/>
    </row>
    <row r="613" spans="1:13">
      <c r="A613" s="31"/>
      <c r="B613" s="31"/>
      <c r="C613" s="31"/>
      <c r="D613" s="32"/>
      <c r="E613" s="30"/>
      <c r="F613" s="30"/>
      <c r="G613" s="30"/>
      <c r="H613" s="30"/>
      <c r="I613" s="30"/>
      <c r="J613" s="30"/>
      <c r="K613" s="30"/>
      <c r="L613" s="30"/>
      <c r="M613" s="30"/>
    </row>
    <row r="614" spans="1:13">
      <c r="A614" s="31"/>
      <c r="B614" s="31"/>
      <c r="C614" s="31"/>
      <c r="D614" s="32"/>
      <c r="E614" s="30"/>
      <c r="F614" s="30"/>
      <c r="G614" s="30"/>
      <c r="H614" s="30"/>
      <c r="I614" s="30"/>
      <c r="J614" s="30"/>
      <c r="K614" s="30"/>
      <c r="L614" s="30"/>
      <c r="M614" s="30"/>
    </row>
    <row r="615" spans="1:13">
      <c r="A615" s="31"/>
      <c r="B615" s="31"/>
      <c r="C615" s="31"/>
      <c r="D615" s="32"/>
      <c r="E615" s="30"/>
      <c r="F615" s="30"/>
      <c r="G615" s="30"/>
      <c r="H615" s="30"/>
      <c r="I615" s="30"/>
      <c r="J615" s="30"/>
      <c r="K615" s="30"/>
      <c r="L615" s="30"/>
      <c r="M615" s="30"/>
    </row>
    <row r="616" spans="1:13">
      <c r="A616" s="31"/>
      <c r="B616" s="31"/>
      <c r="C616" s="31"/>
      <c r="D616" s="32"/>
      <c r="E616" s="30"/>
      <c r="F616" s="30"/>
      <c r="G616" s="30"/>
      <c r="H616" s="30"/>
      <c r="I616" s="30"/>
      <c r="J616" s="30"/>
      <c r="K616" s="30"/>
      <c r="L616" s="30"/>
      <c r="M616" s="30"/>
    </row>
    <row r="617" spans="1:13">
      <c r="A617" s="31"/>
      <c r="B617" s="31"/>
      <c r="C617" s="31"/>
      <c r="D617" s="32"/>
      <c r="E617" s="30"/>
      <c r="F617" s="30"/>
      <c r="G617" s="30"/>
      <c r="H617" s="30"/>
      <c r="I617" s="30"/>
      <c r="J617" s="30"/>
      <c r="K617" s="30"/>
      <c r="L617" s="30"/>
      <c r="M617" s="30"/>
    </row>
    <row r="618" spans="1:13">
      <c r="A618" s="31"/>
      <c r="B618" s="31"/>
      <c r="C618" s="31"/>
      <c r="D618" s="32"/>
      <c r="E618" s="30"/>
      <c r="F618" s="30"/>
      <c r="G618" s="30"/>
      <c r="H618" s="30"/>
      <c r="I618" s="30"/>
      <c r="J618" s="30"/>
      <c r="K618" s="30"/>
      <c r="L618" s="30"/>
      <c r="M618" s="30"/>
    </row>
    <row r="619" spans="1:13">
      <c r="A619" s="31"/>
      <c r="B619" s="31"/>
      <c r="C619" s="31"/>
      <c r="D619" s="32"/>
      <c r="E619" s="30"/>
      <c r="F619" s="30"/>
      <c r="G619" s="30"/>
      <c r="H619" s="30"/>
      <c r="I619" s="30"/>
      <c r="J619" s="30"/>
      <c r="K619" s="30"/>
      <c r="L619" s="30"/>
      <c r="M619" s="30"/>
    </row>
    <row r="620" spans="1:13">
      <c r="A620" s="31"/>
      <c r="B620" s="31"/>
      <c r="C620" s="31"/>
      <c r="D620" s="32"/>
      <c r="E620" s="30"/>
      <c r="F620" s="30"/>
      <c r="G620" s="30"/>
      <c r="H620" s="30"/>
      <c r="I620" s="30"/>
      <c r="J620" s="30"/>
      <c r="K620" s="30"/>
      <c r="L620" s="30"/>
      <c r="M620" s="30"/>
    </row>
    <row r="621" spans="1:13">
      <c r="A621" s="31"/>
      <c r="B621" s="31"/>
      <c r="C621" s="31"/>
      <c r="D621" s="32"/>
      <c r="E621" s="30"/>
      <c r="F621" s="30"/>
      <c r="G621" s="30"/>
      <c r="H621" s="30"/>
      <c r="I621" s="30"/>
      <c r="J621" s="30"/>
      <c r="K621" s="30"/>
      <c r="L621" s="30"/>
      <c r="M621" s="30"/>
    </row>
    <row r="622" spans="1:13">
      <c r="A622" s="31"/>
      <c r="B622" s="31"/>
      <c r="C622" s="31"/>
      <c r="D622" s="32"/>
      <c r="E622" s="30"/>
      <c r="F622" s="30"/>
      <c r="G622" s="30"/>
      <c r="H622" s="30"/>
      <c r="I622" s="30"/>
      <c r="J622" s="30"/>
      <c r="K622" s="30"/>
      <c r="L622" s="30"/>
      <c r="M622" s="30"/>
    </row>
    <row r="623" spans="1:13">
      <c r="A623" s="31"/>
      <c r="B623" s="31"/>
      <c r="C623" s="31"/>
      <c r="D623" s="32"/>
      <c r="E623" s="30"/>
      <c r="F623" s="30"/>
      <c r="G623" s="30"/>
      <c r="H623" s="30"/>
      <c r="I623" s="30"/>
      <c r="J623" s="30"/>
      <c r="K623" s="30"/>
      <c r="L623" s="30"/>
      <c r="M623" s="30"/>
    </row>
    <row r="624" spans="1:13">
      <c r="A624" s="31"/>
      <c r="B624" s="31"/>
      <c r="C624" s="31"/>
      <c r="D624" s="32"/>
      <c r="E624" s="30"/>
      <c r="F624" s="30"/>
      <c r="G624" s="30"/>
      <c r="H624" s="30"/>
      <c r="I624" s="30"/>
      <c r="J624" s="30"/>
      <c r="K624" s="30"/>
      <c r="L624" s="30"/>
      <c r="M624" s="30"/>
    </row>
    <row r="625" spans="1:13">
      <c r="A625" s="31"/>
      <c r="B625" s="31"/>
      <c r="C625" s="31"/>
      <c r="D625" s="32"/>
      <c r="E625" s="30"/>
      <c r="F625" s="30"/>
      <c r="G625" s="30"/>
      <c r="H625" s="30"/>
      <c r="I625" s="30"/>
      <c r="J625" s="30"/>
      <c r="K625" s="30"/>
      <c r="L625" s="30"/>
      <c r="M625" s="30"/>
    </row>
    <row r="626" spans="1:13">
      <c r="A626" s="31"/>
      <c r="B626" s="31"/>
      <c r="C626" s="31"/>
      <c r="D626" s="32"/>
      <c r="E626" s="30"/>
      <c r="F626" s="30"/>
      <c r="G626" s="30"/>
      <c r="H626" s="30"/>
      <c r="I626" s="30"/>
      <c r="J626" s="30"/>
      <c r="K626" s="30"/>
      <c r="L626" s="30"/>
      <c r="M626" s="30"/>
    </row>
    <row r="627" spans="1:13">
      <c r="A627" s="31"/>
      <c r="B627" s="31"/>
      <c r="C627" s="31"/>
      <c r="D627" s="32"/>
      <c r="E627" s="30"/>
      <c r="F627" s="30"/>
      <c r="G627" s="30"/>
      <c r="H627" s="30"/>
      <c r="I627" s="30"/>
      <c r="J627" s="30"/>
      <c r="K627" s="30"/>
      <c r="L627" s="30"/>
      <c r="M627" s="30"/>
    </row>
    <row r="628" spans="1:13">
      <c r="A628" s="31"/>
      <c r="B628" s="31"/>
      <c r="C628" s="31"/>
      <c r="D628" s="32"/>
      <c r="E628" s="30"/>
      <c r="F628" s="30"/>
      <c r="G628" s="30"/>
      <c r="H628" s="30"/>
      <c r="I628" s="30"/>
      <c r="J628" s="30"/>
      <c r="K628" s="30"/>
      <c r="L628" s="30"/>
      <c r="M628" s="30"/>
    </row>
    <row r="629" spans="1:13">
      <c r="A629" s="31"/>
      <c r="B629" s="31"/>
      <c r="C629" s="31"/>
      <c r="D629" s="32"/>
      <c r="E629" s="30"/>
      <c r="F629" s="30"/>
      <c r="G629" s="30"/>
      <c r="H629" s="30"/>
      <c r="I629" s="30"/>
      <c r="J629" s="30"/>
      <c r="K629" s="30"/>
      <c r="L629" s="30"/>
      <c r="M629" s="30"/>
    </row>
    <row r="630" spans="1:13">
      <c r="A630" s="31"/>
      <c r="B630" s="31"/>
      <c r="C630" s="31"/>
      <c r="D630" s="32"/>
      <c r="E630" s="30"/>
      <c r="F630" s="30"/>
      <c r="G630" s="30"/>
      <c r="H630" s="30"/>
      <c r="I630" s="30"/>
      <c r="J630" s="30"/>
      <c r="K630" s="30"/>
      <c r="L630" s="30"/>
      <c r="M630" s="30"/>
    </row>
    <row r="631" spans="1:13">
      <c r="A631" s="31"/>
      <c r="B631" s="31"/>
      <c r="C631" s="31"/>
      <c r="D631" s="32"/>
      <c r="E631" s="30"/>
      <c r="F631" s="30"/>
      <c r="G631" s="30"/>
      <c r="H631" s="30"/>
      <c r="I631" s="30"/>
      <c r="J631" s="30"/>
      <c r="K631" s="30"/>
      <c r="L631" s="30"/>
      <c r="M631" s="30"/>
    </row>
    <row r="632" spans="1:13">
      <c r="A632" s="31"/>
      <c r="B632" s="31"/>
      <c r="C632" s="31"/>
      <c r="D632" s="32"/>
      <c r="E632" s="30"/>
      <c r="F632" s="30"/>
      <c r="G632" s="30"/>
      <c r="H632" s="30"/>
      <c r="I632" s="30"/>
      <c r="J632" s="30"/>
      <c r="K632" s="30"/>
      <c r="L632" s="30"/>
      <c r="M632" s="30"/>
    </row>
    <row r="633" spans="1:13">
      <c r="A633" s="31"/>
      <c r="B633" s="31"/>
      <c r="C633" s="31"/>
      <c r="D633" s="32"/>
      <c r="E633" s="30"/>
      <c r="F633" s="30"/>
      <c r="G633" s="30"/>
      <c r="H633" s="30"/>
      <c r="I633" s="30"/>
      <c r="J633" s="30"/>
      <c r="K633" s="30"/>
      <c r="L633" s="30"/>
      <c r="M633" s="30"/>
    </row>
    <row r="634" spans="1:13">
      <c r="A634" s="31"/>
      <c r="B634" s="31"/>
      <c r="C634" s="31"/>
      <c r="D634" s="32"/>
      <c r="E634" s="30"/>
      <c r="F634" s="30"/>
      <c r="G634" s="30"/>
      <c r="H634" s="30"/>
      <c r="I634" s="30"/>
      <c r="J634" s="30"/>
      <c r="K634" s="30"/>
      <c r="L634" s="30"/>
      <c r="M634" s="30"/>
    </row>
    <row r="635" spans="1:13">
      <c r="A635" s="31"/>
      <c r="B635" s="31"/>
      <c r="C635" s="31"/>
      <c r="D635" s="32"/>
      <c r="E635" s="30"/>
      <c r="F635" s="30"/>
      <c r="G635" s="30"/>
      <c r="H635" s="30"/>
      <c r="I635" s="30"/>
      <c r="J635" s="30"/>
      <c r="K635" s="30"/>
      <c r="L635" s="30"/>
      <c r="M635" s="30"/>
    </row>
    <row r="636" spans="1:13">
      <c r="A636" s="31"/>
      <c r="B636" s="31"/>
      <c r="C636" s="31"/>
      <c r="D636" s="32"/>
      <c r="E636" s="30"/>
      <c r="F636" s="30"/>
      <c r="G636" s="30"/>
      <c r="H636" s="30"/>
      <c r="I636" s="30"/>
      <c r="J636" s="30"/>
      <c r="K636" s="30"/>
      <c r="L636" s="30"/>
      <c r="M636" s="30"/>
    </row>
    <row r="637" spans="1:13">
      <c r="A637" s="31"/>
      <c r="B637" s="31"/>
      <c r="C637" s="31"/>
      <c r="D637" s="32"/>
      <c r="E637" s="30"/>
      <c r="F637" s="30"/>
      <c r="G637" s="30"/>
      <c r="H637" s="30"/>
      <c r="I637" s="30"/>
      <c r="J637" s="30"/>
      <c r="K637" s="30"/>
      <c r="L637" s="30"/>
      <c r="M637" s="30"/>
    </row>
    <row r="638" spans="1:13">
      <c r="A638" s="31"/>
      <c r="B638" s="31"/>
      <c r="C638" s="31"/>
      <c r="D638" s="32"/>
      <c r="E638" s="30"/>
      <c r="F638" s="30"/>
      <c r="G638" s="30"/>
      <c r="H638" s="30"/>
      <c r="I638" s="30"/>
      <c r="J638" s="30"/>
      <c r="K638" s="30"/>
      <c r="L638" s="30"/>
      <c r="M638" s="30"/>
    </row>
    <row r="639" spans="1:13">
      <c r="A639" s="31"/>
      <c r="B639" s="31"/>
      <c r="C639" s="31"/>
      <c r="D639" s="32"/>
      <c r="E639" s="30"/>
      <c r="F639" s="30"/>
      <c r="G639" s="30"/>
      <c r="H639" s="30"/>
      <c r="I639" s="30"/>
      <c r="J639" s="30"/>
      <c r="K639" s="30"/>
      <c r="L639" s="30"/>
      <c r="M639" s="30"/>
    </row>
    <row r="640" spans="1:13">
      <c r="A640" s="31"/>
      <c r="B640" s="31"/>
      <c r="C640" s="31"/>
      <c r="D640" s="32"/>
      <c r="E640" s="30"/>
      <c r="F640" s="30"/>
      <c r="G640" s="30"/>
      <c r="H640" s="30"/>
      <c r="I640" s="30"/>
      <c r="J640" s="30"/>
      <c r="K640" s="30"/>
      <c r="L640" s="30"/>
      <c r="M640" s="30"/>
    </row>
    <row r="641" spans="1:13">
      <c r="A641" s="31"/>
      <c r="B641" s="31"/>
      <c r="C641" s="31"/>
      <c r="D641" s="32"/>
      <c r="E641" s="30"/>
      <c r="F641" s="30"/>
      <c r="G641" s="30"/>
      <c r="H641" s="30"/>
      <c r="I641" s="30"/>
      <c r="J641" s="30"/>
      <c r="K641" s="30"/>
      <c r="L641" s="30"/>
      <c r="M641" s="30"/>
    </row>
    <row r="642" spans="1:13">
      <c r="A642" s="31"/>
      <c r="B642" s="31"/>
      <c r="C642" s="31"/>
      <c r="D642" s="32"/>
      <c r="E642" s="30"/>
      <c r="F642" s="30"/>
      <c r="G642" s="30"/>
      <c r="H642" s="30"/>
      <c r="I642" s="30"/>
      <c r="J642" s="30"/>
      <c r="K642" s="30"/>
      <c r="L642" s="30"/>
      <c r="M642" s="30"/>
    </row>
    <row r="643" spans="1:13">
      <c r="A643" s="31"/>
      <c r="B643" s="31"/>
      <c r="C643" s="31"/>
      <c r="D643" s="32"/>
      <c r="E643" s="30"/>
      <c r="F643" s="30"/>
      <c r="G643" s="30"/>
      <c r="H643" s="30"/>
      <c r="I643" s="30"/>
      <c r="J643" s="30"/>
      <c r="K643" s="30"/>
      <c r="L643" s="30"/>
      <c r="M643" s="30"/>
    </row>
    <row r="644" spans="1:13">
      <c r="A644" s="31"/>
      <c r="B644" s="31"/>
      <c r="C644" s="31"/>
      <c r="D644" s="32"/>
      <c r="E644" s="30"/>
      <c r="F644" s="30"/>
      <c r="G644" s="30"/>
      <c r="H644" s="30"/>
      <c r="I644" s="30"/>
      <c r="J644" s="30"/>
      <c r="K644" s="30"/>
      <c r="L644" s="30"/>
      <c r="M644" s="30"/>
    </row>
    <row r="645" spans="1:13">
      <c r="A645" s="31"/>
      <c r="B645" s="31"/>
      <c r="C645" s="31"/>
      <c r="D645" s="32"/>
      <c r="E645" s="30"/>
      <c r="F645" s="30"/>
      <c r="G645" s="30"/>
      <c r="H645" s="30"/>
      <c r="I645" s="30"/>
      <c r="J645" s="30"/>
      <c r="K645" s="30"/>
      <c r="L645" s="30"/>
      <c r="M645" s="30"/>
    </row>
    <row r="646" spans="1:13">
      <c r="A646" s="31"/>
      <c r="B646" s="31"/>
      <c r="C646" s="31"/>
      <c r="D646" s="32"/>
      <c r="E646" s="30"/>
      <c r="F646" s="30"/>
      <c r="G646" s="30"/>
      <c r="H646" s="30"/>
      <c r="I646" s="30"/>
      <c r="J646" s="30"/>
      <c r="K646" s="30"/>
      <c r="L646" s="30"/>
      <c r="M646" s="30"/>
    </row>
    <row r="647" spans="1:13">
      <c r="A647" s="31"/>
      <c r="B647" s="31"/>
      <c r="C647" s="31"/>
      <c r="D647" s="32"/>
      <c r="E647" s="30"/>
      <c r="F647" s="30"/>
      <c r="G647" s="30"/>
      <c r="H647" s="30"/>
      <c r="I647" s="30"/>
      <c r="J647" s="30"/>
      <c r="K647" s="30"/>
      <c r="L647" s="30"/>
      <c r="M647" s="30"/>
    </row>
    <row r="648" spans="1:13">
      <c r="A648" s="31"/>
      <c r="B648" s="31"/>
      <c r="C648" s="31"/>
      <c r="D648" s="32"/>
      <c r="E648" s="30"/>
      <c r="F648" s="30"/>
      <c r="G648" s="30"/>
      <c r="H648" s="30"/>
      <c r="I648" s="30"/>
      <c r="J648" s="30"/>
      <c r="K648" s="30"/>
      <c r="L648" s="30"/>
      <c r="M648" s="30"/>
    </row>
    <row r="649" spans="1:13">
      <c r="A649" s="31"/>
      <c r="B649" s="31"/>
      <c r="C649" s="31"/>
      <c r="D649" s="32"/>
      <c r="E649" s="30"/>
      <c r="F649" s="30"/>
      <c r="G649" s="30"/>
      <c r="H649" s="30"/>
      <c r="I649" s="30"/>
      <c r="J649" s="30"/>
      <c r="K649" s="30"/>
      <c r="L649" s="30"/>
      <c r="M649" s="30"/>
    </row>
    <row r="650" spans="1:13">
      <c r="A650" s="31"/>
      <c r="B650" s="31"/>
      <c r="C650" s="31"/>
      <c r="D650" s="32"/>
      <c r="E650" s="30"/>
      <c r="F650" s="30"/>
      <c r="G650" s="30"/>
      <c r="H650" s="30"/>
      <c r="I650" s="30"/>
      <c r="J650" s="30"/>
      <c r="K650" s="30"/>
      <c r="L650" s="30"/>
      <c r="M650" s="30"/>
    </row>
    <row r="651" spans="1:13">
      <c r="A651" s="31"/>
      <c r="B651" s="31"/>
      <c r="C651" s="31"/>
      <c r="D651" s="32"/>
      <c r="E651" s="30"/>
      <c r="F651" s="30"/>
      <c r="G651" s="30"/>
      <c r="H651" s="30"/>
      <c r="I651" s="30"/>
      <c r="J651" s="30"/>
      <c r="K651" s="30"/>
      <c r="L651" s="30"/>
      <c r="M651" s="30"/>
    </row>
    <row r="652" spans="1:13">
      <c r="A652" s="31"/>
      <c r="B652" s="31"/>
      <c r="C652" s="31"/>
      <c r="D652" s="32"/>
      <c r="E652" s="30"/>
      <c r="F652" s="30"/>
      <c r="G652" s="30"/>
      <c r="H652" s="30"/>
      <c r="I652" s="30"/>
      <c r="J652" s="30"/>
      <c r="K652" s="30"/>
      <c r="L652" s="30"/>
      <c r="M652" s="30"/>
    </row>
    <row r="653" spans="1:13">
      <c r="A653" s="31"/>
      <c r="B653" s="31"/>
      <c r="C653" s="31"/>
      <c r="D653" s="32"/>
      <c r="E653" s="30"/>
      <c r="F653" s="30"/>
      <c r="G653" s="30"/>
      <c r="H653" s="30"/>
      <c r="I653" s="30"/>
      <c r="J653" s="30"/>
      <c r="K653" s="30"/>
      <c r="L653" s="30"/>
      <c r="M653" s="30"/>
    </row>
    <row r="654" spans="1:13">
      <c r="A654" s="31"/>
      <c r="B654" s="31"/>
      <c r="C654" s="31"/>
      <c r="D654" s="32"/>
      <c r="E654" s="30"/>
      <c r="F654" s="30"/>
      <c r="G654" s="30"/>
      <c r="H654" s="30"/>
      <c r="I654" s="30"/>
      <c r="J654" s="30"/>
      <c r="K654" s="30"/>
      <c r="L654" s="30"/>
      <c r="M654" s="30"/>
    </row>
    <row r="655" spans="1:13">
      <c r="A655" s="31"/>
      <c r="B655" s="31"/>
      <c r="C655" s="31"/>
      <c r="D655" s="32"/>
      <c r="E655" s="30"/>
      <c r="F655" s="30"/>
      <c r="G655" s="30"/>
      <c r="H655" s="30"/>
      <c r="I655" s="30"/>
      <c r="J655" s="30"/>
      <c r="K655" s="30"/>
      <c r="L655" s="30"/>
      <c r="M655" s="30"/>
    </row>
    <row r="656" spans="1:13">
      <c r="A656" s="31"/>
      <c r="B656" s="31"/>
      <c r="C656" s="31"/>
      <c r="D656" s="32"/>
      <c r="E656" s="30"/>
      <c r="F656" s="30"/>
      <c r="G656" s="30"/>
      <c r="H656" s="30"/>
      <c r="I656" s="30"/>
      <c r="J656" s="30"/>
      <c r="K656" s="30"/>
      <c r="L656" s="30"/>
      <c r="M656" s="30"/>
    </row>
    <row r="657" spans="1:13">
      <c r="A657" s="31"/>
      <c r="B657" s="31"/>
      <c r="C657" s="31"/>
      <c r="D657" s="32"/>
      <c r="E657" s="30"/>
      <c r="F657" s="30"/>
      <c r="G657" s="30"/>
      <c r="H657" s="30"/>
      <c r="I657" s="30"/>
      <c r="J657" s="30"/>
      <c r="K657" s="30"/>
      <c r="L657" s="30"/>
      <c r="M657" s="30"/>
    </row>
    <row r="658" spans="1:13">
      <c r="A658" s="31"/>
      <c r="B658" s="31"/>
      <c r="C658" s="31"/>
      <c r="D658" s="32"/>
      <c r="E658" s="30"/>
      <c r="F658" s="30"/>
      <c r="G658" s="30"/>
      <c r="H658" s="30"/>
      <c r="I658" s="30"/>
      <c r="J658" s="30"/>
      <c r="K658" s="30"/>
      <c r="L658" s="30"/>
      <c r="M658" s="30"/>
    </row>
    <row r="659" spans="1:13">
      <c r="A659" s="31"/>
      <c r="B659" s="31"/>
      <c r="C659" s="31"/>
      <c r="D659" s="32"/>
      <c r="E659" s="30"/>
      <c r="F659" s="30"/>
      <c r="G659" s="30"/>
      <c r="H659" s="30"/>
      <c r="I659" s="30"/>
      <c r="J659" s="30"/>
      <c r="K659" s="30"/>
      <c r="L659" s="30"/>
      <c r="M659" s="30"/>
    </row>
    <row r="660" spans="1:13">
      <c r="A660" s="31"/>
      <c r="B660" s="31"/>
      <c r="C660" s="31"/>
      <c r="D660" s="32"/>
      <c r="E660" s="30"/>
      <c r="F660" s="30"/>
      <c r="G660" s="30"/>
      <c r="H660" s="30"/>
      <c r="I660" s="30"/>
      <c r="J660" s="30"/>
      <c r="K660" s="30"/>
      <c r="L660" s="30"/>
      <c r="M660" s="30"/>
    </row>
    <row r="661" spans="1:13">
      <c r="A661" s="31"/>
      <c r="B661" s="31"/>
      <c r="C661" s="31"/>
      <c r="D661" s="32"/>
      <c r="E661" s="30"/>
      <c r="F661" s="30"/>
      <c r="G661" s="30"/>
      <c r="H661" s="30"/>
      <c r="I661" s="30"/>
      <c r="J661" s="30"/>
      <c r="K661" s="30"/>
      <c r="L661" s="30"/>
      <c r="M661" s="30"/>
    </row>
    <row r="662" spans="1:13">
      <c r="A662" s="31"/>
      <c r="B662" s="31"/>
      <c r="C662" s="31"/>
      <c r="D662" s="32"/>
      <c r="E662" s="30"/>
      <c r="F662" s="30"/>
      <c r="G662" s="30"/>
      <c r="H662" s="30"/>
      <c r="I662" s="30"/>
      <c r="J662" s="30"/>
      <c r="K662" s="30"/>
      <c r="L662" s="30"/>
      <c r="M662" s="30"/>
    </row>
    <row r="663" spans="1:13">
      <c r="A663" s="31"/>
      <c r="B663" s="31"/>
      <c r="C663" s="31"/>
      <c r="D663" s="32"/>
      <c r="E663" s="30"/>
      <c r="F663" s="30"/>
      <c r="G663" s="30"/>
      <c r="H663" s="30"/>
      <c r="I663" s="30"/>
      <c r="J663" s="30"/>
      <c r="K663" s="30"/>
      <c r="L663" s="30"/>
      <c r="M663" s="30"/>
    </row>
    <row r="664" spans="1:13">
      <c r="A664" s="31"/>
      <c r="B664" s="31"/>
      <c r="C664" s="31"/>
      <c r="D664" s="32"/>
      <c r="E664" s="30"/>
      <c r="F664" s="30"/>
      <c r="G664" s="30"/>
      <c r="H664" s="30"/>
      <c r="I664" s="30"/>
      <c r="J664" s="30"/>
      <c r="K664" s="30"/>
      <c r="L664" s="30"/>
      <c r="M664" s="30"/>
    </row>
    <row r="665" spans="1:13">
      <c r="A665" s="31"/>
      <c r="B665" s="31"/>
      <c r="C665" s="31"/>
      <c r="D665" s="32"/>
      <c r="E665" s="30"/>
      <c r="F665" s="30"/>
      <c r="G665" s="30"/>
      <c r="H665" s="30"/>
      <c r="I665" s="30"/>
      <c r="J665" s="30"/>
      <c r="K665" s="30"/>
      <c r="L665" s="30"/>
      <c r="M665" s="30"/>
    </row>
    <row r="666" spans="1:13">
      <c r="A666" s="31"/>
      <c r="B666" s="31"/>
      <c r="C666" s="31"/>
      <c r="D666" s="32"/>
      <c r="E666" s="30"/>
      <c r="F666" s="30"/>
      <c r="G666" s="30"/>
      <c r="H666" s="30"/>
      <c r="I666" s="30"/>
      <c r="J666" s="30"/>
      <c r="K666" s="30"/>
      <c r="L666" s="30"/>
      <c r="M666" s="30"/>
    </row>
    <row r="667" spans="1:13">
      <c r="A667" s="31"/>
      <c r="B667" s="31"/>
      <c r="C667" s="31"/>
      <c r="D667" s="32"/>
      <c r="E667" s="30"/>
      <c r="F667" s="30"/>
      <c r="G667" s="30"/>
      <c r="H667" s="30"/>
      <c r="I667" s="30"/>
      <c r="J667" s="30"/>
      <c r="K667" s="30"/>
      <c r="L667" s="30"/>
      <c r="M667" s="30"/>
    </row>
    <row r="668" spans="1:13">
      <c r="A668" s="31"/>
      <c r="B668" s="31"/>
      <c r="C668" s="31"/>
      <c r="D668" s="32"/>
      <c r="E668" s="30"/>
      <c r="F668" s="30"/>
      <c r="G668" s="30"/>
      <c r="H668" s="30"/>
      <c r="I668" s="30"/>
      <c r="J668" s="30"/>
      <c r="K668" s="30"/>
      <c r="L668" s="30"/>
      <c r="M668" s="30"/>
    </row>
    <row r="669" spans="1:13">
      <c r="A669" s="31"/>
      <c r="B669" s="31"/>
      <c r="C669" s="31"/>
      <c r="D669" s="32"/>
      <c r="E669" s="30"/>
      <c r="F669" s="30"/>
      <c r="G669" s="30"/>
      <c r="H669" s="30"/>
      <c r="I669" s="30"/>
      <c r="J669" s="30"/>
      <c r="K669" s="30"/>
      <c r="L669" s="30"/>
      <c r="M669" s="30"/>
    </row>
    <row r="670" spans="1:13">
      <c r="A670" s="31"/>
      <c r="B670" s="31"/>
      <c r="C670" s="31"/>
      <c r="D670" s="32"/>
      <c r="E670" s="30"/>
      <c r="F670" s="30"/>
      <c r="G670" s="30"/>
      <c r="H670" s="30"/>
      <c r="I670" s="30"/>
      <c r="J670" s="30"/>
      <c r="K670" s="30"/>
      <c r="L670" s="30"/>
      <c r="M670" s="30"/>
    </row>
    <row r="671" spans="1:13">
      <c r="A671" s="31"/>
      <c r="B671" s="31"/>
      <c r="C671" s="31"/>
      <c r="D671" s="32"/>
      <c r="E671" s="30"/>
      <c r="F671" s="30"/>
      <c r="G671" s="30"/>
      <c r="H671" s="30"/>
      <c r="I671" s="30"/>
      <c r="J671" s="30"/>
      <c r="K671" s="30"/>
      <c r="L671" s="30"/>
      <c r="M671" s="30"/>
    </row>
    <row r="672" spans="1:13">
      <c r="A672" s="31"/>
      <c r="B672" s="31"/>
      <c r="C672" s="31"/>
      <c r="D672" s="32"/>
      <c r="E672" s="30"/>
      <c r="F672" s="30"/>
      <c r="G672" s="30"/>
      <c r="H672" s="30"/>
      <c r="I672" s="30"/>
      <c r="J672" s="30"/>
      <c r="K672" s="30"/>
      <c r="L672" s="30"/>
      <c r="M672" s="30"/>
    </row>
    <row r="673" spans="1:13">
      <c r="A673" s="31"/>
      <c r="B673" s="31"/>
      <c r="C673" s="31"/>
      <c r="D673" s="32"/>
      <c r="E673" s="30"/>
      <c r="F673" s="30"/>
      <c r="G673" s="30"/>
      <c r="H673" s="30"/>
      <c r="I673" s="30"/>
      <c r="J673" s="30"/>
      <c r="K673" s="30"/>
      <c r="L673" s="30"/>
      <c r="M673" s="30"/>
    </row>
    <row r="674" spans="1:13">
      <c r="A674" s="31"/>
      <c r="B674" s="31"/>
      <c r="C674" s="31"/>
      <c r="D674" s="32"/>
      <c r="E674" s="30"/>
      <c r="F674" s="30"/>
      <c r="G674" s="30"/>
      <c r="H674" s="30"/>
      <c r="I674" s="30"/>
      <c r="J674" s="30"/>
      <c r="K674" s="30"/>
      <c r="L674" s="30"/>
      <c r="M674" s="30"/>
    </row>
    <row r="675" spans="1:13">
      <c r="A675" s="31"/>
      <c r="B675" s="31"/>
      <c r="C675" s="31"/>
      <c r="D675" s="32"/>
      <c r="E675" s="30"/>
      <c r="F675" s="30"/>
      <c r="G675" s="30"/>
      <c r="H675" s="30"/>
      <c r="I675" s="30"/>
      <c r="J675" s="30"/>
      <c r="K675" s="30"/>
      <c r="L675" s="30"/>
      <c r="M675" s="30"/>
    </row>
    <row r="676" spans="1:13">
      <c r="A676" s="31"/>
      <c r="B676" s="31"/>
      <c r="C676" s="31"/>
      <c r="D676" s="32"/>
      <c r="E676" s="30"/>
      <c r="F676" s="30"/>
      <c r="G676" s="30"/>
      <c r="H676" s="30"/>
      <c r="I676" s="30"/>
      <c r="J676" s="30"/>
      <c r="K676" s="30"/>
      <c r="L676" s="30"/>
      <c r="M676" s="30"/>
    </row>
    <row r="677" spans="1:13">
      <c r="A677" s="31"/>
      <c r="B677" s="31"/>
      <c r="C677" s="31"/>
      <c r="D677" s="32"/>
      <c r="E677" s="30"/>
      <c r="F677" s="30"/>
      <c r="G677" s="30"/>
      <c r="H677" s="30"/>
      <c r="I677" s="30"/>
      <c r="J677" s="30"/>
      <c r="K677" s="30"/>
      <c r="L677" s="30"/>
      <c r="M677" s="30"/>
    </row>
    <row r="678" spans="1:13">
      <c r="A678" s="31"/>
      <c r="B678" s="31"/>
      <c r="C678" s="31"/>
      <c r="D678" s="32"/>
      <c r="E678" s="30"/>
      <c r="F678" s="30"/>
      <c r="G678" s="30"/>
      <c r="H678" s="30"/>
      <c r="I678" s="30"/>
      <c r="J678" s="30"/>
      <c r="K678" s="30"/>
      <c r="L678" s="30"/>
      <c r="M678" s="30"/>
    </row>
    <row r="679" spans="1:13">
      <c r="A679" s="31"/>
      <c r="B679" s="31"/>
      <c r="C679" s="31"/>
      <c r="D679" s="32"/>
      <c r="E679" s="30"/>
      <c r="F679" s="30"/>
      <c r="G679" s="30"/>
      <c r="H679" s="30"/>
      <c r="I679" s="30"/>
      <c r="J679" s="30"/>
      <c r="K679" s="30"/>
      <c r="L679" s="30"/>
      <c r="M679" s="30"/>
    </row>
    <row r="680" spans="1:13">
      <c r="A680" s="31"/>
      <c r="B680" s="31"/>
      <c r="C680" s="31"/>
      <c r="D680" s="32"/>
      <c r="E680" s="30"/>
      <c r="F680" s="30"/>
      <c r="G680" s="30"/>
      <c r="H680" s="30"/>
      <c r="I680" s="30"/>
      <c r="J680" s="30"/>
      <c r="K680" s="30"/>
      <c r="L680" s="30"/>
      <c r="M680" s="30"/>
    </row>
    <row r="681" spans="1:13">
      <c r="A681" s="31"/>
      <c r="B681" s="31"/>
      <c r="C681" s="31"/>
      <c r="D681" s="32"/>
      <c r="E681" s="30"/>
      <c r="F681" s="30"/>
      <c r="G681" s="30"/>
      <c r="H681" s="30"/>
      <c r="I681" s="30"/>
      <c r="J681" s="30"/>
      <c r="K681" s="30"/>
      <c r="L681" s="30"/>
      <c r="M681" s="30"/>
    </row>
    <row r="682" spans="1:13">
      <c r="A682" s="31"/>
      <c r="B682" s="31"/>
      <c r="C682" s="31"/>
      <c r="D682" s="32"/>
      <c r="E682" s="30"/>
      <c r="F682" s="30"/>
      <c r="G682" s="30"/>
      <c r="H682" s="30"/>
      <c r="I682" s="30"/>
      <c r="J682" s="30"/>
      <c r="K682" s="30"/>
      <c r="L682" s="30"/>
      <c r="M682" s="30"/>
    </row>
    <row r="683" spans="1:13">
      <c r="A683" s="31"/>
      <c r="B683" s="31"/>
      <c r="C683" s="31"/>
      <c r="D683" s="32"/>
      <c r="E683" s="30"/>
      <c r="F683" s="30"/>
      <c r="G683" s="30"/>
      <c r="H683" s="30"/>
      <c r="I683" s="30"/>
      <c r="J683" s="30"/>
      <c r="K683" s="30"/>
      <c r="L683" s="30"/>
      <c r="M683" s="30"/>
    </row>
    <row r="684" spans="1:13">
      <c r="A684" s="31"/>
      <c r="B684" s="31"/>
      <c r="C684" s="31"/>
      <c r="D684" s="32"/>
      <c r="E684" s="30"/>
      <c r="F684" s="30"/>
      <c r="G684" s="30"/>
      <c r="H684" s="30"/>
      <c r="I684" s="30"/>
      <c r="J684" s="30"/>
      <c r="K684" s="30"/>
      <c r="L684" s="30"/>
      <c r="M684" s="30"/>
    </row>
    <row r="685" spans="1:13">
      <c r="A685" s="31"/>
      <c r="B685" s="31"/>
      <c r="C685" s="31"/>
      <c r="D685" s="32"/>
      <c r="E685" s="30"/>
      <c r="F685" s="30"/>
      <c r="G685" s="30"/>
      <c r="H685" s="30"/>
      <c r="I685" s="30"/>
      <c r="J685" s="30"/>
      <c r="K685" s="30"/>
      <c r="L685" s="30"/>
      <c r="M685" s="30"/>
    </row>
    <row r="686" spans="1:13">
      <c r="A686" s="31"/>
      <c r="B686" s="31"/>
      <c r="C686" s="31"/>
      <c r="D686" s="32"/>
      <c r="E686" s="30"/>
      <c r="F686" s="30"/>
      <c r="G686" s="30"/>
      <c r="H686" s="30"/>
      <c r="I686" s="30"/>
      <c r="J686" s="30"/>
      <c r="K686" s="30"/>
      <c r="L686" s="30"/>
      <c r="M686" s="30"/>
    </row>
    <row r="687" spans="1:13">
      <c r="A687" s="31"/>
      <c r="B687" s="31"/>
      <c r="C687" s="31"/>
      <c r="D687" s="32"/>
      <c r="E687" s="30"/>
      <c r="F687" s="30"/>
      <c r="G687" s="30"/>
      <c r="H687" s="30"/>
      <c r="I687" s="30"/>
      <c r="J687" s="30"/>
      <c r="K687" s="30"/>
      <c r="L687" s="30"/>
      <c r="M687" s="30"/>
    </row>
    <row r="688" spans="1:13">
      <c r="A688" s="31"/>
      <c r="B688" s="31"/>
      <c r="C688" s="31"/>
      <c r="D688" s="32"/>
      <c r="E688" s="30"/>
      <c r="F688" s="30"/>
      <c r="G688" s="30"/>
      <c r="H688" s="30"/>
      <c r="I688" s="30"/>
      <c r="J688" s="30"/>
      <c r="K688" s="30"/>
      <c r="L688" s="30"/>
      <c r="M688" s="30"/>
    </row>
    <row r="689" spans="1:13">
      <c r="A689" s="31"/>
      <c r="B689" s="31"/>
      <c r="C689" s="31"/>
      <c r="D689" s="32"/>
      <c r="E689" s="30"/>
      <c r="F689" s="30"/>
      <c r="G689" s="30"/>
      <c r="H689" s="30"/>
      <c r="I689" s="30"/>
      <c r="J689" s="30"/>
      <c r="K689" s="30"/>
      <c r="L689" s="30"/>
      <c r="M689" s="30"/>
    </row>
    <row r="690" spans="1:13">
      <c r="A690" s="31"/>
      <c r="B690" s="31"/>
      <c r="C690" s="31"/>
      <c r="D690" s="32"/>
      <c r="E690" s="30"/>
      <c r="F690" s="30"/>
      <c r="G690" s="30"/>
      <c r="H690" s="30"/>
      <c r="I690" s="30"/>
      <c r="J690" s="30"/>
      <c r="K690" s="30"/>
      <c r="L690" s="30"/>
      <c r="M690" s="30"/>
    </row>
    <row r="691" spans="1:13">
      <c r="A691" s="31"/>
      <c r="B691" s="31"/>
      <c r="C691" s="31"/>
      <c r="D691" s="32"/>
      <c r="E691" s="30"/>
      <c r="F691" s="30"/>
      <c r="G691" s="30"/>
      <c r="H691" s="30"/>
      <c r="I691" s="30"/>
      <c r="J691" s="30"/>
      <c r="K691" s="30"/>
      <c r="L691" s="30"/>
      <c r="M691" s="30"/>
    </row>
    <row r="692" spans="1:13">
      <c r="A692" s="31"/>
      <c r="B692" s="31"/>
      <c r="C692" s="31"/>
      <c r="D692" s="32"/>
      <c r="E692" s="30"/>
      <c r="F692" s="30"/>
      <c r="G692" s="30"/>
      <c r="H692" s="30"/>
      <c r="I692" s="30"/>
      <c r="J692" s="30"/>
      <c r="K692" s="30"/>
      <c r="L692" s="30"/>
      <c r="M692" s="30"/>
    </row>
    <row r="693" spans="1:13">
      <c r="A693" s="31"/>
      <c r="B693" s="31"/>
      <c r="C693" s="31"/>
      <c r="D693" s="32"/>
      <c r="E693" s="30"/>
      <c r="F693" s="30"/>
      <c r="G693" s="30"/>
      <c r="H693" s="30"/>
      <c r="I693" s="30"/>
      <c r="J693" s="30"/>
      <c r="K693" s="30"/>
      <c r="L693" s="30"/>
      <c r="M693" s="30"/>
    </row>
    <row r="694" spans="1:13">
      <c r="A694" s="31"/>
      <c r="B694" s="31"/>
      <c r="C694" s="31"/>
      <c r="D694" s="32"/>
      <c r="E694" s="30"/>
      <c r="F694" s="30"/>
      <c r="G694" s="30"/>
      <c r="H694" s="30"/>
      <c r="I694" s="30"/>
      <c r="J694" s="30"/>
      <c r="K694" s="30"/>
      <c r="L694" s="30"/>
      <c r="M694" s="30"/>
    </row>
    <row r="695" spans="1:13">
      <c r="A695" s="31"/>
      <c r="B695" s="31"/>
      <c r="C695" s="31"/>
      <c r="D695" s="32"/>
      <c r="E695" s="30"/>
      <c r="F695" s="30"/>
      <c r="G695" s="30"/>
      <c r="H695" s="30"/>
      <c r="I695" s="30"/>
      <c r="J695" s="30"/>
      <c r="K695" s="30"/>
      <c r="L695" s="30"/>
      <c r="M695" s="30"/>
    </row>
    <row r="696" spans="1:13">
      <c r="A696" s="31"/>
      <c r="B696" s="31"/>
      <c r="C696" s="31"/>
      <c r="D696" s="32"/>
      <c r="E696" s="30"/>
      <c r="F696" s="30"/>
      <c r="G696" s="30"/>
      <c r="H696" s="30"/>
      <c r="I696" s="30"/>
      <c r="J696" s="30"/>
      <c r="K696" s="30"/>
      <c r="L696" s="30"/>
      <c r="M696" s="30"/>
    </row>
    <row r="697" spans="1:13">
      <c r="A697" s="31"/>
      <c r="B697" s="31"/>
      <c r="C697" s="31"/>
      <c r="D697" s="32"/>
      <c r="E697" s="30"/>
      <c r="F697" s="30"/>
      <c r="G697" s="30"/>
      <c r="H697" s="30"/>
      <c r="I697" s="30"/>
      <c r="J697" s="30"/>
      <c r="K697" s="30"/>
      <c r="L697" s="30"/>
      <c r="M697" s="30"/>
    </row>
    <row r="698" spans="1:13">
      <c r="A698" s="31"/>
      <c r="B698" s="31"/>
      <c r="C698" s="31"/>
      <c r="D698" s="32"/>
      <c r="E698" s="30"/>
      <c r="F698" s="30"/>
      <c r="G698" s="30"/>
      <c r="H698" s="30"/>
      <c r="I698" s="30"/>
      <c r="J698" s="30"/>
      <c r="K698" s="30"/>
      <c r="L698" s="30"/>
      <c r="M698" s="30"/>
    </row>
    <row r="699" spans="1:13">
      <c r="A699" s="31"/>
      <c r="B699" s="31"/>
      <c r="C699" s="31"/>
      <c r="D699" s="32"/>
      <c r="E699" s="30"/>
      <c r="F699" s="30"/>
      <c r="G699" s="30"/>
      <c r="H699" s="30"/>
      <c r="I699" s="30"/>
      <c r="J699" s="30"/>
      <c r="K699" s="30"/>
      <c r="L699" s="30"/>
      <c r="M699" s="30"/>
    </row>
    <row r="700" spans="1:13">
      <c r="A700" s="31"/>
      <c r="B700" s="31"/>
      <c r="C700" s="31"/>
      <c r="D700" s="32"/>
      <c r="E700" s="30"/>
      <c r="F700" s="30"/>
      <c r="G700" s="30"/>
      <c r="H700" s="30"/>
      <c r="I700" s="30"/>
      <c r="J700" s="30"/>
      <c r="K700" s="30"/>
      <c r="L700" s="30"/>
      <c r="M700" s="30"/>
    </row>
    <row r="701" spans="1:13">
      <c r="A701" s="31"/>
      <c r="B701" s="31"/>
      <c r="C701" s="31"/>
      <c r="D701" s="32"/>
      <c r="E701" s="30"/>
      <c r="F701" s="30"/>
      <c r="G701" s="30"/>
      <c r="H701" s="30"/>
      <c r="I701" s="30"/>
      <c r="J701" s="30"/>
      <c r="K701" s="30"/>
      <c r="L701" s="30"/>
      <c r="M701" s="30"/>
    </row>
    <row r="702" spans="1:13">
      <c r="A702" s="31"/>
      <c r="B702" s="31"/>
      <c r="C702" s="31"/>
      <c r="D702" s="32"/>
      <c r="E702" s="30"/>
      <c r="F702" s="30"/>
      <c r="G702" s="30"/>
      <c r="H702" s="30"/>
      <c r="I702" s="30"/>
      <c r="J702" s="30"/>
      <c r="K702" s="30"/>
      <c r="L702" s="30"/>
      <c r="M702" s="30"/>
    </row>
    <row r="703" spans="1:13">
      <c r="A703" s="31"/>
      <c r="B703" s="31"/>
      <c r="C703" s="31"/>
      <c r="D703" s="32"/>
      <c r="E703" s="30"/>
      <c r="F703" s="30"/>
      <c r="G703" s="30"/>
      <c r="H703" s="30"/>
      <c r="I703" s="30"/>
      <c r="J703" s="30"/>
      <c r="K703" s="30"/>
      <c r="L703" s="30"/>
      <c r="M703" s="30"/>
    </row>
    <row r="704" spans="1:13">
      <c r="A704" s="31"/>
      <c r="B704" s="31"/>
      <c r="C704" s="31"/>
      <c r="D704" s="32"/>
      <c r="E704" s="30"/>
      <c r="F704" s="30"/>
      <c r="G704" s="30"/>
      <c r="H704" s="30"/>
      <c r="I704" s="30"/>
      <c r="J704" s="30"/>
      <c r="K704" s="30"/>
      <c r="L704" s="30"/>
      <c r="M704" s="30"/>
    </row>
    <row r="705" spans="1:13">
      <c r="A705" s="31"/>
      <c r="B705" s="31"/>
      <c r="C705" s="31"/>
      <c r="D705" s="32"/>
      <c r="E705" s="30"/>
      <c r="F705" s="30"/>
      <c r="G705" s="30"/>
      <c r="H705" s="30"/>
      <c r="I705" s="30"/>
      <c r="J705" s="30"/>
      <c r="K705" s="30"/>
      <c r="L705" s="30"/>
      <c r="M705" s="30"/>
    </row>
    <row r="706" spans="1:13">
      <c r="A706" s="31"/>
      <c r="B706" s="31"/>
      <c r="C706" s="31"/>
      <c r="D706" s="32"/>
      <c r="E706" s="30"/>
      <c r="F706" s="30"/>
      <c r="G706" s="30"/>
      <c r="H706" s="30"/>
      <c r="I706" s="30"/>
      <c r="J706" s="30"/>
      <c r="K706" s="30"/>
      <c r="L706" s="30"/>
      <c r="M706" s="30"/>
    </row>
    <row r="707" spans="1:13">
      <c r="A707" s="31"/>
      <c r="B707" s="31"/>
      <c r="C707" s="31"/>
      <c r="D707" s="32"/>
      <c r="E707" s="30"/>
      <c r="F707" s="30"/>
      <c r="G707" s="30"/>
      <c r="H707" s="30"/>
      <c r="I707" s="30"/>
      <c r="J707" s="30"/>
      <c r="K707" s="30"/>
      <c r="L707" s="30"/>
      <c r="M707" s="30"/>
    </row>
    <row r="708" spans="1:13">
      <c r="A708" s="31"/>
      <c r="B708" s="31"/>
      <c r="C708" s="31"/>
      <c r="D708" s="32"/>
      <c r="E708" s="30"/>
      <c r="F708" s="30"/>
      <c r="G708" s="30"/>
      <c r="H708" s="30"/>
      <c r="I708" s="30"/>
      <c r="J708" s="30"/>
      <c r="K708" s="30"/>
      <c r="L708" s="30"/>
      <c r="M708" s="30"/>
    </row>
    <row r="709" spans="1:13">
      <c r="A709" s="31"/>
      <c r="B709" s="31"/>
      <c r="C709" s="31"/>
      <c r="D709" s="32"/>
      <c r="E709" s="30"/>
      <c r="F709" s="30"/>
      <c r="G709" s="30"/>
      <c r="H709" s="30"/>
      <c r="I709" s="30"/>
      <c r="J709" s="30"/>
      <c r="K709" s="30"/>
      <c r="L709" s="30"/>
      <c r="M709" s="30"/>
    </row>
    <row r="710" spans="1:13">
      <c r="A710" s="31"/>
      <c r="B710" s="31"/>
      <c r="C710" s="31"/>
      <c r="D710" s="32"/>
      <c r="E710" s="30"/>
      <c r="F710" s="30"/>
      <c r="G710" s="30"/>
      <c r="H710" s="30"/>
      <c r="I710" s="30"/>
      <c r="J710" s="30"/>
      <c r="K710" s="30"/>
      <c r="L710" s="30"/>
      <c r="M710" s="30"/>
    </row>
    <row r="711" spans="1:13">
      <c r="A711" s="31"/>
      <c r="B711" s="31"/>
      <c r="C711" s="31"/>
      <c r="D711" s="32"/>
      <c r="E711" s="30"/>
      <c r="F711" s="30"/>
      <c r="G711" s="30"/>
      <c r="H711" s="30"/>
      <c r="I711" s="30"/>
      <c r="J711" s="30"/>
      <c r="K711" s="30"/>
      <c r="L711" s="30"/>
      <c r="M711" s="30"/>
    </row>
    <row r="712" spans="1:13">
      <c r="A712" s="31"/>
      <c r="B712" s="31"/>
      <c r="C712" s="31"/>
      <c r="D712" s="32"/>
      <c r="E712" s="30"/>
      <c r="F712" s="30"/>
      <c r="G712" s="30"/>
      <c r="H712" s="30"/>
      <c r="I712" s="30"/>
      <c r="J712" s="30"/>
      <c r="K712" s="30"/>
      <c r="L712" s="30"/>
      <c r="M712" s="30"/>
    </row>
    <row r="713" spans="1:13">
      <c r="A713" s="31"/>
      <c r="B713" s="31"/>
      <c r="C713" s="31"/>
      <c r="D713" s="32"/>
      <c r="E713" s="30"/>
      <c r="F713" s="30"/>
      <c r="G713" s="30"/>
      <c r="H713" s="30"/>
      <c r="I713" s="30"/>
      <c r="J713" s="30"/>
      <c r="K713" s="30"/>
      <c r="L713" s="30"/>
      <c r="M713" s="30"/>
    </row>
    <row r="714" spans="1:13">
      <c r="A714" s="31"/>
      <c r="B714" s="31"/>
      <c r="C714" s="31"/>
      <c r="D714" s="32"/>
      <c r="E714" s="30"/>
      <c r="F714" s="30"/>
      <c r="G714" s="30"/>
      <c r="H714" s="30"/>
      <c r="I714" s="30"/>
      <c r="J714" s="30"/>
      <c r="K714" s="30"/>
      <c r="L714" s="30"/>
      <c r="M714" s="30"/>
    </row>
    <row r="715" spans="1:13">
      <c r="A715" s="31"/>
      <c r="B715" s="31"/>
      <c r="C715" s="31"/>
      <c r="D715" s="32"/>
      <c r="E715" s="30"/>
      <c r="F715" s="30"/>
      <c r="G715" s="30"/>
      <c r="H715" s="30"/>
      <c r="I715" s="30"/>
      <c r="J715" s="30"/>
      <c r="K715" s="30"/>
      <c r="L715" s="30"/>
      <c r="M715" s="30"/>
    </row>
    <row r="716" spans="1:13">
      <c r="A716" s="31"/>
      <c r="B716" s="31"/>
      <c r="C716" s="31"/>
      <c r="D716" s="32"/>
      <c r="E716" s="30"/>
      <c r="F716" s="30"/>
      <c r="G716" s="30"/>
      <c r="H716" s="30"/>
      <c r="I716" s="30"/>
      <c r="J716" s="30"/>
      <c r="K716" s="30"/>
      <c r="L716" s="30"/>
      <c r="M716" s="30"/>
    </row>
    <row r="717" spans="1:13">
      <c r="A717" s="31"/>
      <c r="B717" s="31"/>
      <c r="C717" s="31"/>
      <c r="D717" s="32"/>
      <c r="E717" s="30"/>
      <c r="F717" s="30"/>
      <c r="G717" s="30"/>
      <c r="H717" s="30"/>
      <c r="I717" s="30"/>
      <c r="J717" s="30"/>
      <c r="K717" s="30"/>
      <c r="L717" s="30"/>
      <c r="M717" s="30"/>
    </row>
    <row r="718" spans="1:13">
      <c r="A718" s="31"/>
      <c r="B718" s="31"/>
      <c r="C718" s="31"/>
      <c r="D718" s="32"/>
      <c r="E718" s="30"/>
      <c r="F718" s="30"/>
      <c r="G718" s="30"/>
      <c r="H718" s="30"/>
      <c r="I718" s="30"/>
      <c r="J718" s="30"/>
      <c r="K718" s="30"/>
      <c r="L718" s="30"/>
      <c r="M718" s="30"/>
    </row>
    <row r="719" spans="1:13">
      <c r="A719" s="31"/>
      <c r="B719" s="31"/>
      <c r="C719" s="31"/>
      <c r="D719" s="32"/>
      <c r="E719" s="30"/>
      <c r="F719" s="30"/>
      <c r="G719" s="30"/>
      <c r="H719" s="30"/>
      <c r="I719" s="30"/>
      <c r="J719" s="30"/>
      <c r="K719" s="30"/>
      <c r="L719" s="30"/>
      <c r="M719" s="30"/>
    </row>
    <row r="720" spans="1:13">
      <c r="A720" s="31"/>
      <c r="B720" s="31"/>
      <c r="C720" s="31"/>
      <c r="D720" s="32"/>
      <c r="E720" s="30"/>
      <c r="F720" s="30"/>
      <c r="G720" s="30"/>
      <c r="H720" s="30"/>
      <c r="I720" s="30"/>
      <c r="J720" s="30"/>
      <c r="K720" s="30"/>
      <c r="L720" s="30"/>
      <c r="M720" s="30"/>
    </row>
    <row r="721" spans="1:13">
      <c r="A721" s="31"/>
      <c r="B721" s="31"/>
      <c r="C721" s="31"/>
      <c r="D721" s="32"/>
      <c r="E721" s="30"/>
      <c r="F721" s="30"/>
      <c r="G721" s="30"/>
      <c r="H721" s="30"/>
      <c r="I721" s="30"/>
      <c r="J721" s="30"/>
      <c r="K721" s="30"/>
      <c r="L721" s="30"/>
      <c r="M721" s="30"/>
    </row>
    <row r="722" spans="1:13">
      <c r="A722" s="31"/>
      <c r="B722" s="31"/>
      <c r="C722" s="31"/>
      <c r="D722" s="32"/>
      <c r="E722" s="30"/>
      <c r="F722" s="30"/>
      <c r="G722" s="30"/>
      <c r="H722" s="30"/>
      <c r="I722" s="30"/>
      <c r="J722" s="30"/>
      <c r="K722" s="30"/>
      <c r="L722" s="30"/>
      <c r="M722" s="30"/>
    </row>
    <row r="723" spans="1:13">
      <c r="A723" s="31"/>
      <c r="B723" s="31"/>
      <c r="C723" s="31"/>
      <c r="D723" s="32"/>
      <c r="E723" s="30"/>
      <c r="F723" s="30"/>
      <c r="G723" s="30"/>
      <c r="H723" s="30"/>
      <c r="I723" s="30"/>
      <c r="J723" s="30"/>
      <c r="K723" s="30"/>
      <c r="L723" s="30"/>
      <c r="M723" s="30"/>
    </row>
    <row r="724" spans="1:13">
      <c r="A724" s="31"/>
      <c r="B724" s="31"/>
      <c r="C724" s="31"/>
      <c r="D724" s="32"/>
      <c r="E724" s="30"/>
      <c r="F724" s="30"/>
      <c r="G724" s="30"/>
      <c r="H724" s="30"/>
      <c r="I724" s="30"/>
      <c r="J724" s="30"/>
      <c r="K724" s="30"/>
      <c r="L724" s="30"/>
      <c r="M724" s="30"/>
    </row>
    <row r="725" spans="1:13">
      <c r="A725" s="31"/>
      <c r="B725" s="31"/>
      <c r="C725" s="31"/>
      <c r="D725" s="32"/>
      <c r="E725" s="30"/>
      <c r="F725" s="30"/>
      <c r="G725" s="30"/>
      <c r="H725" s="30"/>
      <c r="I725" s="30"/>
      <c r="J725" s="30"/>
      <c r="K725" s="30"/>
      <c r="L725" s="30"/>
      <c r="M725" s="30"/>
    </row>
    <row r="726" spans="1:13">
      <c r="A726" s="31"/>
      <c r="B726" s="31"/>
      <c r="C726" s="31"/>
      <c r="D726" s="32"/>
      <c r="E726" s="30"/>
      <c r="F726" s="30"/>
      <c r="G726" s="30"/>
      <c r="H726" s="30"/>
      <c r="I726" s="30"/>
      <c r="J726" s="30"/>
      <c r="K726" s="30"/>
      <c r="L726" s="30"/>
      <c r="M726" s="30"/>
    </row>
    <row r="727" spans="1:13">
      <c r="A727" s="31"/>
      <c r="B727" s="31"/>
      <c r="C727" s="31"/>
      <c r="D727" s="32"/>
      <c r="E727" s="30"/>
      <c r="F727" s="30"/>
      <c r="G727" s="30"/>
      <c r="H727" s="30"/>
      <c r="I727" s="30"/>
      <c r="J727" s="30"/>
      <c r="K727" s="30"/>
      <c r="L727" s="30"/>
      <c r="M727" s="30"/>
    </row>
    <row r="728" spans="1:13">
      <c r="A728" s="31"/>
      <c r="B728" s="31"/>
      <c r="C728" s="31"/>
      <c r="D728" s="32"/>
      <c r="E728" s="30"/>
      <c r="F728" s="30"/>
      <c r="G728" s="30"/>
      <c r="H728" s="30"/>
      <c r="I728" s="30"/>
      <c r="J728" s="30"/>
      <c r="K728" s="30"/>
      <c r="L728" s="30"/>
      <c r="M728" s="30"/>
    </row>
    <row r="729" spans="1:13">
      <c r="A729" s="31"/>
      <c r="B729" s="31"/>
      <c r="C729" s="31"/>
      <c r="D729" s="32"/>
      <c r="E729" s="30"/>
      <c r="F729" s="30"/>
      <c r="G729" s="30"/>
      <c r="H729" s="30"/>
      <c r="I729" s="30"/>
      <c r="J729" s="30"/>
      <c r="K729" s="30"/>
      <c r="L729" s="30"/>
      <c r="M729" s="30"/>
    </row>
    <row r="730" spans="1:13">
      <c r="A730" s="31"/>
      <c r="B730" s="31"/>
      <c r="C730" s="31"/>
      <c r="D730" s="32"/>
      <c r="E730" s="30"/>
      <c r="F730" s="30"/>
      <c r="G730" s="30"/>
      <c r="H730" s="30"/>
      <c r="I730" s="30"/>
      <c r="J730" s="30"/>
      <c r="K730" s="30"/>
      <c r="L730" s="30"/>
      <c r="M730" s="30"/>
    </row>
    <row r="731" spans="1:13">
      <c r="A731" s="31"/>
      <c r="B731" s="31"/>
      <c r="C731" s="31"/>
      <c r="D731" s="32"/>
      <c r="E731" s="30"/>
      <c r="F731" s="30"/>
      <c r="G731" s="30"/>
      <c r="H731" s="30"/>
      <c r="I731" s="30"/>
      <c r="J731" s="30"/>
      <c r="K731" s="30"/>
      <c r="L731" s="30"/>
      <c r="M731" s="30"/>
    </row>
    <row r="732" spans="1:13">
      <c r="A732" s="31"/>
      <c r="B732" s="31"/>
      <c r="C732" s="31"/>
      <c r="D732" s="32"/>
      <c r="E732" s="30"/>
      <c r="F732" s="30"/>
      <c r="G732" s="30"/>
      <c r="H732" s="30"/>
      <c r="I732" s="30"/>
      <c r="J732" s="30"/>
      <c r="K732" s="30"/>
      <c r="L732" s="30"/>
      <c r="M732" s="30"/>
    </row>
    <row r="733" spans="1:13">
      <c r="A733" s="31"/>
      <c r="B733" s="31"/>
      <c r="C733" s="31"/>
      <c r="D733" s="32"/>
      <c r="E733" s="30"/>
      <c r="F733" s="30"/>
      <c r="G733" s="30"/>
      <c r="H733" s="30"/>
      <c r="I733" s="30"/>
      <c r="J733" s="30"/>
      <c r="K733" s="30"/>
      <c r="L733" s="30"/>
      <c r="M733" s="30"/>
    </row>
    <row r="734" spans="1:13">
      <c r="A734" s="31"/>
      <c r="B734" s="31"/>
      <c r="C734" s="31"/>
      <c r="D734" s="32"/>
      <c r="E734" s="30"/>
      <c r="F734" s="30"/>
      <c r="G734" s="30"/>
      <c r="H734" s="30"/>
      <c r="I734" s="30"/>
      <c r="J734" s="30"/>
      <c r="K734" s="30"/>
      <c r="L734" s="30"/>
      <c r="M734" s="30"/>
    </row>
    <row r="735" spans="1:13">
      <c r="A735" s="31"/>
      <c r="B735" s="31"/>
      <c r="C735" s="31"/>
      <c r="D735" s="32"/>
      <c r="E735" s="30"/>
      <c r="F735" s="30"/>
      <c r="G735" s="30"/>
      <c r="H735" s="30"/>
      <c r="I735" s="30"/>
      <c r="J735" s="30"/>
      <c r="K735" s="30"/>
      <c r="L735" s="30"/>
      <c r="M735" s="30"/>
    </row>
    <row r="736" spans="1:13">
      <c r="A736" s="31"/>
      <c r="B736" s="31"/>
      <c r="C736" s="31"/>
      <c r="D736" s="32"/>
      <c r="E736" s="30"/>
      <c r="F736" s="30"/>
      <c r="G736" s="30"/>
      <c r="H736" s="30"/>
      <c r="I736" s="30"/>
      <c r="J736" s="30"/>
      <c r="K736" s="30"/>
      <c r="L736" s="30"/>
      <c r="M736" s="30"/>
    </row>
    <row r="737" spans="1:13">
      <c r="A737" s="31"/>
      <c r="B737" s="31"/>
      <c r="C737" s="31"/>
      <c r="D737" s="32"/>
      <c r="E737" s="30"/>
      <c r="F737" s="30"/>
      <c r="G737" s="30"/>
      <c r="H737" s="30"/>
      <c r="I737" s="30"/>
      <c r="J737" s="30"/>
      <c r="K737" s="30"/>
      <c r="L737" s="30"/>
      <c r="M737" s="30"/>
    </row>
    <row r="738" spans="1:13">
      <c r="A738" s="31"/>
      <c r="B738" s="31"/>
      <c r="C738" s="31"/>
      <c r="D738" s="32"/>
      <c r="E738" s="30"/>
      <c r="F738" s="30"/>
      <c r="G738" s="30"/>
      <c r="H738" s="30"/>
      <c r="I738" s="30"/>
      <c r="J738" s="30"/>
      <c r="K738" s="30"/>
      <c r="L738" s="30"/>
      <c r="M738" s="30"/>
    </row>
    <row r="739" spans="1:13">
      <c r="A739" s="31"/>
      <c r="B739" s="31"/>
      <c r="C739" s="31"/>
      <c r="D739" s="32"/>
      <c r="E739" s="30"/>
      <c r="F739" s="30"/>
      <c r="G739" s="30"/>
      <c r="H739" s="30"/>
      <c r="I739" s="30"/>
      <c r="J739" s="30"/>
      <c r="K739" s="30"/>
      <c r="L739" s="30"/>
      <c r="M739" s="30"/>
    </row>
    <row r="740" spans="1:13">
      <c r="A740" s="31"/>
      <c r="B740" s="31"/>
      <c r="C740" s="31"/>
      <c r="D740" s="32"/>
      <c r="E740" s="30"/>
      <c r="F740" s="30"/>
      <c r="G740" s="30"/>
      <c r="H740" s="30"/>
      <c r="I740" s="30"/>
      <c r="J740" s="30"/>
      <c r="K740" s="30"/>
      <c r="L740" s="30"/>
      <c r="M740" s="30"/>
    </row>
    <row r="741" spans="1:13">
      <c r="A741" s="31"/>
      <c r="B741" s="31"/>
      <c r="C741" s="31"/>
      <c r="D741" s="32"/>
      <c r="E741" s="30"/>
      <c r="F741" s="30"/>
      <c r="G741" s="30"/>
      <c r="H741" s="30"/>
      <c r="I741" s="30"/>
      <c r="J741" s="30"/>
      <c r="K741" s="30"/>
      <c r="L741" s="30"/>
      <c r="M741" s="30"/>
    </row>
    <row r="742" spans="1:13">
      <c r="A742" s="31"/>
      <c r="B742" s="31"/>
      <c r="C742" s="31"/>
      <c r="D742" s="32"/>
      <c r="E742" s="30"/>
      <c r="F742" s="30"/>
      <c r="G742" s="30"/>
      <c r="H742" s="30"/>
      <c r="I742" s="30"/>
      <c r="J742" s="30"/>
      <c r="K742" s="30"/>
      <c r="L742" s="30"/>
      <c r="M742" s="30"/>
    </row>
    <row r="743" spans="1:13">
      <c r="A743" s="31"/>
      <c r="B743" s="31"/>
      <c r="C743" s="31"/>
      <c r="D743" s="32"/>
      <c r="E743" s="30"/>
      <c r="F743" s="30"/>
      <c r="G743" s="30"/>
      <c r="H743" s="30"/>
      <c r="I743" s="30"/>
      <c r="J743" s="30"/>
      <c r="K743" s="30"/>
      <c r="L743" s="30"/>
      <c r="M743" s="30"/>
    </row>
    <row r="744" spans="1:13">
      <c r="A744" s="31"/>
      <c r="B744" s="31"/>
      <c r="C744" s="31"/>
      <c r="D744" s="32"/>
      <c r="E744" s="30"/>
      <c r="F744" s="30"/>
      <c r="G744" s="30"/>
      <c r="H744" s="30"/>
      <c r="I744" s="30"/>
      <c r="J744" s="30"/>
      <c r="K744" s="30"/>
      <c r="L744" s="30"/>
      <c r="M744" s="30"/>
    </row>
    <row r="745" spans="1:13">
      <c r="A745" s="31"/>
      <c r="B745" s="31"/>
      <c r="C745" s="31"/>
      <c r="D745" s="32"/>
      <c r="E745" s="30"/>
      <c r="F745" s="30"/>
      <c r="G745" s="30"/>
      <c r="H745" s="30"/>
      <c r="I745" s="30"/>
      <c r="J745" s="30"/>
      <c r="K745" s="30"/>
      <c r="L745" s="30"/>
      <c r="M745" s="30"/>
    </row>
    <row r="746" spans="1:13">
      <c r="A746" s="31"/>
      <c r="B746" s="31"/>
      <c r="C746" s="31"/>
      <c r="D746" s="32"/>
      <c r="E746" s="30"/>
      <c r="F746" s="30"/>
      <c r="G746" s="30"/>
      <c r="H746" s="30"/>
      <c r="I746" s="30"/>
      <c r="J746" s="30"/>
      <c r="K746" s="30"/>
      <c r="L746" s="30"/>
      <c r="M746" s="30"/>
    </row>
    <row r="747" spans="1:13">
      <c r="A747" s="31"/>
      <c r="B747" s="31"/>
      <c r="C747" s="31"/>
      <c r="D747" s="32"/>
      <c r="E747" s="30"/>
      <c r="F747" s="30"/>
      <c r="G747" s="30"/>
      <c r="H747" s="30"/>
      <c r="I747" s="30"/>
      <c r="J747" s="30"/>
      <c r="K747" s="30"/>
      <c r="L747" s="30"/>
      <c r="M747" s="30"/>
    </row>
    <row r="748" spans="1:13">
      <c r="A748" s="31"/>
      <c r="B748" s="31"/>
      <c r="C748" s="31"/>
      <c r="D748" s="32"/>
      <c r="E748" s="30"/>
      <c r="F748" s="30"/>
      <c r="G748" s="30"/>
      <c r="H748" s="30"/>
      <c r="I748" s="30"/>
      <c r="J748" s="30"/>
      <c r="K748" s="30"/>
      <c r="L748" s="30"/>
      <c r="M748" s="30"/>
    </row>
    <row r="749" spans="1:13">
      <c r="A749" s="31"/>
      <c r="B749" s="31"/>
      <c r="C749" s="31"/>
      <c r="D749" s="32"/>
      <c r="E749" s="30"/>
      <c r="F749" s="30"/>
      <c r="G749" s="30"/>
      <c r="H749" s="30"/>
      <c r="I749" s="30"/>
      <c r="J749" s="30"/>
      <c r="K749" s="30"/>
      <c r="L749" s="30"/>
      <c r="M749" s="30"/>
    </row>
    <row r="750" spans="1:13">
      <c r="A750" s="31"/>
      <c r="B750" s="31"/>
      <c r="C750" s="31"/>
      <c r="D750" s="32"/>
      <c r="E750" s="30"/>
      <c r="F750" s="30"/>
      <c r="G750" s="30"/>
      <c r="H750" s="30"/>
      <c r="I750" s="30"/>
      <c r="J750" s="30"/>
      <c r="K750" s="30"/>
      <c r="L750" s="30"/>
      <c r="M750" s="30"/>
    </row>
    <row r="751" spans="1:13">
      <c r="A751" s="31"/>
      <c r="B751" s="31"/>
      <c r="C751" s="31"/>
      <c r="D751" s="32"/>
      <c r="E751" s="30"/>
      <c r="F751" s="30"/>
      <c r="G751" s="30"/>
      <c r="H751" s="30"/>
      <c r="I751" s="30"/>
      <c r="J751" s="30"/>
      <c r="K751" s="30"/>
      <c r="L751" s="30"/>
      <c r="M751" s="30"/>
    </row>
    <row r="752" spans="1:13">
      <c r="A752" s="31"/>
      <c r="B752" s="31"/>
      <c r="C752" s="31"/>
      <c r="D752" s="32"/>
      <c r="E752" s="30"/>
      <c r="F752" s="30"/>
      <c r="G752" s="30"/>
      <c r="H752" s="30"/>
      <c r="I752" s="30"/>
      <c r="J752" s="30"/>
      <c r="K752" s="30"/>
      <c r="L752" s="30"/>
      <c r="M752" s="30"/>
    </row>
    <row r="753" spans="1:13">
      <c r="A753" s="31"/>
      <c r="B753" s="31"/>
      <c r="C753" s="31"/>
      <c r="D753" s="32"/>
      <c r="E753" s="30"/>
      <c r="F753" s="30"/>
      <c r="G753" s="30"/>
      <c r="H753" s="30"/>
      <c r="I753" s="30"/>
      <c r="J753" s="30"/>
      <c r="K753" s="30"/>
      <c r="L753" s="30"/>
      <c r="M753" s="30"/>
    </row>
    <row r="754" spans="1:13">
      <c r="A754" s="31"/>
      <c r="B754" s="31"/>
      <c r="C754" s="31"/>
      <c r="D754" s="32"/>
      <c r="E754" s="30"/>
      <c r="F754" s="30"/>
      <c r="G754" s="30"/>
      <c r="H754" s="30"/>
      <c r="I754" s="30"/>
      <c r="J754" s="30"/>
      <c r="K754" s="30"/>
      <c r="L754" s="30"/>
      <c r="M754" s="30"/>
    </row>
    <row r="755" spans="1:13">
      <c r="A755" s="31"/>
      <c r="B755" s="31"/>
      <c r="C755" s="31"/>
      <c r="D755" s="32"/>
      <c r="E755" s="30"/>
      <c r="F755" s="30"/>
      <c r="G755" s="30"/>
      <c r="H755" s="30"/>
      <c r="I755" s="30"/>
      <c r="J755" s="30"/>
      <c r="K755" s="30"/>
      <c r="L755" s="30"/>
      <c r="M755" s="30"/>
    </row>
    <row r="756" spans="1:13">
      <c r="A756" s="31"/>
      <c r="B756" s="31"/>
      <c r="C756" s="31"/>
      <c r="D756" s="32"/>
      <c r="E756" s="30"/>
      <c r="F756" s="30"/>
      <c r="G756" s="30"/>
      <c r="H756" s="30"/>
      <c r="I756" s="30"/>
      <c r="J756" s="30"/>
      <c r="K756" s="30"/>
      <c r="L756" s="30"/>
      <c r="M756" s="30"/>
    </row>
    <row r="757" spans="1:13">
      <c r="A757" s="31"/>
      <c r="B757" s="31"/>
      <c r="C757" s="31"/>
      <c r="D757" s="32"/>
      <c r="E757" s="30"/>
      <c r="F757" s="30"/>
      <c r="G757" s="30"/>
      <c r="H757" s="30"/>
      <c r="I757" s="30"/>
      <c r="J757" s="30"/>
      <c r="K757" s="30"/>
      <c r="L757" s="30"/>
      <c r="M757" s="30"/>
    </row>
    <row r="758" spans="1:13">
      <c r="A758" s="31"/>
      <c r="B758" s="31"/>
      <c r="C758" s="31"/>
      <c r="D758" s="32"/>
      <c r="E758" s="30"/>
      <c r="F758" s="30"/>
      <c r="G758" s="30"/>
      <c r="H758" s="30"/>
      <c r="I758" s="30"/>
      <c r="J758" s="30"/>
      <c r="K758" s="30"/>
      <c r="L758" s="30"/>
      <c r="M758" s="30"/>
    </row>
    <row r="759" spans="1:13">
      <c r="A759" s="31"/>
      <c r="B759" s="31"/>
      <c r="C759" s="31"/>
      <c r="D759" s="32"/>
      <c r="E759" s="30"/>
      <c r="F759" s="30"/>
      <c r="G759" s="30"/>
      <c r="H759" s="30"/>
      <c r="I759" s="30"/>
      <c r="J759" s="30"/>
      <c r="K759" s="30"/>
      <c r="L759" s="30"/>
      <c r="M759" s="30"/>
    </row>
    <row r="760" spans="1:13">
      <c r="A760" s="31"/>
      <c r="B760" s="31"/>
      <c r="C760" s="31"/>
      <c r="D760" s="32"/>
      <c r="E760" s="30"/>
      <c r="F760" s="30"/>
      <c r="G760" s="30"/>
      <c r="H760" s="30"/>
      <c r="I760" s="30"/>
      <c r="J760" s="30"/>
      <c r="K760" s="30"/>
      <c r="L760" s="30"/>
      <c r="M760" s="30"/>
    </row>
    <row r="761" spans="1:13">
      <c r="A761" s="31"/>
      <c r="B761" s="31"/>
      <c r="C761" s="31"/>
      <c r="D761" s="32"/>
      <c r="E761" s="30"/>
      <c r="F761" s="30"/>
      <c r="G761" s="30"/>
      <c r="H761" s="30"/>
      <c r="I761" s="30"/>
      <c r="J761" s="30"/>
      <c r="K761" s="30"/>
      <c r="L761" s="30"/>
      <c r="M761" s="30"/>
    </row>
    <row r="762" spans="1:13">
      <c r="A762" s="31"/>
      <c r="B762" s="31"/>
      <c r="C762" s="31"/>
      <c r="D762" s="32"/>
      <c r="E762" s="30"/>
      <c r="F762" s="30"/>
      <c r="G762" s="30"/>
      <c r="H762" s="30"/>
      <c r="I762" s="30"/>
      <c r="J762" s="30"/>
      <c r="K762" s="30"/>
      <c r="L762" s="30"/>
      <c r="M762" s="30"/>
    </row>
    <row r="763" spans="1:13">
      <c r="A763" s="31"/>
      <c r="B763" s="31"/>
      <c r="C763" s="31"/>
      <c r="D763" s="32"/>
      <c r="E763" s="30"/>
      <c r="F763" s="30"/>
      <c r="G763" s="30"/>
      <c r="H763" s="30"/>
      <c r="I763" s="30"/>
      <c r="J763" s="30"/>
      <c r="K763" s="30"/>
      <c r="L763" s="30"/>
      <c r="M763" s="30"/>
    </row>
    <row r="764" spans="1:13">
      <c r="A764" s="31"/>
      <c r="B764" s="31"/>
      <c r="C764" s="31"/>
      <c r="D764" s="32"/>
      <c r="E764" s="30"/>
      <c r="F764" s="30"/>
      <c r="G764" s="30"/>
      <c r="H764" s="30"/>
      <c r="I764" s="30"/>
      <c r="J764" s="30"/>
      <c r="K764" s="30"/>
      <c r="L764" s="30"/>
      <c r="M764" s="30"/>
    </row>
    <row r="765" spans="1:13">
      <c r="A765" s="31"/>
      <c r="B765" s="31"/>
      <c r="C765" s="31"/>
      <c r="D765" s="32"/>
      <c r="E765" s="30"/>
      <c r="F765" s="30"/>
      <c r="G765" s="30"/>
      <c r="H765" s="30"/>
      <c r="I765" s="30"/>
      <c r="J765" s="30"/>
      <c r="K765" s="30"/>
      <c r="L765" s="30"/>
      <c r="M765" s="30"/>
    </row>
    <row r="766" spans="1:13">
      <c r="A766" s="31"/>
      <c r="B766" s="31"/>
      <c r="C766" s="31"/>
      <c r="D766" s="32"/>
      <c r="E766" s="30"/>
      <c r="F766" s="30"/>
      <c r="G766" s="30"/>
      <c r="H766" s="30"/>
      <c r="I766" s="30"/>
      <c r="J766" s="30"/>
      <c r="K766" s="30"/>
      <c r="L766" s="30"/>
      <c r="M766" s="30"/>
    </row>
    <row r="767" spans="1:13">
      <c r="A767" s="31"/>
      <c r="B767" s="31"/>
      <c r="C767" s="31"/>
      <c r="D767" s="32"/>
      <c r="E767" s="30"/>
      <c r="F767" s="30"/>
      <c r="G767" s="30"/>
      <c r="H767" s="30"/>
      <c r="I767" s="30"/>
      <c r="J767" s="30"/>
      <c r="K767" s="30"/>
      <c r="L767" s="30"/>
      <c r="M767" s="30"/>
    </row>
    <row r="768" spans="1:13">
      <c r="A768" s="31"/>
      <c r="B768" s="31"/>
      <c r="C768" s="31"/>
      <c r="D768" s="32"/>
      <c r="E768" s="30"/>
      <c r="F768" s="30"/>
      <c r="G768" s="30"/>
      <c r="H768" s="30"/>
      <c r="I768" s="30"/>
      <c r="J768" s="30"/>
      <c r="K768" s="30"/>
      <c r="L768" s="30"/>
      <c r="M768" s="30"/>
    </row>
    <row r="769" spans="1:13">
      <c r="A769" s="31"/>
      <c r="B769" s="31"/>
      <c r="C769" s="31"/>
      <c r="D769" s="32"/>
      <c r="E769" s="30"/>
      <c r="F769" s="30"/>
      <c r="G769" s="30"/>
      <c r="H769" s="30"/>
      <c r="I769" s="30"/>
      <c r="J769" s="30"/>
      <c r="K769" s="30"/>
      <c r="L769" s="30"/>
      <c r="M769" s="30"/>
    </row>
    <row r="770" spans="1:13">
      <c r="A770" s="31"/>
      <c r="B770" s="31"/>
      <c r="C770" s="31"/>
      <c r="D770" s="32"/>
      <c r="E770" s="30"/>
      <c r="F770" s="30"/>
      <c r="G770" s="30"/>
      <c r="H770" s="30"/>
      <c r="I770" s="30"/>
      <c r="J770" s="30"/>
      <c r="K770" s="30"/>
      <c r="L770" s="30"/>
      <c r="M770" s="30"/>
    </row>
    <row r="771" spans="1:13">
      <c r="A771" s="31"/>
      <c r="B771" s="31"/>
      <c r="C771" s="31"/>
      <c r="D771" s="32"/>
      <c r="E771" s="30"/>
      <c r="F771" s="30"/>
      <c r="G771" s="30"/>
      <c r="H771" s="30"/>
      <c r="I771" s="30"/>
      <c r="J771" s="30"/>
      <c r="K771" s="30"/>
      <c r="L771" s="30"/>
      <c r="M771" s="30"/>
    </row>
    <row r="772" spans="1:13">
      <c r="A772" s="31"/>
      <c r="B772" s="31"/>
      <c r="C772" s="31"/>
      <c r="D772" s="32"/>
      <c r="E772" s="30"/>
      <c r="F772" s="30"/>
      <c r="G772" s="30"/>
      <c r="H772" s="30"/>
      <c r="I772" s="30"/>
      <c r="J772" s="30"/>
      <c r="K772" s="30"/>
      <c r="L772" s="30"/>
      <c r="M772" s="30"/>
    </row>
    <row r="773" spans="1:13">
      <c r="A773" s="31"/>
      <c r="B773" s="31"/>
      <c r="C773" s="31"/>
      <c r="D773" s="32"/>
      <c r="E773" s="30"/>
      <c r="F773" s="30"/>
      <c r="G773" s="30"/>
      <c r="H773" s="30"/>
      <c r="I773" s="30"/>
      <c r="J773" s="30"/>
      <c r="K773" s="30"/>
      <c r="L773" s="30"/>
      <c r="M773" s="30"/>
    </row>
    <row r="774" spans="1:13">
      <c r="A774" s="31"/>
      <c r="B774" s="31"/>
      <c r="C774" s="31"/>
      <c r="D774" s="32"/>
      <c r="E774" s="30"/>
      <c r="F774" s="30"/>
      <c r="G774" s="30"/>
      <c r="H774" s="30"/>
      <c r="I774" s="30"/>
      <c r="J774" s="30"/>
      <c r="K774" s="30"/>
      <c r="L774" s="30"/>
      <c r="M774" s="30"/>
    </row>
    <row r="775" spans="1:13">
      <c r="A775" s="31"/>
      <c r="B775" s="31"/>
      <c r="C775" s="31"/>
      <c r="D775" s="32"/>
      <c r="E775" s="30"/>
      <c r="F775" s="30"/>
      <c r="G775" s="30"/>
      <c r="H775" s="30"/>
      <c r="I775" s="30"/>
      <c r="J775" s="30"/>
      <c r="K775" s="30"/>
      <c r="L775" s="30"/>
      <c r="M775" s="30"/>
    </row>
    <row r="776" spans="1:13">
      <c r="A776" s="31"/>
      <c r="B776" s="31"/>
      <c r="C776" s="31"/>
      <c r="D776" s="32"/>
      <c r="E776" s="30"/>
      <c r="F776" s="30"/>
      <c r="G776" s="30"/>
      <c r="H776" s="30"/>
      <c r="I776" s="30"/>
      <c r="J776" s="30"/>
      <c r="K776" s="30"/>
      <c r="L776" s="30"/>
      <c r="M776" s="30"/>
    </row>
    <row r="777" spans="1:13">
      <c r="A777" s="31"/>
      <c r="B777" s="31"/>
      <c r="C777" s="31"/>
      <c r="D777" s="32"/>
      <c r="E777" s="30"/>
      <c r="F777" s="30"/>
      <c r="G777" s="30"/>
      <c r="H777" s="30"/>
      <c r="I777" s="30"/>
      <c r="J777" s="30"/>
      <c r="K777" s="30"/>
      <c r="L777" s="30"/>
      <c r="M777" s="30"/>
    </row>
    <row r="778" spans="1:13">
      <c r="A778" s="31"/>
      <c r="B778" s="31"/>
      <c r="C778" s="31"/>
      <c r="D778" s="32"/>
      <c r="E778" s="30"/>
      <c r="F778" s="30"/>
      <c r="G778" s="30"/>
      <c r="H778" s="30"/>
      <c r="I778" s="30"/>
      <c r="J778" s="30"/>
      <c r="K778" s="30"/>
      <c r="L778" s="30"/>
      <c r="M778" s="30"/>
    </row>
    <row r="779" spans="1:13">
      <c r="A779" s="31"/>
      <c r="B779" s="31"/>
      <c r="C779" s="31"/>
      <c r="D779" s="32"/>
      <c r="E779" s="30"/>
      <c r="F779" s="30"/>
      <c r="G779" s="30"/>
      <c r="H779" s="30"/>
      <c r="I779" s="30"/>
      <c r="J779" s="30"/>
      <c r="K779" s="30"/>
      <c r="L779" s="30"/>
      <c r="M779" s="30"/>
    </row>
    <row r="780" spans="1:13">
      <c r="A780" s="31"/>
      <c r="B780" s="31"/>
      <c r="C780" s="31"/>
      <c r="D780" s="32"/>
      <c r="E780" s="30"/>
      <c r="F780" s="30"/>
      <c r="G780" s="30"/>
      <c r="H780" s="30"/>
      <c r="I780" s="30"/>
      <c r="J780" s="30"/>
      <c r="K780" s="30"/>
      <c r="L780" s="30"/>
      <c r="M780" s="30"/>
    </row>
    <row r="781" spans="1:13">
      <c r="A781" s="31"/>
      <c r="B781" s="31"/>
      <c r="C781" s="31"/>
      <c r="D781" s="32"/>
      <c r="E781" s="30"/>
      <c r="F781" s="30"/>
      <c r="G781" s="30"/>
      <c r="H781" s="30"/>
      <c r="I781" s="30"/>
      <c r="J781" s="30"/>
      <c r="K781" s="30"/>
      <c r="L781" s="30"/>
      <c r="M781" s="30"/>
    </row>
    <row r="782" spans="1:13">
      <c r="A782" s="31"/>
      <c r="B782" s="31"/>
      <c r="C782" s="31"/>
      <c r="D782" s="32"/>
      <c r="E782" s="30"/>
      <c r="F782" s="30"/>
      <c r="G782" s="30"/>
      <c r="H782" s="30"/>
      <c r="I782" s="30"/>
      <c r="J782" s="30"/>
      <c r="K782" s="30"/>
      <c r="L782" s="30"/>
      <c r="M782" s="30"/>
    </row>
    <row r="783" spans="1:13">
      <c r="A783" s="31"/>
      <c r="B783" s="31"/>
      <c r="C783" s="31"/>
      <c r="D783" s="32"/>
      <c r="E783" s="30"/>
      <c r="F783" s="30"/>
      <c r="G783" s="30"/>
      <c r="H783" s="30"/>
      <c r="I783" s="30"/>
      <c r="J783" s="30"/>
      <c r="K783" s="30"/>
      <c r="L783" s="30"/>
      <c r="M783" s="30"/>
    </row>
    <row r="784" spans="1:13">
      <c r="A784" s="31"/>
      <c r="B784" s="31"/>
      <c r="C784" s="31"/>
      <c r="D784" s="32"/>
      <c r="E784" s="30"/>
      <c r="F784" s="30"/>
      <c r="G784" s="30"/>
      <c r="H784" s="30"/>
      <c r="I784" s="30"/>
      <c r="J784" s="30"/>
      <c r="K784" s="30"/>
      <c r="L784" s="30"/>
      <c r="M784" s="30"/>
    </row>
    <row r="785" spans="1:13">
      <c r="A785" s="31"/>
      <c r="B785" s="31"/>
      <c r="C785" s="31"/>
      <c r="D785" s="32"/>
      <c r="E785" s="30"/>
      <c r="F785" s="30"/>
      <c r="G785" s="30"/>
      <c r="H785" s="30"/>
      <c r="I785" s="30"/>
      <c r="J785" s="30"/>
      <c r="K785" s="30"/>
      <c r="L785" s="30"/>
      <c r="M785" s="30"/>
    </row>
    <row r="786" spans="1:13">
      <c r="A786" s="31"/>
      <c r="B786" s="31"/>
      <c r="C786" s="31"/>
      <c r="D786" s="32"/>
      <c r="E786" s="30"/>
      <c r="F786" s="30"/>
      <c r="G786" s="30"/>
      <c r="H786" s="30"/>
      <c r="I786" s="30"/>
      <c r="J786" s="30"/>
      <c r="K786" s="30"/>
      <c r="L786" s="30"/>
      <c r="M786" s="30"/>
    </row>
    <row r="787" spans="1:13">
      <c r="A787" s="31"/>
      <c r="B787" s="31"/>
      <c r="C787" s="31"/>
      <c r="D787" s="32"/>
      <c r="E787" s="30"/>
      <c r="F787" s="30"/>
      <c r="G787" s="30"/>
      <c r="H787" s="30"/>
      <c r="I787" s="30"/>
      <c r="J787" s="30"/>
      <c r="K787" s="30"/>
      <c r="L787" s="30"/>
      <c r="M787" s="30"/>
    </row>
    <row r="788" spans="1:13">
      <c r="A788" s="31"/>
      <c r="B788" s="31"/>
      <c r="C788" s="31"/>
      <c r="D788" s="32"/>
      <c r="E788" s="30"/>
      <c r="F788" s="30"/>
      <c r="G788" s="30"/>
      <c r="H788" s="30"/>
      <c r="I788" s="30"/>
      <c r="J788" s="30"/>
      <c r="K788" s="30"/>
      <c r="L788" s="30"/>
      <c r="M788" s="30"/>
    </row>
    <row r="789" spans="1:13">
      <c r="A789" s="31"/>
      <c r="B789" s="31"/>
      <c r="C789" s="31"/>
      <c r="D789" s="32"/>
      <c r="E789" s="30"/>
      <c r="F789" s="30"/>
      <c r="G789" s="30"/>
      <c r="H789" s="30"/>
      <c r="I789" s="30"/>
      <c r="J789" s="30"/>
      <c r="K789" s="30"/>
      <c r="L789" s="30"/>
      <c r="M789" s="30"/>
    </row>
    <row r="790" spans="1:13">
      <c r="A790" s="31"/>
      <c r="B790" s="31"/>
      <c r="C790" s="31"/>
      <c r="D790" s="32"/>
      <c r="E790" s="30"/>
      <c r="F790" s="30"/>
      <c r="G790" s="30"/>
      <c r="H790" s="30"/>
      <c r="I790" s="30"/>
      <c r="J790" s="30"/>
      <c r="K790" s="30"/>
      <c r="L790" s="30"/>
      <c r="M790" s="30"/>
    </row>
    <row r="791" spans="1:13">
      <c r="A791" s="31"/>
      <c r="B791" s="31"/>
      <c r="C791" s="31"/>
      <c r="D791" s="32"/>
      <c r="E791" s="30"/>
      <c r="F791" s="30"/>
      <c r="G791" s="30"/>
      <c r="H791" s="30"/>
      <c r="I791" s="30"/>
      <c r="J791" s="30"/>
      <c r="K791" s="30"/>
      <c r="L791" s="30"/>
      <c r="M791" s="30"/>
    </row>
    <row r="792" spans="1:13">
      <c r="A792" s="31"/>
      <c r="B792" s="31"/>
      <c r="C792" s="31"/>
      <c r="D792" s="32"/>
      <c r="E792" s="30"/>
      <c r="F792" s="30"/>
      <c r="G792" s="30"/>
      <c r="H792" s="30"/>
      <c r="I792" s="30"/>
      <c r="J792" s="30"/>
      <c r="K792" s="30"/>
      <c r="L792" s="30"/>
      <c r="M792" s="30"/>
    </row>
    <row r="793" spans="1:13">
      <c r="A793" s="31"/>
      <c r="B793" s="31"/>
      <c r="C793" s="31"/>
      <c r="D793" s="32"/>
      <c r="E793" s="30"/>
      <c r="F793" s="30"/>
      <c r="G793" s="30"/>
      <c r="H793" s="30"/>
      <c r="I793" s="30"/>
      <c r="J793" s="30"/>
      <c r="K793" s="30"/>
      <c r="L793" s="30"/>
      <c r="M793" s="30"/>
    </row>
    <row r="794" spans="1:13">
      <c r="A794" s="31"/>
      <c r="B794" s="31"/>
      <c r="C794" s="31"/>
      <c r="D794" s="32"/>
      <c r="E794" s="30"/>
      <c r="F794" s="30"/>
      <c r="G794" s="30"/>
      <c r="H794" s="30"/>
      <c r="I794" s="30"/>
      <c r="J794" s="30"/>
      <c r="K794" s="30"/>
      <c r="L794" s="30"/>
      <c r="M794" s="30"/>
    </row>
    <row r="795" spans="1:13">
      <c r="A795" s="31"/>
      <c r="B795" s="31"/>
      <c r="C795" s="31"/>
      <c r="D795" s="32"/>
      <c r="E795" s="30"/>
      <c r="F795" s="30"/>
      <c r="G795" s="30"/>
      <c r="H795" s="30"/>
      <c r="I795" s="30"/>
      <c r="J795" s="30"/>
      <c r="K795" s="30"/>
      <c r="L795" s="30"/>
      <c r="M795" s="30"/>
    </row>
    <row r="796" spans="1:13">
      <c r="A796" s="31"/>
      <c r="B796" s="31"/>
      <c r="C796" s="31"/>
      <c r="D796" s="32"/>
      <c r="E796" s="30"/>
      <c r="F796" s="30"/>
      <c r="G796" s="30"/>
      <c r="H796" s="30"/>
      <c r="I796" s="30"/>
      <c r="J796" s="30"/>
      <c r="K796" s="30"/>
      <c r="L796" s="30"/>
      <c r="M796" s="30"/>
    </row>
    <row r="797" spans="1:13">
      <c r="A797" s="31"/>
      <c r="B797" s="31"/>
      <c r="C797" s="31"/>
      <c r="D797" s="32"/>
      <c r="E797" s="30"/>
      <c r="F797" s="30"/>
      <c r="G797" s="30"/>
      <c r="H797" s="30"/>
      <c r="I797" s="30"/>
      <c r="J797" s="30"/>
      <c r="K797" s="30"/>
      <c r="L797" s="30"/>
      <c r="M797" s="30"/>
    </row>
    <row r="798" spans="1:13">
      <c r="A798" s="31"/>
      <c r="B798" s="31"/>
      <c r="C798" s="31"/>
      <c r="D798" s="32"/>
      <c r="E798" s="30"/>
      <c r="F798" s="30"/>
      <c r="G798" s="30"/>
      <c r="H798" s="30"/>
      <c r="I798" s="30"/>
      <c r="J798" s="30"/>
      <c r="K798" s="30"/>
      <c r="L798" s="30"/>
      <c r="M798" s="30"/>
    </row>
    <row r="799" spans="1:13">
      <c r="A799" s="31"/>
      <c r="B799" s="31"/>
      <c r="C799" s="31"/>
      <c r="D799" s="32"/>
      <c r="E799" s="30"/>
      <c r="F799" s="30"/>
      <c r="G799" s="30"/>
      <c r="H799" s="30"/>
      <c r="I799" s="30"/>
      <c r="J799" s="30"/>
      <c r="K799" s="30"/>
      <c r="L799" s="30"/>
      <c r="M799" s="30"/>
    </row>
    <row r="800" spans="1:13">
      <c r="A800" s="31"/>
      <c r="B800" s="31"/>
      <c r="C800" s="31"/>
      <c r="D800" s="32"/>
      <c r="E800" s="30"/>
      <c r="F800" s="30"/>
      <c r="G800" s="30"/>
      <c r="H800" s="30"/>
      <c r="I800" s="30"/>
      <c r="J800" s="30"/>
      <c r="K800" s="30"/>
      <c r="L800" s="30"/>
      <c r="M800" s="30"/>
    </row>
    <row r="801" spans="1:13">
      <c r="A801" s="31"/>
      <c r="B801" s="31"/>
      <c r="C801" s="31"/>
      <c r="D801" s="32"/>
      <c r="E801" s="30"/>
      <c r="F801" s="30"/>
      <c r="G801" s="30"/>
      <c r="H801" s="30"/>
      <c r="I801" s="30"/>
      <c r="J801" s="30"/>
      <c r="K801" s="30"/>
      <c r="L801" s="30"/>
      <c r="M801" s="30"/>
    </row>
    <row r="802" spans="1:13">
      <c r="A802" s="31"/>
      <c r="B802" s="31"/>
      <c r="C802" s="31"/>
      <c r="D802" s="32"/>
      <c r="E802" s="30"/>
      <c r="F802" s="30"/>
      <c r="G802" s="30"/>
      <c r="H802" s="30"/>
      <c r="I802" s="30"/>
      <c r="J802" s="30"/>
      <c r="K802" s="30"/>
      <c r="L802" s="30"/>
      <c r="M802" s="30"/>
    </row>
    <row r="803" spans="1:13">
      <c r="A803" s="31"/>
      <c r="B803" s="31"/>
      <c r="C803" s="31"/>
      <c r="D803" s="32"/>
      <c r="E803" s="30"/>
      <c r="F803" s="30"/>
      <c r="G803" s="30"/>
      <c r="H803" s="30"/>
      <c r="I803" s="30"/>
      <c r="J803" s="30"/>
      <c r="K803" s="30"/>
      <c r="L803" s="30"/>
      <c r="M803" s="30"/>
    </row>
    <row r="804" spans="1:13">
      <c r="A804" s="31"/>
      <c r="B804" s="31"/>
      <c r="C804" s="31"/>
      <c r="D804" s="32"/>
      <c r="E804" s="30"/>
      <c r="F804" s="30"/>
      <c r="G804" s="30"/>
      <c r="H804" s="30"/>
      <c r="I804" s="30"/>
      <c r="J804" s="30"/>
      <c r="K804" s="30"/>
      <c r="L804" s="30"/>
      <c r="M804" s="30"/>
    </row>
    <row r="805" spans="1:13">
      <c r="A805" s="31"/>
      <c r="B805" s="31"/>
      <c r="C805" s="31"/>
      <c r="D805" s="32"/>
      <c r="E805" s="30"/>
      <c r="F805" s="30"/>
      <c r="G805" s="30"/>
      <c r="H805" s="30"/>
      <c r="I805" s="30"/>
      <c r="J805" s="30"/>
      <c r="K805" s="30"/>
      <c r="L805" s="30"/>
      <c r="M805" s="30"/>
    </row>
    <row r="806" spans="1:13">
      <c r="A806" s="31"/>
      <c r="B806" s="31"/>
      <c r="C806" s="31"/>
      <c r="D806" s="32"/>
      <c r="E806" s="30"/>
      <c r="F806" s="30"/>
      <c r="G806" s="30"/>
      <c r="H806" s="30"/>
      <c r="I806" s="30"/>
      <c r="J806" s="30"/>
      <c r="K806" s="30"/>
      <c r="L806" s="30"/>
      <c r="M806" s="30"/>
    </row>
    <row r="807" spans="1:13">
      <c r="A807" s="31"/>
      <c r="B807" s="31"/>
      <c r="C807" s="31"/>
      <c r="D807" s="32"/>
      <c r="E807" s="30"/>
      <c r="F807" s="30"/>
      <c r="G807" s="30"/>
      <c r="H807" s="30"/>
      <c r="I807" s="30"/>
      <c r="J807" s="30"/>
      <c r="K807" s="30"/>
      <c r="L807" s="30"/>
      <c r="M807" s="30"/>
    </row>
    <row r="808" spans="1:13">
      <c r="A808" s="31"/>
      <c r="B808" s="31"/>
      <c r="C808" s="31"/>
      <c r="D808" s="32"/>
      <c r="E808" s="30"/>
      <c r="F808" s="30"/>
      <c r="G808" s="30"/>
      <c r="H808" s="30"/>
      <c r="I808" s="30"/>
      <c r="J808" s="30"/>
      <c r="K808" s="30"/>
      <c r="L808" s="30"/>
      <c r="M808" s="30"/>
    </row>
    <row r="809" spans="1:13">
      <c r="A809" s="31"/>
      <c r="B809" s="31"/>
      <c r="C809" s="31"/>
      <c r="D809" s="32"/>
      <c r="E809" s="30"/>
      <c r="F809" s="30"/>
      <c r="G809" s="30"/>
      <c r="H809" s="30"/>
      <c r="I809" s="30"/>
      <c r="J809" s="30"/>
      <c r="K809" s="30"/>
      <c r="L809" s="30"/>
      <c r="M809" s="30"/>
    </row>
    <row r="810" spans="1:13">
      <c r="A810" s="31"/>
      <c r="B810" s="31"/>
      <c r="C810" s="31"/>
      <c r="D810" s="32"/>
      <c r="E810" s="30"/>
      <c r="F810" s="30"/>
      <c r="G810" s="30"/>
      <c r="H810" s="30"/>
      <c r="I810" s="30"/>
      <c r="J810" s="30"/>
      <c r="K810" s="30"/>
      <c r="L810" s="30"/>
      <c r="M810" s="30"/>
    </row>
    <row r="811" spans="1:13">
      <c r="A811" s="31"/>
      <c r="B811" s="31"/>
      <c r="C811" s="31"/>
      <c r="D811" s="32"/>
      <c r="E811" s="30"/>
      <c r="F811" s="30"/>
      <c r="G811" s="30"/>
      <c r="H811" s="30"/>
      <c r="I811" s="30"/>
      <c r="J811" s="30"/>
      <c r="K811" s="30"/>
      <c r="L811" s="30"/>
      <c r="M811" s="30"/>
    </row>
    <row r="812" spans="1:13">
      <c r="A812" s="31"/>
      <c r="B812" s="31"/>
      <c r="C812" s="31"/>
      <c r="D812" s="32"/>
      <c r="E812" s="30"/>
      <c r="F812" s="30"/>
      <c r="G812" s="30"/>
      <c r="H812" s="30"/>
      <c r="I812" s="30"/>
      <c r="J812" s="30"/>
      <c r="K812" s="30"/>
      <c r="L812" s="30"/>
      <c r="M812" s="30"/>
    </row>
    <row r="813" spans="1:13">
      <c r="A813" s="31"/>
      <c r="B813" s="31"/>
      <c r="C813" s="31"/>
      <c r="D813" s="32"/>
      <c r="E813" s="30"/>
      <c r="F813" s="30"/>
      <c r="G813" s="30"/>
      <c r="H813" s="30"/>
      <c r="I813" s="30"/>
      <c r="J813" s="30"/>
      <c r="K813" s="30"/>
      <c r="L813" s="30"/>
      <c r="M813" s="30"/>
    </row>
    <row r="814" spans="1:13">
      <c r="A814" s="31"/>
      <c r="B814" s="31"/>
      <c r="C814" s="31"/>
      <c r="D814" s="32"/>
      <c r="E814" s="30"/>
      <c r="F814" s="30"/>
      <c r="G814" s="30"/>
      <c r="H814" s="30"/>
      <c r="I814" s="30"/>
      <c r="J814" s="30"/>
      <c r="K814" s="30"/>
      <c r="L814" s="30"/>
      <c r="M814" s="30"/>
    </row>
    <row r="815" spans="1:13">
      <c r="A815" s="31"/>
      <c r="B815" s="31"/>
      <c r="C815" s="31"/>
      <c r="D815" s="32"/>
      <c r="E815" s="30"/>
      <c r="F815" s="30"/>
      <c r="G815" s="30"/>
      <c r="H815" s="30"/>
      <c r="I815" s="30"/>
      <c r="J815" s="30"/>
      <c r="K815" s="30"/>
      <c r="L815" s="30"/>
      <c r="M815" s="30"/>
    </row>
    <row r="816" spans="1:13">
      <c r="A816" s="31"/>
      <c r="B816" s="31"/>
      <c r="C816" s="31"/>
      <c r="D816" s="32"/>
      <c r="E816" s="30"/>
      <c r="F816" s="30"/>
      <c r="G816" s="30"/>
      <c r="H816" s="30"/>
      <c r="I816" s="30"/>
      <c r="J816" s="30"/>
      <c r="K816" s="30"/>
      <c r="L816" s="30"/>
      <c r="M816" s="30"/>
    </row>
    <row r="817" spans="1:13">
      <c r="A817" s="31"/>
      <c r="B817" s="31"/>
      <c r="C817" s="31"/>
      <c r="D817" s="32"/>
      <c r="E817" s="30"/>
      <c r="F817" s="30"/>
      <c r="G817" s="30"/>
      <c r="H817" s="30"/>
      <c r="I817" s="30"/>
      <c r="J817" s="30"/>
      <c r="K817" s="30"/>
      <c r="L817" s="30"/>
      <c r="M817" s="30"/>
    </row>
    <row r="818" spans="1:13">
      <c r="A818" s="31"/>
      <c r="B818" s="31"/>
      <c r="C818" s="31"/>
      <c r="D818" s="32"/>
      <c r="E818" s="30"/>
      <c r="F818" s="30"/>
      <c r="G818" s="30"/>
      <c r="H818" s="30"/>
      <c r="I818" s="30"/>
      <c r="J818" s="30"/>
      <c r="K818" s="30"/>
      <c r="L818" s="30"/>
      <c r="M818" s="30"/>
    </row>
    <row r="819" spans="1:13">
      <c r="A819" s="31"/>
      <c r="B819" s="31"/>
      <c r="C819" s="31"/>
      <c r="D819" s="32"/>
      <c r="E819" s="30"/>
      <c r="F819" s="30"/>
      <c r="G819" s="30"/>
      <c r="H819" s="30"/>
      <c r="I819" s="30"/>
      <c r="J819" s="30"/>
      <c r="K819" s="30"/>
      <c r="L819" s="30"/>
      <c r="M819" s="30"/>
    </row>
    <row r="820" spans="1:13">
      <c r="A820" s="31"/>
      <c r="B820" s="31"/>
      <c r="C820" s="31"/>
      <c r="D820" s="32"/>
      <c r="E820" s="30"/>
      <c r="F820" s="30"/>
      <c r="G820" s="30"/>
      <c r="H820" s="30"/>
      <c r="I820" s="30"/>
      <c r="J820" s="30"/>
      <c r="K820" s="30"/>
      <c r="L820" s="30"/>
      <c r="M820" s="30"/>
    </row>
    <row r="821" spans="1:13">
      <c r="A821" s="31"/>
      <c r="B821" s="31"/>
      <c r="C821" s="31"/>
      <c r="D821" s="32"/>
      <c r="E821" s="30"/>
      <c r="F821" s="30"/>
      <c r="G821" s="30"/>
      <c r="H821" s="30"/>
      <c r="I821" s="30"/>
      <c r="J821" s="30"/>
      <c r="K821" s="30"/>
      <c r="L821" s="30"/>
      <c r="M821" s="30"/>
    </row>
    <row r="822" spans="1:13">
      <c r="A822" s="31"/>
      <c r="B822" s="31"/>
      <c r="C822" s="31"/>
      <c r="D822" s="32"/>
      <c r="E822" s="30"/>
      <c r="F822" s="30"/>
      <c r="G822" s="30"/>
      <c r="H822" s="30"/>
      <c r="I822" s="30"/>
      <c r="J822" s="30"/>
      <c r="K822" s="30"/>
      <c r="L822" s="30"/>
      <c r="M822" s="30"/>
    </row>
    <row r="823" spans="1:13">
      <c r="A823" s="31"/>
      <c r="B823" s="31"/>
      <c r="C823" s="31"/>
      <c r="D823" s="32"/>
      <c r="E823" s="30"/>
      <c r="F823" s="30"/>
      <c r="G823" s="30"/>
      <c r="H823" s="30"/>
      <c r="I823" s="30"/>
      <c r="J823" s="30"/>
      <c r="K823" s="30"/>
      <c r="L823" s="30"/>
      <c r="M823" s="30"/>
    </row>
    <row r="824" spans="1:13">
      <c r="A824" s="31"/>
      <c r="B824" s="31"/>
      <c r="C824" s="31"/>
      <c r="D824" s="32"/>
      <c r="E824" s="30"/>
      <c r="F824" s="30"/>
      <c r="G824" s="30"/>
      <c r="H824" s="30"/>
      <c r="I824" s="30"/>
      <c r="J824" s="30"/>
      <c r="K824" s="30"/>
      <c r="L824" s="30"/>
      <c r="M824" s="30"/>
    </row>
    <row r="825" spans="1:13">
      <c r="A825" s="31"/>
      <c r="B825" s="31"/>
      <c r="C825" s="31"/>
      <c r="D825" s="32"/>
      <c r="E825" s="30"/>
      <c r="F825" s="30"/>
      <c r="G825" s="30"/>
      <c r="H825" s="30"/>
      <c r="I825" s="30"/>
      <c r="J825" s="30"/>
      <c r="K825" s="30"/>
      <c r="L825" s="30"/>
      <c r="M825" s="30"/>
    </row>
    <row r="826" spans="1:13">
      <c r="A826" s="31"/>
      <c r="B826" s="31"/>
      <c r="C826" s="31"/>
      <c r="D826" s="32"/>
      <c r="E826" s="30"/>
      <c r="F826" s="30"/>
      <c r="G826" s="30"/>
      <c r="H826" s="30"/>
      <c r="I826" s="30"/>
      <c r="J826" s="30"/>
      <c r="K826" s="30"/>
      <c r="L826" s="30"/>
      <c r="M826" s="30"/>
    </row>
    <row r="827" spans="1:13">
      <c r="A827" s="31"/>
      <c r="B827" s="31"/>
      <c r="C827" s="31"/>
      <c r="D827" s="32"/>
      <c r="E827" s="30"/>
      <c r="F827" s="30"/>
      <c r="G827" s="30"/>
      <c r="H827" s="30"/>
      <c r="I827" s="30"/>
      <c r="J827" s="30"/>
      <c r="K827" s="30"/>
      <c r="L827" s="30"/>
      <c r="M827" s="30"/>
    </row>
    <row r="828" spans="1:13">
      <c r="A828" s="31"/>
      <c r="B828" s="31"/>
      <c r="C828" s="31"/>
      <c r="D828" s="32"/>
      <c r="E828" s="30"/>
      <c r="F828" s="30"/>
      <c r="G828" s="30"/>
      <c r="H828" s="30"/>
      <c r="I828" s="30"/>
      <c r="J828" s="30"/>
      <c r="K828" s="30"/>
      <c r="L828" s="30"/>
      <c r="M828" s="30"/>
    </row>
    <row r="829" spans="1:13">
      <c r="A829" s="31"/>
      <c r="B829" s="31"/>
      <c r="C829" s="31"/>
      <c r="D829" s="32"/>
      <c r="E829" s="30"/>
      <c r="F829" s="30"/>
      <c r="G829" s="30"/>
      <c r="H829" s="30"/>
      <c r="I829" s="30"/>
      <c r="J829" s="30"/>
      <c r="K829" s="30"/>
      <c r="L829" s="30"/>
      <c r="M829" s="30"/>
    </row>
    <row r="830" spans="1:13">
      <c r="A830" s="31"/>
      <c r="B830" s="31"/>
      <c r="C830" s="31"/>
      <c r="D830" s="32"/>
      <c r="E830" s="30"/>
      <c r="F830" s="30"/>
      <c r="G830" s="30"/>
      <c r="H830" s="30"/>
      <c r="I830" s="30"/>
      <c r="J830" s="30"/>
      <c r="K830" s="30"/>
      <c r="L830" s="30"/>
      <c r="M830" s="30"/>
    </row>
    <row r="831" spans="1:13">
      <c r="A831" s="31"/>
      <c r="B831" s="31"/>
      <c r="C831" s="31"/>
      <c r="D831" s="32"/>
      <c r="E831" s="30"/>
      <c r="F831" s="30"/>
      <c r="G831" s="30"/>
      <c r="H831" s="30"/>
      <c r="I831" s="30"/>
      <c r="J831" s="30"/>
      <c r="K831" s="30"/>
      <c r="L831" s="30"/>
      <c r="M831" s="30"/>
    </row>
    <row r="832" spans="1:13">
      <c r="A832" s="31"/>
      <c r="B832" s="31"/>
      <c r="C832" s="31"/>
      <c r="D832" s="32"/>
      <c r="E832" s="30"/>
      <c r="F832" s="30"/>
      <c r="G832" s="30"/>
      <c r="H832" s="30"/>
      <c r="I832" s="30"/>
      <c r="J832" s="30"/>
      <c r="K832" s="30"/>
      <c r="L832" s="30"/>
      <c r="M832" s="30"/>
    </row>
    <row r="833" spans="1:13">
      <c r="A833" s="31"/>
      <c r="B833" s="31"/>
      <c r="C833" s="31"/>
      <c r="D833" s="32"/>
      <c r="E833" s="30"/>
      <c r="F833" s="30"/>
      <c r="G833" s="30"/>
      <c r="H833" s="30"/>
      <c r="I833" s="30"/>
      <c r="J833" s="30"/>
      <c r="K833" s="30"/>
      <c r="L833" s="30"/>
      <c r="M833" s="30"/>
    </row>
    <row r="834" spans="1:13">
      <c r="A834" s="31"/>
      <c r="B834" s="31"/>
      <c r="C834" s="31"/>
      <c r="D834" s="32"/>
      <c r="E834" s="30"/>
      <c r="F834" s="30"/>
      <c r="G834" s="30"/>
      <c r="H834" s="30"/>
      <c r="I834" s="30"/>
      <c r="J834" s="30"/>
      <c r="K834" s="30"/>
      <c r="L834" s="30"/>
      <c r="M834" s="30"/>
    </row>
    <row r="835" spans="1:13">
      <c r="A835" s="31"/>
      <c r="B835" s="31"/>
      <c r="C835" s="31"/>
      <c r="D835" s="32"/>
      <c r="E835" s="30"/>
      <c r="F835" s="30"/>
      <c r="G835" s="30"/>
      <c r="H835" s="30"/>
      <c r="I835" s="30"/>
      <c r="J835" s="30"/>
      <c r="K835" s="30"/>
      <c r="L835" s="30"/>
      <c r="M835" s="30"/>
    </row>
    <row r="836" spans="1:13">
      <c r="A836" s="31"/>
      <c r="B836" s="31"/>
      <c r="C836" s="31"/>
      <c r="D836" s="32"/>
      <c r="E836" s="30"/>
      <c r="F836" s="30"/>
      <c r="G836" s="30"/>
      <c r="H836" s="30"/>
      <c r="I836" s="30"/>
      <c r="J836" s="30"/>
      <c r="K836" s="30"/>
      <c r="L836" s="30"/>
      <c r="M836" s="30"/>
    </row>
    <row r="837" spans="1:13">
      <c r="A837" s="31"/>
      <c r="B837" s="31"/>
      <c r="C837" s="31"/>
      <c r="D837" s="32"/>
      <c r="E837" s="30"/>
      <c r="F837" s="30"/>
      <c r="G837" s="30"/>
      <c r="H837" s="30"/>
      <c r="I837" s="30"/>
      <c r="J837" s="30"/>
      <c r="K837" s="30"/>
      <c r="L837" s="30"/>
      <c r="M837" s="30"/>
    </row>
    <row r="838" spans="1:13">
      <c r="A838" s="31"/>
      <c r="B838" s="31"/>
      <c r="C838" s="31"/>
      <c r="D838" s="32"/>
      <c r="E838" s="30"/>
      <c r="F838" s="30"/>
      <c r="G838" s="30"/>
      <c r="H838" s="30"/>
      <c r="I838" s="30"/>
      <c r="J838" s="30"/>
      <c r="K838" s="30"/>
      <c r="L838" s="30"/>
      <c r="M838" s="30"/>
    </row>
    <row r="839" spans="1:13">
      <c r="A839" s="31"/>
      <c r="B839" s="31"/>
      <c r="C839" s="31"/>
      <c r="D839" s="32"/>
      <c r="E839" s="30"/>
      <c r="F839" s="30"/>
      <c r="G839" s="30"/>
      <c r="H839" s="30"/>
      <c r="I839" s="30"/>
      <c r="J839" s="30"/>
      <c r="K839" s="30"/>
      <c r="L839" s="30"/>
      <c r="M839" s="30"/>
    </row>
    <row r="840" spans="1:13">
      <c r="A840" s="31"/>
      <c r="B840" s="31"/>
      <c r="C840" s="31"/>
      <c r="D840" s="32"/>
      <c r="E840" s="30"/>
      <c r="F840" s="30"/>
      <c r="G840" s="30"/>
      <c r="H840" s="30"/>
      <c r="I840" s="30"/>
      <c r="J840" s="30"/>
      <c r="K840" s="30"/>
      <c r="L840" s="30"/>
      <c r="M840" s="30"/>
    </row>
    <row r="841" spans="1:13">
      <c r="A841" s="31"/>
      <c r="B841" s="31"/>
      <c r="C841" s="31"/>
      <c r="D841" s="32"/>
      <c r="E841" s="30"/>
      <c r="F841" s="30"/>
      <c r="G841" s="30"/>
      <c r="H841" s="30"/>
      <c r="I841" s="30"/>
      <c r="J841" s="30"/>
      <c r="K841" s="30"/>
      <c r="L841" s="30"/>
      <c r="M841" s="30"/>
    </row>
    <row r="842" spans="1:13">
      <c r="A842" s="31"/>
      <c r="B842" s="31"/>
      <c r="C842" s="31"/>
      <c r="D842" s="32"/>
      <c r="E842" s="30"/>
      <c r="F842" s="30"/>
      <c r="G842" s="30"/>
      <c r="H842" s="30"/>
      <c r="I842" s="30"/>
      <c r="J842" s="30"/>
      <c r="K842" s="30"/>
      <c r="L842" s="30"/>
      <c r="M842" s="30"/>
    </row>
    <row r="843" spans="1:13">
      <c r="A843" s="31"/>
      <c r="B843" s="31"/>
      <c r="C843" s="31"/>
      <c r="D843" s="32"/>
      <c r="E843" s="30"/>
      <c r="F843" s="30"/>
      <c r="G843" s="30"/>
      <c r="H843" s="30"/>
      <c r="I843" s="30"/>
      <c r="J843" s="30"/>
      <c r="K843" s="30"/>
      <c r="L843" s="30"/>
      <c r="M843" s="30"/>
    </row>
    <row r="844" spans="1:13">
      <c r="A844" s="31"/>
      <c r="B844" s="31"/>
      <c r="C844" s="31"/>
      <c r="D844" s="32"/>
      <c r="E844" s="30"/>
      <c r="F844" s="30"/>
      <c r="G844" s="30"/>
      <c r="H844" s="30"/>
      <c r="I844" s="30"/>
      <c r="J844" s="30"/>
      <c r="K844" s="30"/>
      <c r="L844" s="30"/>
      <c r="M844" s="30"/>
    </row>
    <row r="845" spans="1:13">
      <c r="A845" s="31"/>
      <c r="B845" s="31"/>
      <c r="C845" s="31"/>
      <c r="D845" s="32"/>
      <c r="E845" s="30"/>
      <c r="F845" s="30"/>
      <c r="G845" s="30"/>
      <c r="H845" s="30"/>
      <c r="I845" s="30"/>
      <c r="J845" s="30"/>
      <c r="K845" s="30"/>
      <c r="L845" s="30"/>
      <c r="M845" s="30"/>
    </row>
    <row r="846" spans="1:13">
      <c r="A846" s="31"/>
      <c r="B846" s="31"/>
      <c r="C846" s="31"/>
      <c r="D846" s="32"/>
      <c r="E846" s="30"/>
      <c r="F846" s="30"/>
      <c r="G846" s="30"/>
      <c r="H846" s="30"/>
      <c r="I846" s="30"/>
      <c r="J846" s="30"/>
      <c r="K846" s="30"/>
      <c r="L846" s="30"/>
      <c r="M846" s="30"/>
    </row>
    <row r="847" spans="1:13">
      <c r="A847" s="31"/>
      <c r="B847" s="31"/>
      <c r="C847" s="31"/>
      <c r="D847" s="32"/>
      <c r="E847" s="30"/>
      <c r="F847" s="30"/>
      <c r="G847" s="30"/>
      <c r="H847" s="30"/>
      <c r="I847" s="30"/>
      <c r="J847" s="30"/>
      <c r="K847" s="30"/>
      <c r="L847" s="30"/>
      <c r="M847" s="30"/>
    </row>
    <row r="848" spans="1:13">
      <c r="A848" s="31"/>
      <c r="B848" s="31"/>
      <c r="C848" s="31"/>
      <c r="D848" s="32"/>
      <c r="E848" s="30"/>
      <c r="F848" s="30"/>
      <c r="G848" s="30"/>
      <c r="H848" s="30"/>
      <c r="I848" s="30"/>
      <c r="J848" s="30"/>
      <c r="K848" s="30"/>
      <c r="L848" s="30"/>
      <c r="M848" s="30"/>
    </row>
    <row r="849" spans="1:13">
      <c r="A849" s="31"/>
      <c r="B849" s="31"/>
      <c r="C849" s="31"/>
      <c r="D849" s="32"/>
      <c r="E849" s="30"/>
      <c r="F849" s="30"/>
      <c r="G849" s="30"/>
      <c r="H849" s="30"/>
      <c r="I849" s="30"/>
      <c r="J849" s="30"/>
      <c r="K849" s="30"/>
      <c r="L849" s="30"/>
      <c r="M849" s="30"/>
    </row>
    <row r="850" spans="1:13">
      <c r="A850" s="31"/>
      <c r="B850" s="31"/>
      <c r="C850" s="31"/>
      <c r="D850" s="32"/>
      <c r="E850" s="30"/>
      <c r="F850" s="30"/>
      <c r="G850" s="30"/>
      <c r="H850" s="30"/>
      <c r="I850" s="30"/>
      <c r="J850" s="30"/>
      <c r="K850" s="30"/>
      <c r="L850" s="30"/>
      <c r="M850" s="30"/>
    </row>
    <row r="851" spans="1:13">
      <c r="A851" s="31"/>
      <c r="B851" s="31"/>
      <c r="C851" s="31"/>
      <c r="D851" s="32"/>
      <c r="E851" s="30"/>
      <c r="F851" s="30"/>
      <c r="G851" s="30"/>
      <c r="H851" s="30"/>
      <c r="I851" s="30"/>
      <c r="J851" s="30"/>
      <c r="K851" s="30"/>
      <c r="L851" s="30"/>
      <c r="M851" s="30"/>
    </row>
    <row r="852" spans="1:13">
      <c r="A852" s="31"/>
      <c r="B852" s="31"/>
      <c r="C852" s="31"/>
      <c r="D852" s="32"/>
      <c r="E852" s="30"/>
      <c r="F852" s="30"/>
      <c r="G852" s="30"/>
      <c r="H852" s="30"/>
      <c r="I852" s="30"/>
      <c r="J852" s="30"/>
      <c r="K852" s="30"/>
      <c r="L852" s="30"/>
      <c r="M852" s="30"/>
    </row>
    <row r="853" spans="1:13">
      <c r="A853" s="31"/>
      <c r="B853" s="31"/>
      <c r="C853" s="31"/>
      <c r="D853" s="32"/>
      <c r="E853" s="30"/>
      <c r="F853" s="30"/>
      <c r="G853" s="30"/>
      <c r="H853" s="30"/>
      <c r="I853" s="30"/>
      <c r="J853" s="30"/>
      <c r="K853" s="30"/>
      <c r="L853" s="30"/>
      <c r="M853" s="30"/>
    </row>
    <row r="854" spans="1:13">
      <c r="A854" s="31"/>
      <c r="B854" s="31"/>
      <c r="C854" s="31"/>
      <c r="D854" s="32"/>
      <c r="E854" s="30"/>
      <c r="F854" s="30"/>
      <c r="G854" s="30"/>
      <c r="H854" s="30"/>
      <c r="I854" s="30"/>
      <c r="J854" s="30"/>
      <c r="K854" s="30"/>
      <c r="L854" s="30"/>
      <c r="M854" s="30"/>
    </row>
    <row r="855" spans="1:13">
      <c r="A855" s="31"/>
      <c r="B855" s="31"/>
      <c r="C855" s="31"/>
      <c r="D855" s="32"/>
      <c r="E855" s="30"/>
      <c r="F855" s="30"/>
      <c r="G855" s="30"/>
      <c r="H855" s="30"/>
      <c r="I855" s="30"/>
      <c r="J855" s="30"/>
      <c r="K855" s="30"/>
      <c r="L855" s="30"/>
      <c r="M855" s="30"/>
    </row>
    <row r="856" spans="1:13">
      <c r="A856" s="31"/>
      <c r="B856" s="31"/>
      <c r="C856" s="31"/>
      <c r="D856" s="32"/>
      <c r="E856" s="30"/>
      <c r="F856" s="30"/>
      <c r="G856" s="30"/>
      <c r="H856" s="30"/>
      <c r="I856" s="30"/>
      <c r="J856" s="30"/>
      <c r="K856" s="30"/>
      <c r="L856" s="30"/>
      <c r="M856" s="30"/>
    </row>
    <row r="857" spans="1:13">
      <c r="A857" s="31"/>
      <c r="B857" s="31"/>
      <c r="C857" s="31"/>
      <c r="D857" s="32"/>
      <c r="E857" s="30"/>
      <c r="F857" s="30"/>
      <c r="G857" s="30"/>
      <c r="H857" s="30"/>
      <c r="I857" s="30"/>
      <c r="J857" s="30"/>
      <c r="K857" s="30"/>
      <c r="L857" s="30"/>
      <c r="M857" s="30"/>
    </row>
    <row r="858" spans="1:13">
      <c r="A858" s="31"/>
      <c r="B858" s="31"/>
      <c r="C858" s="31"/>
      <c r="D858" s="32"/>
      <c r="E858" s="30"/>
      <c r="F858" s="30"/>
      <c r="G858" s="30"/>
      <c r="H858" s="30"/>
      <c r="I858" s="30"/>
      <c r="J858" s="30"/>
      <c r="K858" s="30"/>
      <c r="L858" s="30"/>
      <c r="M858" s="30"/>
    </row>
    <row r="859" spans="1:13">
      <c r="A859" s="31"/>
      <c r="B859" s="31"/>
      <c r="C859" s="31"/>
      <c r="D859" s="32"/>
      <c r="E859" s="30"/>
      <c r="F859" s="30"/>
      <c r="G859" s="30"/>
      <c r="H859" s="30"/>
      <c r="I859" s="30"/>
      <c r="J859" s="30"/>
      <c r="K859" s="30"/>
      <c r="L859" s="30"/>
      <c r="M859" s="30"/>
    </row>
    <row r="860" spans="1:13">
      <c r="A860" s="31"/>
      <c r="B860" s="31"/>
      <c r="C860" s="31"/>
      <c r="D860" s="32"/>
      <c r="E860" s="30"/>
      <c r="F860" s="30"/>
      <c r="G860" s="30"/>
      <c r="H860" s="30"/>
      <c r="I860" s="30"/>
      <c r="J860" s="30"/>
      <c r="K860" s="30"/>
      <c r="L860" s="30"/>
      <c r="M860" s="30"/>
    </row>
    <row r="861" spans="1:13">
      <c r="A861" s="31"/>
      <c r="B861" s="31"/>
      <c r="C861" s="31"/>
      <c r="D861" s="32"/>
      <c r="E861" s="30"/>
      <c r="F861" s="30"/>
      <c r="G861" s="30"/>
      <c r="H861" s="30"/>
      <c r="I861" s="30"/>
      <c r="J861" s="30"/>
      <c r="K861" s="30"/>
      <c r="L861" s="30"/>
      <c r="M861" s="30"/>
    </row>
    <row r="862" spans="1:13">
      <c r="A862" s="31"/>
      <c r="B862" s="31"/>
      <c r="C862" s="31"/>
      <c r="D862" s="32"/>
      <c r="E862" s="30"/>
      <c r="F862" s="30"/>
      <c r="G862" s="30"/>
      <c r="H862" s="30"/>
      <c r="I862" s="30"/>
      <c r="J862" s="30"/>
      <c r="K862" s="30"/>
      <c r="L862" s="30"/>
      <c r="M862" s="30"/>
    </row>
    <row r="863" spans="1:13">
      <c r="A863" s="31"/>
      <c r="B863" s="31"/>
      <c r="C863" s="31"/>
      <c r="D863" s="32"/>
      <c r="E863" s="30"/>
      <c r="F863" s="30"/>
      <c r="G863" s="30"/>
      <c r="H863" s="30"/>
      <c r="I863" s="30"/>
      <c r="J863" s="30"/>
      <c r="K863" s="30"/>
      <c r="L863" s="30"/>
      <c r="M863" s="30"/>
    </row>
    <row r="864" spans="1:13">
      <c r="A864" s="31"/>
      <c r="B864" s="31"/>
      <c r="C864" s="31"/>
      <c r="D864" s="32"/>
      <c r="E864" s="30"/>
      <c r="F864" s="30"/>
      <c r="G864" s="30"/>
      <c r="H864" s="30"/>
      <c r="I864" s="30"/>
      <c r="J864" s="30"/>
      <c r="K864" s="30"/>
      <c r="L864" s="30"/>
      <c r="M864" s="30"/>
    </row>
    <row r="865" spans="1:13">
      <c r="A865" s="31"/>
      <c r="B865" s="31"/>
      <c r="C865" s="31"/>
      <c r="D865" s="32"/>
      <c r="E865" s="30"/>
      <c r="F865" s="30"/>
      <c r="G865" s="30"/>
      <c r="H865" s="30"/>
      <c r="I865" s="30"/>
      <c r="J865" s="30"/>
      <c r="K865" s="30"/>
      <c r="L865" s="30"/>
      <c r="M865" s="30"/>
    </row>
    <row r="866" spans="1:13">
      <c r="A866" s="31"/>
      <c r="B866" s="31"/>
      <c r="C866" s="31"/>
      <c r="D866" s="32"/>
      <c r="E866" s="30"/>
      <c r="F866" s="30"/>
      <c r="G866" s="30"/>
      <c r="H866" s="30"/>
      <c r="I866" s="30"/>
      <c r="J866" s="30"/>
      <c r="K866" s="30"/>
      <c r="L866" s="30"/>
      <c r="M866" s="30"/>
    </row>
    <row r="867" spans="1:13">
      <c r="A867" s="31"/>
      <c r="B867" s="31"/>
      <c r="C867" s="31"/>
      <c r="D867" s="32"/>
      <c r="E867" s="30"/>
      <c r="F867" s="30"/>
      <c r="G867" s="30"/>
      <c r="H867" s="30"/>
      <c r="I867" s="30"/>
      <c r="J867" s="30"/>
      <c r="K867" s="30"/>
      <c r="L867" s="30"/>
      <c r="M867" s="30"/>
    </row>
    <row r="868" spans="1:13">
      <c r="A868" s="31"/>
      <c r="B868" s="31"/>
      <c r="C868" s="31"/>
      <c r="D868" s="32"/>
      <c r="E868" s="30"/>
      <c r="F868" s="30"/>
      <c r="G868" s="30"/>
      <c r="H868" s="30"/>
      <c r="I868" s="30"/>
      <c r="J868" s="30"/>
      <c r="K868" s="30"/>
      <c r="L868" s="30"/>
      <c r="M868" s="30"/>
    </row>
    <row r="869" spans="1:13">
      <c r="A869" s="31"/>
      <c r="B869" s="31"/>
      <c r="C869" s="31"/>
      <c r="D869" s="32"/>
      <c r="E869" s="30"/>
      <c r="F869" s="30"/>
      <c r="G869" s="30"/>
      <c r="H869" s="30"/>
      <c r="I869" s="30"/>
      <c r="J869" s="30"/>
      <c r="K869" s="30"/>
      <c r="L869" s="30"/>
      <c r="M869" s="30"/>
    </row>
    <row r="870" spans="1:13">
      <c r="A870" s="31"/>
      <c r="B870" s="31"/>
      <c r="C870" s="31"/>
      <c r="D870" s="32"/>
      <c r="E870" s="30"/>
      <c r="F870" s="30"/>
      <c r="G870" s="30"/>
      <c r="H870" s="30"/>
      <c r="I870" s="30"/>
      <c r="J870" s="30"/>
      <c r="K870" s="30"/>
      <c r="L870" s="30"/>
      <c r="M870" s="30"/>
    </row>
    <row r="871" spans="1:13">
      <c r="A871" s="31"/>
      <c r="B871" s="31"/>
      <c r="C871" s="31"/>
      <c r="D871" s="32"/>
      <c r="E871" s="30"/>
      <c r="F871" s="30"/>
      <c r="G871" s="30"/>
      <c r="H871" s="30"/>
      <c r="I871" s="30"/>
      <c r="J871" s="30"/>
      <c r="K871" s="30"/>
      <c r="L871" s="30"/>
      <c r="M871" s="30"/>
    </row>
    <row r="872" spans="1:13">
      <c r="A872" s="31"/>
      <c r="B872" s="31"/>
      <c r="C872" s="31"/>
      <c r="D872" s="32"/>
      <c r="E872" s="30"/>
      <c r="F872" s="30"/>
      <c r="G872" s="30"/>
      <c r="H872" s="30"/>
      <c r="I872" s="30"/>
      <c r="J872" s="30"/>
      <c r="K872" s="30"/>
      <c r="L872" s="30"/>
      <c r="M872" s="30"/>
    </row>
    <row r="873" spans="1:13">
      <c r="A873" s="31"/>
      <c r="B873" s="31"/>
      <c r="C873" s="31"/>
      <c r="D873" s="32"/>
      <c r="E873" s="30"/>
      <c r="F873" s="30"/>
      <c r="G873" s="30"/>
      <c r="H873" s="30"/>
      <c r="I873" s="30"/>
      <c r="J873" s="30"/>
      <c r="K873" s="30"/>
      <c r="L873" s="30"/>
      <c r="M873" s="30"/>
    </row>
    <row r="874" spans="1:13">
      <c r="A874" s="31"/>
      <c r="B874" s="31"/>
      <c r="C874" s="31"/>
      <c r="D874" s="32"/>
      <c r="E874" s="30"/>
      <c r="F874" s="30"/>
      <c r="G874" s="30"/>
      <c r="H874" s="30"/>
      <c r="I874" s="30"/>
      <c r="J874" s="30"/>
      <c r="K874" s="30"/>
      <c r="L874" s="30"/>
      <c r="M874" s="30"/>
    </row>
    <row r="875" spans="1:13">
      <c r="A875" s="31"/>
      <c r="B875" s="31"/>
      <c r="C875" s="31"/>
      <c r="D875" s="32"/>
      <c r="E875" s="30"/>
      <c r="F875" s="30"/>
      <c r="G875" s="30"/>
      <c r="H875" s="30"/>
      <c r="I875" s="30"/>
      <c r="J875" s="30"/>
      <c r="K875" s="30"/>
      <c r="L875" s="30"/>
      <c r="M875" s="30"/>
    </row>
    <row r="876" spans="1:13">
      <c r="A876" s="31"/>
      <c r="B876" s="31"/>
      <c r="C876" s="31"/>
      <c r="D876" s="32"/>
      <c r="E876" s="30"/>
      <c r="F876" s="30"/>
      <c r="G876" s="30"/>
      <c r="H876" s="30"/>
      <c r="I876" s="30"/>
      <c r="J876" s="30"/>
      <c r="K876" s="30"/>
      <c r="L876" s="30"/>
      <c r="M876" s="30"/>
    </row>
    <row r="877" spans="1:13">
      <c r="A877" s="31"/>
      <c r="B877" s="31"/>
      <c r="C877" s="31"/>
      <c r="D877" s="32"/>
      <c r="E877" s="30"/>
      <c r="F877" s="30"/>
      <c r="G877" s="30"/>
      <c r="H877" s="30"/>
      <c r="I877" s="30"/>
      <c r="J877" s="30"/>
      <c r="K877" s="30"/>
      <c r="L877" s="30"/>
      <c r="M877" s="30"/>
    </row>
    <row r="878" spans="1:13">
      <c r="A878" s="31"/>
      <c r="B878" s="31"/>
      <c r="C878" s="31"/>
      <c r="D878" s="32"/>
      <c r="E878" s="30"/>
      <c r="F878" s="30"/>
      <c r="G878" s="30"/>
      <c r="H878" s="30"/>
      <c r="I878" s="30"/>
      <c r="J878" s="30"/>
      <c r="K878" s="30"/>
      <c r="L878" s="30"/>
      <c r="M878" s="30"/>
    </row>
    <row r="879" spans="1:13">
      <c r="A879" s="31"/>
      <c r="B879" s="31"/>
      <c r="C879" s="31"/>
      <c r="D879" s="32"/>
      <c r="E879" s="30"/>
      <c r="F879" s="30"/>
      <c r="G879" s="30"/>
      <c r="H879" s="30"/>
      <c r="I879" s="30"/>
      <c r="J879" s="30"/>
      <c r="K879" s="30"/>
      <c r="L879" s="30"/>
      <c r="M879" s="30"/>
    </row>
    <row r="880" spans="1:13">
      <c r="A880" s="31"/>
      <c r="B880" s="31"/>
      <c r="C880" s="31"/>
      <c r="D880" s="32"/>
      <c r="E880" s="30"/>
      <c r="F880" s="30"/>
      <c r="G880" s="30"/>
      <c r="H880" s="30"/>
      <c r="I880" s="30"/>
      <c r="J880" s="30"/>
      <c r="K880" s="30"/>
      <c r="L880" s="30"/>
      <c r="M880" s="30"/>
    </row>
    <row r="881" spans="1:13">
      <c r="A881" s="31"/>
      <c r="B881" s="31"/>
      <c r="C881" s="31"/>
      <c r="D881" s="32"/>
      <c r="E881" s="30"/>
      <c r="F881" s="30"/>
      <c r="G881" s="30"/>
      <c r="H881" s="30"/>
      <c r="I881" s="30"/>
      <c r="J881" s="30"/>
      <c r="K881" s="30"/>
      <c r="L881" s="30"/>
      <c r="M881" s="30"/>
    </row>
    <row r="882" spans="1:13">
      <c r="A882" s="31"/>
      <c r="B882" s="31"/>
      <c r="C882" s="31"/>
      <c r="D882" s="32"/>
      <c r="E882" s="30"/>
      <c r="F882" s="30"/>
      <c r="G882" s="30"/>
      <c r="H882" s="30"/>
      <c r="I882" s="30"/>
      <c r="J882" s="30"/>
      <c r="K882" s="30"/>
      <c r="L882" s="30"/>
      <c r="M882" s="30"/>
    </row>
    <row r="883" spans="1:13">
      <c r="A883" s="31"/>
      <c r="B883" s="31"/>
      <c r="C883" s="31"/>
      <c r="D883" s="32"/>
      <c r="E883" s="30"/>
      <c r="F883" s="30"/>
      <c r="G883" s="30"/>
      <c r="H883" s="30"/>
      <c r="I883" s="30"/>
      <c r="J883" s="30"/>
      <c r="K883" s="30"/>
      <c r="L883" s="30"/>
      <c r="M883" s="30"/>
    </row>
    <row r="884" spans="1:13">
      <c r="A884" s="31"/>
      <c r="B884" s="31"/>
      <c r="C884" s="31"/>
      <c r="D884" s="32"/>
      <c r="E884" s="30"/>
      <c r="F884" s="30"/>
      <c r="G884" s="30"/>
      <c r="H884" s="30"/>
      <c r="I884" s="30"/>
      <c r="J884" s="30"/>
      <c r="K884" s="30"/>
      <c r="L884" s="30"/>
      <c r="M884" s="30"/>
    </row>
    <row r="885" spans="1:13">
      <c r="A885" s="31"/>
      <c r="B885" s="31"/>
      <c r="C885" s="31"/>
      <c r="D885" s="32"/>
      <c r="E885" s="30"/>
      <c r="F885" s="30"/>
      <c r="G885" s="30"/>
      <c r="H885" s="30"/>
      <c r="I885" s="30"/>
      <c r="J885" s="30"/>
      <c r="K885" s="30"/>
      <c r="L885" s="30"/>
      <c r="M885" s="30"/>
    </row>
    <row r="886" spans="1:13">
      <c r="A886" s="31"/>
      <c r="B886" s="31"/>
      <c r="C886" s="31"/>
      <c r="D886" s="32"/>
      <c r="E886" s="30"/>
      <c r="F886" s="30"/>
      <c r="G886" s="30"/>
      <c r="H886" s="30"/>
      <c r="I886" s="30"/>
      <c r="J886" s="30"/>
      <c r="K886" s="30"/>
      <c r="L886" s="30"/>
      <c r="M886" s="30"/>
    </row>
    <row r="887" spans="1:13">
      <c r="A887" s="31"/>
      <c r="B887" s="31"/>
      <c r="C887" s="31"/>
      <c r="D887" s="32"/>
      <c r="E887" s="30"/>
      <c r="F887" s="30"/>
      <c r="G887" s="30"/>
      <c r="H887" s="30"/>
      <c r="I887" s="30"/>
      <c r="J887" s="30"/>
      <c r="K887" s="30"/>
      <c r="L887" s="30"/>
      <c r="M887" s="30"/>
    </row>
    <row r="888" spans="1:13">
      <c r="A888" s="31"/>
      <c r="B888" s="31"/>
      <c r="C888" s="31"/>
      <c r="D888" s="32"/>
      <c r="E888" s="30"/>
      <c r="F888" s="30"/>
      <c r="G888" s="30"/>
      <c r="H888" s="30"/>
      <c r="I888" s="30"/>
      <c r="J888" s="30"/>
      <c r="K888" s="30"/>
      <c r="L888" s="30"/>
      <c r="M888" s="30"/>
    </row>
    <row r="889" spans="1:13">
      <c r="A889" s="31"/>
      <c r="B889" s="31"/>
      <c r="C889" s="31"/>
      <c r="D889" s="32"/>
      <c r="E889" s="30"/>
      <c r="F889" s="30"/>
      <c r="G889" s="30"/>
      <c r="H889" s="30"/>
      <c r="I889" s="30"/>
      <c r="J889" s="30"/>
      <c r="K889" s="30"/>
      <c r="L889" s="30"/>
      <c r="M889" s="30"/>
    </row>
    <row r="890" spans="1:13">
      <c r="A890" s="31"/>
      <c r="B890" s="31"/>
      <c r="C890" s="31"/>
      <c r="D890" s="32"/>
      <c r="E890" s="30"/>
      <c r="F890" s="30"/>
      <c r="G890" s="30"/>
      <c r="H890" s="30"/>
      <c r="I890" s="30"/>
      <c r="J890" s="30"/>
      <c r="K890" s="30"/>
      <c r="L890" s="30"/>
      <c r="M890" s="30"/>
    </row>
    <row r="891" spans="1:13">
      <c r="A891" s="31"/>
      <c r="B891" s="31"/>
      <c r="C891" s="31"/>
      <c r="D891" s="32"/>
      <c r="E891" s="30"/>
      <c r="F891" s="30"/>
      <c r="G891" s="30"/>
      <c r="H891" s="30"/>
      <c r="I891" s="30"/>
      <c r="J891" s="30"/>
      <c r="K891" s="30"/>
      <c r="L891" s="30"/>
      <c r="M891" s="30"/>
    </row>
    <row r="892" spans="1:13">
      <c r="A892" s="31"/>
      <c r="B892" s="31"/>
      <c r="C892" s="31"/>
      <c r="D892" s="32"/>
      <c r="E892" s="30"/>
      <c r="F892" s="30"/>
      <c r="G892" s="30"/>
      <c r="H892" s="30"/>
      <c r="I892" s="30"/>
      <c r="J892" s="30"/>
      <c r="K892" s="30"/>
      <c r="L892" s="30"/>
      <c r="M892" s="30"/>
    </row>
    <row r="893" spans="1:13">
      <c r="A893" s="31"/>
      <c r="B893" s="31"/>
      <c r="C893" s="31"/>
      <c r="D893" s="32"/>
      <c r="E893" s="30"/>
      <c r="F893" s="30"/>
      <c r="G893" s="30"/>
      <c r="H893" s="30"/>
      <c r="I893" s="30"/>
      <c r="J893" s="30"/>
      <c r="K893" s="30"/>
      <c r="L893" s="30"/>
      <c r="M893" s="30"/>
    </row>
    <row r="894" spans="1:13">
      <c r="A894" s="31"/>
      <c r="B894" s="31"/>
      <c r="C894" s="31"/>
      <c r="D894" s="32"/>
      <c r="E894" s="30"/>
      <c r="F894" s="30"/>
      <c r="G894" s="30"/>
      <c r="H894" s="30"/>
      <c r="I894" s="30"/>
      <c r="J894" s="30"/>
      <c r="K894" s="30"/>
      <c r="L894" s="30"/>
      <c r="M894" s="30"/>
    </row>
    <row r="895" spans="1:13">
      <c r="A895" s="31"/>
      <c r="B895" s="31"/>
      <c r="C895" s="31"/>
      <c r="D895" s="32"/>
      <c r="E895" s="30"/>
      <c r="F895" s="30"/>
      <c r="G895" s="30"/>
      <c r="H895" s="30"/>
      <c r="I895" s="30"/>
      <c r="J895" s="30"/>
      <c r="K895" s="30"/>
      <c r="L895" s="30"/>
      <c r="M895" s="30"/>
    </row>
    <row r="896" spans="1:13">
      <c r="A896" s="31"/>
      <c r="B896" s="31"/>
      <c r="C896" s="31"/>
      <c r="D896" s="32"/>
      <c r="E896" s="30"/>
      <c r="F896" s="30"/>
      <c r="G896" s="30"/>
      <c r="H896" s="30"/>
      <c r="I896" s="30"/>
      <c r="J896" s="30"/>
      <c r="K896" s="30"/>
      <c r="L896" s="30"/>
      <c r="M896" s="30"/>
    </row>
    <row r="897" spans="1:13">
      <c r="A897" s="31"/>
      <c r="B897" s="31"/>
      <c r="C897" s="31"/>
      <c r="D897" s="32"/>
      <c r="E897" s="30"/>
      <c r="F897" s="30"/>
      <c r="G897" s="30"/>
      <c r="H897" s="30"/>
      <c r="I897" s="30"/>
      <c r="J897" s="30"/>
      <c r="K897" s="30"/>
      <c r="L897" s="30"/>
      <c r="M897" s="30"/>
    </row>
    <row r="898" spans="1:13">
      <c r="A898" s="31"/>
      <c r="B898" s="31"/>
      <c r="C898" s="31"/>
      <c r="D898" s="32"/>
      <c r="E898" s="30"/>
      <c r="F898" s="30"/>
      <c r="G898" s="30"/>
      <c r="H898" s="30"/>
      <c r="I898" s="30"/>
      <c r="J898" s="30"/>
      <c r="K898" s="30"/>
      <c r="L898" s="30"/>
      <c r="M898" s="30"/>
    </row>
    <row r="899" spans="1:13">
      <c r="A899" s="31"/>
      <c r="B899" s="31"/>
      <c r="C899" s="31"/>
      <c r="D899" s="32"/>
      <c r="E899" s="30"/>
      <c r="F899" s="30"/>
      <c r="G899" s="30"/>
      <c r="H899" s="30"/>
      <c r="I899" s="30"/>
      <c r="J899" s="30"/>
      <c r="K899" s="30"/>
      <c r="L899" s="30"/>
      <c r="M899" s="30"/>
    </row>
    <row r="900" spans="1:13">
      <c r="A900" s="31"/>
      <c r="B900" s="31"/>
      <c r="C900" s="31"/>
      <c r="D900" s="32"/>
      <c r="E900" s="30"/>
      <c r="F900" s="30"/>
      <c r="G900" s="30"/>
      <c r="H900" s="30"/>
      <c r="I900" s="30"/>
      <c r="J900" s="30"/>
      <c r="K900" s="30"/>
      <c r="L900" s="30"/>
      <c r="M900" s="30"/>
    </row>
    <row r="901" spans="1:13">
      <c r="A901" s="31"/>
      <c r="B901" s="31"/>
      <c r="C901" s="31"/>
      <c r="D901" s="32"/>
      <c r="E901" s="30"/>
      <c r="F901" s="30"/>
      <c r="G901" s="30"/>
      <c r="H901" s="30"/>
      <c r="I901" s="30"/>
      <c r="J901" s="30"/>
      <c r="K901" s="30"/>
      <c r="L901" s="30"/>
      <c r="M901" s="30"/>
    </row>
    <row r="902" spans="1:13">
      <c r="A902" s="31"/>
      <c r="B902" s="31"/>
      <c r="C902" s="31"/>
      <c r="D902" s="32"/>
      <c r="E902" s="30"/>
      <c r="F902" s="30"/>
      <c r="G902" s="30"/>
      <c r="H902" s="30"/>
      <c r="I902" s="30"/>
      <c r="J902" s="30"/>
      <c r="K902" s="30"/>
      <c r="L902" s="30"/>
      <c r="M902" s="30"/>
    </row>
    <row r="903" spans="1:13">
      <c r="A903" s="31"/>
      <c r="B903" s="31"/>
      <c r="C903" s="31"/>
      <c r="D903" s="32"/>
      <c r="E903" s="30"/>
      <c r="F903" s="30"/>
      <c r="G903" s="30"/>
      <c r="H903" s="30"/>
      <c r="I903" s="30"/>
      <c r="J903" s="30"/>
      <c r="K903" s="30"/>
      <c r="L903" s="30"/>
      <c r="M903" s="30"/>
    </row>
    <row r="904" spans="1:13">
      <c r="A904" s="31"/>
      <c r="B904" s="31"/>
      <c r="C904" s="31"/>
      <c r="D904" s="32"/>
      <c r="E904" s="30"/>
      <c r="F904" s="30"/>
      <c r="G904" s="30"/>
      <c r="H904" s="30"/>
      <c r="I904" s="30"/>
      <c r="J904" s="30"/>
      <c r="K904" s="30"/>
      <c r="L904" s="30"/>
      <c r="M904" s="30"/>
    </row>
    <row r="905" spans="1:13">
      <c r="A905" s="31"/>
      <c r="B905" s="31"/>
      <c r="C905" s="31"/>
      <c r="D905" s="32"/>
      <c r="E905" s="30"/>
      <c r="F905" s="30"/>
      <c r="G905" s="30"/>
      <c r="H905" s="30"/>
      <c r="I905" s="30"/>
      <c r="J905" s="30"/>
      <c r="K905" s="30"/>
      <c r="L905" s="30"/>
      <c r="M905" s="30"/>
    </row>
    <row r="906" spans="1:13">
      <c r="A906" s="31"/>
      <c r="B906" s="31"/>
      <c r="C906" s="31"/>
      <c r="D906" s="32"/>
      <c r="E906" s="30"/>
      <c r="F906" s="30"/>
      <c r="G906" s="30"/>
      <c r="H906" s="30"/>
      <c r="I906" s="30"/>
      <c r="J906" s="30"/>
      <c r="K906" s="30"/>
      <c r="L906" s="30"/>
      <c r="M906" s="30"/>
    </row>
    <row r="907" spans="1:13">
      <c r="A907" s="31"/>
      <c r="B907" s="31"/>
      <c r="C907" s="31"/>
      <c r="D907" s="32"/>
      <c r="E907" s="30"/>
      <c r="F907" s="30"/>
      <c r="G907" s="30"/>
      <c r="H907" s="30"/>
      <c r="I907" s="30"/>
      <c r="J907" s="30"/>
      <c r="K907" s="30"/>
      <c r="L907" s="30"/>
      <c r="M907" s="30"/>
    </row>
    <row r="908" spans="1:13">
      <c r="A908" s="31"/>
      <c r="B908" s="31"/>
      <c r="C908" s="31"/>
      <c r="D908" s="32"/>
      <c r="E908" s="30"/>
      <c r="F908" s="30"/>
      <c r="G908" s="30"/>
      <c r="H908" s="30"/>
      <c r="I908" s="30"/>
      <c r="J908" s="30"/>
      <c r="K908" s="30"/>
      <c r="L908" s="30"/>
      <c r="M908" s="30"/>
    </row>
    <row r="909" spans="1:13">
      <c r="A909" s="31"/>
      <c r="B909" s="31"/>
      <c r="C909" s="31"/>
      <c r="D909" s="32"/>
      <c r="E909" s="30"/>
      <c r="F909" s="30"/>
      <c r="G909" s="30"/>
      <c r="H909" s="30"/>
      <c r="I909" s="30"/>
      <c r="J909" s="30"/>
      <c r="K909" s="30"/>
      <c r="L909" s="30"/>
      <c r="M909" s="30"/>
    </row>
    <row r="910" spans="1:13">
      <c r="A910" s="31"/>
      <c r="B910" s="31"/>
      <c r="C910" s="31"/>
      <c r="D910" s="32"/>
      <c r="E910" s="30"/>
      <c r="F910" s="30"/>
      <c r="G910" s="30"/>
      <c r="H910" s="30"/>
      <c r="I910" s="30"/>
      <c r="J910" s="30"/>
      <c r="K910" s="30"/>
      <c r="L910" s="30"/>
      <c r="M910" s="30"/>
    </row>
    <row r="911" spans="1:13">
      <c r="A911" s="31"/>
      <c r="B911" s="31"/>
      <c r="C911" s="31"/>
      <c r="D911" s="32"/>
      <c r="E911" s="30"/>
      <c r="F911" s="30"/>
      <c r="G911" s="30"/>
      <c r="H911" s="30"/>
      <c r="I911" s="30"/>
      <c r="J911" s="30"/>
      <c r="K911" s="30"/>
      <c r="L911" s="30"/>
      <c r="M911" s="30"/>
    </row>
    <row r="912" spans="1:13">
      <c r="A912" s="31"/>
      <c r="B912" s="31"/>
      <c r="C912" s="31"/>
      <c r="D912" s="32"/>
      <c r="E912" s="30"/>
      <c r="F912" s="30"/>
      <c r="G912" s="30"/>
      <c r="H912" s="30"/>
      <c r="I912" s="30"/>
      <c r="J912" s="30"/>
      <c r="K912" s="30"/>
      <c r="L912" s="30"/>
      <c r="M912" s="30"/>
    </row>
    <row r="913" spans="1:13">
      <c r="A913" s="31"/>
      <c r="B913" s="31"/>
      <c r="C913" s="31"/>
      <c r="D913" s="32"/>
      <c r="E913" s="30"/>
      <c r="F913" s="30"/>
      <c r="G913" s="30"/>
      <c r="H913" s="30"/>
      <c r="I913" s="30"/>
      <c r="J913" s="30"/>
      <c r="K913" s="30"/>
      <c r="L913" s="30"/>
      <c r="M913" s="30"/>
    </row>
    <row r="914" spans="1:13">
      <c r="A914" s="31"/>
      <c r="B914" s="31"/>
      <c r="C914" s="31"/>
      <c r="D914" s="32"/>
      <c r="E914" s="30"/>
      <c r="F914" s="30"/>
      <c r="G914" s="30"/>
      <c r="H914" s="30"/>
      <c r="I914" s="30"/>
      <c r="J914" s="30"/>
      <c r="K914" s="30"/>
      <c r="L914" s="30"/>
      <c r="M914" s="30"/>
    </row>
    <row r="915" spans="1:13">
      <c r="A915" s="31"/>
      <c r="B915" s="31"/>
      <c r="C915" s="31"/>
      <c r="D915" s="32"/>
      <c r="E915" s="30"/>
      <c r="F915" s="30"/>
      <c r="G915" s="30"/>
      <c r="H915" s="30"/>
      <c r="I915" s="30"/>
      <c r="J915" s="30"/>
      <c r="K915" s="30"/>
      <c r="L915" s="30"/>
      <c r="M915" s="30"/>
    </row>
    <row r="916" spans="1:13">
      <c r="A916" s="31"/>
      <c r="B916" s="31"/>
      <c r="C916" s="31"/>
      <c r="D916" s="32"/>
      <c r="E916" s="30"/>
      <c r="F916" s="30"/>
      <c r="G916" s="30"/>
      <c r="H916" s="30"/>
      <c r="I916" s="30"/>
      <c r="J916" s="30"/>
      <c r="K916" s="30"/>
      <c r="L916" s="30"/>
      <c r="M916" s="30"/>
    </row>
    <row r="917" spans="1:13">
      <c r="A917" s="31"/>
      <c r="B917" s="31"/>
      <c r="C917" s="31"/>
      <c r="D917" s="32"/>
      <c r="E917" s="30"/>
      <c r="F917" s="30"/>
      <c r="G917" s="30"/>
      <c r="H917" s="30"/>
      <c r="I917" s="30"/>
      <c r="J917" s="30"/>
      <c r="K917" s="30"/>
      <c r="L917" s="30"/>
      <c r="M917" s="30"/>
    </row>
    <row r="918" spans="1:13">
      <c r="A918" s="31"/>
      <c r="B918" s="31"/>
      <c r="C918" s="31"/>
      <c r="D918" s="32"/>
      <c r="E918" s="30"/>
      <c r="F918" s="30"/>
      <c r="G918" s="30"/>
      <c r="H918" s="30"/>
      <c r="I918" s="30"/>
      <c r="J918" s="30"/>
      <c r="K918" s="30"/>
      <c r="L918" s="30"/>
      <c r="M918" s="30"/>
    </row>
    <row r="919" spans="1:13">
      <c r="A919" s="31"/>
      <c r="B919" s="31"/>
      <c r="C919" s="31"/>
      <c r="D919" s="32"/>
      <c r="E919" s="30"/>
      <c r="F919" s="30"/>
      <c r="G919" s="30"/>
      <c r="H919" s="30"/>
      <c r="I919" s="30"/>
      <c r="J919" s="30"/>
      <c r="K919" s="30"/>
      <c r="L919" s="30"/>
      <c r="M919" s="30"/>
    </row>
    <row r="920" spans="1:13">
      <c r="A920" s="31"/>
      <c r="B920" s="31"/>
      <c r="C920" s="31"/>
      <c r="D920" s="32"/>
      <c r="E920" s="30"/>
      <c r="F920" s="30"/>
      <c r="G920" s="30"/>
      <c r="H920" s="30"/>
      <c r="I920" s="30"/>
      <c r="J920" s="30"/>
      <c r="K920" s="30"/>
      <c r="L920" s="30"/>
      <c r="M920" s="30"/>
    </row>
    <row r="921" spans="1:13">
      <c r="A921" s="31"/>
      <c r="B921" s="31"/>
      <c r="C921" s="31"/>
      <c r="D921" s="32"/>
      <c r="E921" s="30"/>
      <c r="F921" s="30"/>
      <c r="G921" s="30"/>
      <c r="H921" s="30"/>
      <c r="I921" s="30"/>
      <c r="J921" s="30"/>
      <c r="K921" s="30"/>
      <c r="L921" s="30"/>
      <c r="M921" s="30"/>
    </row>
    <row r="922" spans="1:13">
      <c r="A922" s="31"/>
      <c r="B922" s="31"/>
      <c r="C922" s="31"/>
      <c r="D922" s="32"/>
      <c r="E922" s="30"/>
      <c r="F922" s="30"/>
      <c r="G922" s="30"/>
      <c r="H922" s="30"/>
      <c r="I922" s="30"/>
      <c r="J922" s="30"/>
      <c r="K922" s="30"/>
      <c r="L922" s="30"/>
      <c r="M922" s="30"/>
    </row>
    <row r="923" spans="1:13">
      <c r="A923" s="31"/>
      <c r="B923" s="31"/>
      <c r="C923" s="31"/>
      <c r="D923" s="32"/>
      <c r="E923" s="30"/>
      <c r="F923" s="30"/>
      <c r="G923" s="30"/>
      <c r="H923" s="30"/>
      <c r="I923" s="30"/>
      <c r="J923" s="30"/>
      <c r="K923" s="30"/>
      <c r="L923" s="30"/>
      <c r="M923" s="30"/>
    </row>
    <row r="924" spans="1:13">
      <c r="A924" s="31"/>
      <c r="B924" s="31"/>
      <c r="C924" s="31"/>
      <c r="D924" s="32"/>
      <c r="E924" s="30"/>
      <c r="F924" s="30"/>
      <c r="G924" s="30"/>
      <c r="H924" s="30"/>
      <c r="I924" s="30"/>
      <c r="J924" s="30"/>
      <c r="K924" s="30"/>
      <c r="L924" s="30"/>
      <c r="M924" s="30"/>
    </row>
    <row r="925" spans="1:13">
      <c r="A925" s="31"/>
      <c r="B925" s="31"/>
      <c r="C925" s="31"/>
      <c r="D925" s="32"/>
      <c r="E925" s="30"/>
      <c r="F925" s="30"/>
      <c r="G925" s="30"/>
      <c r="H925" s="30"/>
      <c r="I925" s="30"/>
      <c r="J925" s="30"/>
      <c r="K925" s="30"/>
      <c r="L925" s="30"/>
      <c r="M925" s="30"/>
    </row>
    <row r="926" spans="1:13">
      <c r="A926" s="31"/>
      <c r="B926" s="31"/>
      <c r="C926" s="31"/>
      <c r="D926" s="32"/>
      <c r="E926" s="30"/>
      <c r="F926" s="30"/>
      <c r="G926" s="30"/>
      <c r="H926" s="30"/>
      <c r="I926" s="30"/>
      <c r="J926" s="30"/>
      <c r="K926" s="30"/>
      <c r="L926" s="30"/>
      <c r="M926" s="30"/>
    </row>
    <row r="927" spans="1:13">
      <c r="A927" s="31"/>
      <c r="B927" s="31"/>
      <c r="C927" s="31"/>
      <c r="D927" s="32"/>
      <c r="E927" s="30"/>
      <c r="F927" s="30"/>
      <c r="G927" s="30"/>
      <c r="H927" s="30"/>
      <c r="I927" s="30"/>
      <c r="J927" s="30"/>
      <c r="K927" s="30"/>
      <c r="L927" s="30"/>
      <c r="M927" s="30"/>
    </row>
    <row r="928" spans="1:13">
      <c r="A928" s="31"/>
      <c r="B928" s="31"/>
      <c r="C928" s="31"/>
      <c r="D928" s="32"/>
      <c r="E928" s="30"/>
      <c r="F928" s="30"/>
      <c r="G928" s="30"/>
      <c r="H928" s="30"/>
      <c r="I928" s="30"/>
      <c r="J928" s="30"/>
      <c r="K928" s="30"/>
      <c r="L928" s="30"/>
      <c r="M928" s="30"/>
    </row>
    <row r="929" spans="1:13">
      <c r="A929" s="31"/>
      <c r="B929" s="31"/>
      <c r="C929" s="31"/>
      <c r="D929" s="32"/>
      <c r="E929" s="30"/>
      <c r="F929" s="30"/>
      <c r="G929" s="30"/>
      <c r="H929" s="30"/>
      <c r="I929" s="30"/>
      <c r="J929" s="30"/>
      <c r="K929" s="30"/>
      <c r="L929" s="30"/>
      <c r="M929" s="30"/>
    </row>
    <row r="930" spans="1:13">
      <c r="A930" s="31"/>
      <c r="B930" s="31"/>
      <c r="C930" s="31"/>
      <c r="D930" s="32"/>
      <c r="E930" s="30"/>
      <c r="F930" s="30"/>
      <c r="G930" s="30"/>
      <c r="H930" s="30"/>
      <c r="I930" s="30"/>
      <c r="J930" s="30"/>
      <c r="K930" s="30"/>
      <c r="L930" s="30"/>
      <c r="M930" s="30"/>
    </row>
    <row r="931" spans="1:13">
      <c r="A931" s="31"/>
      <c r="B931" s="31"/>
      <c r="C931" s="31"/>
      <c r="D931" s="32"/>
      <c r="E931" s="30"/>
      <c r="F931" s="30"/>
      <c r="G931" s="30"/>
      <c r="H931" s="30"/>
      <c r="I931" s="30"/>
      <c r="J931" s="30"/>
      <c r="K931" s="30"/>
      <c r="L931" s="30"/>
      <c r="M931" s="30"/>
    </row>
    <row r="932" spans="1:13">
      <c r="A932" s="31"/>
      <c r="B932" s="31"/>
      <c r="C932" s="31"/>
      <c r="D932" s="32"/>
      <c r="E932" s="30"/>
      <c r="F932" s="30"/>
      <c r="G932" s="30"/>
      <c r="H932" s="30"/>
      <c r="I932" s="30"/>
      <c r="J932" s="30"/>
      <c r="K932" s="30"/>
      <c r="L932" s="30"/>
      <c r="M932" s="30"/>
    </row>
    <row r="933" spans="1:13">
      <c r="A933" s="31"/>
      <c r="B933" s="31"/>
      <c r="C933" s="31"/>
      <c r="D933" s="32"/>
      <c r="E933" s="30"/>
      <c r="F933" s="30"/>
      <c r="G933" s="30"/>
      <c r="H933" s="30"/>
      <c r="I933" s="30"/>
      <c r="J933" s="30"/>
      <c r="K933" s="30"/>
      <c r="L933" s="30"/>
      <c r="M933" s="30"/>
    </row>
    <row r="934" spans="1:13">
      <c r="A934" s="31"/>
      <c r="B934" s="31"/>
      <c r="C934" s="31"/>
      <c r="D934" s="32"/>
      <c r="E934" s="30"/>
      <c r="F934" s="30"/>
      <c r="G934" s="30"/>
      <c r="H934" s="30"/>
      <c r="I934" s="30"/>
      <c r="J934" s="30"/>
      <c r="K934" s="30"/>
      <c r="L934" s="30"/>
      <c r="M934" s="30"/>
    </row>
    <row r="935" spans="1:13">
      <c r="A935" s="31"/>
      <c r="B935" s="31"/>
      <c r="C935" s="31"/>
      <c r="D935" s="32"/>
      <c r="E935" s="30"/>
      <c r="F935" s="30"/>
      <c r="G935" s="30"/>
      <c r="H935" s="30"/>
      <c r="I935" s="30"/>
      <c r="J935" s="30"/>
      <c r="K935" s="30"/>
      <c r="L935" s="30"/>
      <c r="M935" s="30"/>
    </row>
    <row r="936" spans="1:13">
      <c r="A936" s="31"/>
      <c r="B936" s="31"/>
      <c r="C936" s="31"/>
      <c r="D936" s="32"/>
      <c r="E936" s="30"/>
      <c r="F936" s="30"/>
      <c r="G936" s="30"/>
      <c r="H936" s="30"/>
      <c r="I936" s="30"/>
      <c r="J936" s="30"/>
      <c r="K936" s="30"/>
      <c r="L936" s="30"/>
      <c r="M936" s="30"/>
    </row>
    <row r="937" spans="1:13">
      <c r="A937" s="31"/>
      <c r="B937" s="31"/>
      <c r="C937" s="31"/>
      <c r="D937" s="32"/>
      <c r="E937" s="30"/>
      <c r="F937" s="30"/>
      <c r="G937" s="30"/>
      <c r="H937" s="30"/>
      <c r="I937" s="30"/>
      <c r="J937" s="30"/>
      <c r="K937" s="30"/>
      <c r="L937" s="30"/>
      <c r="M937" s="30"/>
    </row>
    <row r="938" spans="1:13">
      <c r="A938" s="31"/>
      <c r="B938" s="31"/>
      <c r="C938" s="31"/>
      <c r="D938" s="32"/>
      <c r="E938" s="30"/>
      <c r="F938" s="30"/>
      <c r="G938" s="30"/>
      <c r="H938" s="30"/>
      <c r="I938" s="30"/>
      <c r="J938" s="30"/>
      <c r="K938" s="30"/>
      <c r="L938" s="30"/>
      <c r="M938" s="30"/>
    </row>
    <row r="939" spans="1:13">
      <c r="A939" s="31"/>
      <c r="B939" s="31"/>
      <c r="C939" s="31"/>
      <c r="D939" s="32"/>
      <c r="E939" s="30"/>
      <c r="F939" s="30"/>
      <c r="G939" s="30"/>
      <c r="H939" s="30"/>
      <c r="I939" s="30"/>
      <c r="J939" s="30"/>
      <c r="K939" s="30"/>
      <c r="L939" s="30"/>
      <c r="M939" s="30"/>
    </row>
    <row r="940" spans="1:13">
      <c r="A940" s="31"/>
      <c r="B940" s="31"/>
      <c r="C940" s="31"/>
      <c r="D940" s="32"/>
      <c r="E940" s="30"/>
      <c r="F940" s="30"/>
      <c r="G940" s="30"/>
      <c r="H940" s="30"/>
      <c r="I940" s="30"/>
      <c r="J940" s="30"/>
      <c r="K940" s="30"/>
      <c r="L940" s="30"/>
      <c r="M940" s="30"/>
    </row>
    <row r="941" spans="1:13">
      <c r="A941" s="31"/>
      <c r="B941" s="31"/>
      <c r="C941" s="31"/>
      <c r="D941" s="32"/>
      <c r="E941" s="30"/>
      <c r="F941" s="30"/>
      <c r="G941" s="30"/>
      <c r="H941" s="30"/>
      <c r="I941" s="30"/>
      <c r="J941" s="30"/>
      <c r="K941" s="30"/>
      <c r="L941" s="30"/>
      <c r="M941" s="30"/>
    </row>
    <row r="942" spans="1:13">
      <c r="A942" s="31"/>
      <c r="B942" s="31"/>
      <c r="C942" s="31"/>
      <c r="D942" s="32"/>
      <c r="E942" s="30"/>
      <c r="F942" s="30"/>
      <c r="G942" s="30"/>
      <c r="H942" s="30"/>
      <c r="I942" s="30"/>
      <c r="J942" s="30"/>
      <c r="K942" s="30"/>
      <c r="L942" s="30"/>
      <c r="M942" s="30"/>
    </row>
    <row r="943" spans="1:13">
      <c r="A943" s="31"/>
      <c r="B943" s="31"/>
      <c r="C943" s="31"/>
      <c r="D943" s="32"/>
      <c r="E943" s="30"/>
      <c r="F943" s="30"/>
      <c r="G943" s="30"/>
      <c r="H943" s="30"/>
      <c r="I943" s="30"/>
      <c r="J943" s="30"/>
      <c r="K943" s="30"/>
      <c r="L943" s="30"/>
      <c r="M943" s="30"/>
    </row>
    <row r="944" spans="1:13">
      <c r="A944" s="31"/>
      <c r="B944" s="31"/>
      <c r="C944" s="31"/>
      <c r="D944" s="32"/>
      <c r="E944" s="30"/>
      <c r="F944" s="30"/>
      <c r="G944" s="30"/>
      <c r="H944" s="30"/>
      <c r="I944" s="30"/>
      <c r="J944" s="30"/>
      <c r="K944" s="30"/>
      <c r="L944" s="30"/>
      <c r="M944" s="30"/>
    </row>
    <row r="945" spans="1:13">
      <c r="A945" s="31"/>
      <c r="B945" s="31"/>
      <c r="C945" s="31"/>
      <c r="D945" s="32"/>
      <c r="E945" s="30"/>
      <c r="F945" s="30"/>
      <c r="G945" s="30"/>
      <c r="H945" s="30"/>
      <c r="I945" s="30"/>
      <c r="J945" s="30"/>
      <c r="K945" s="30"/>
      <c r="L945" s="30"/>
      <c r="M945" s="30"/>
    </row>
    <row r="946" spans="1:13">
      <c r="A946" s="31"/>
      <c r="B946" s="31"/>
      <c r="C946" s="31"/>
      <c r="D946" s="32"/>
      <c r="E946" s="30"/>
      <c r="F946" s="30"/>
      <c r="G946" s="30"/>
      <c r="H946" s="30"/>
      <c r="I946" s="30"/>
      <c r="J946" s="30"/>
      <c r="K946" s="30"/>
      <c r="L946" s="30"/>
      <c r="M946" s="30"/>
    </row>
    <row r="947" spans="1:13">
      <c r="A947" s="31"/>
      <c r="B947" s="31"/>
      <c r="C947" s="31"/>
      <c r="D947" s="32"/>
      <c r="E947" s="30"/>
      <c r="F947" s="30"/>
      <c r="G947" s="30"/>
      <c r="H947" s="30"/>
      <c r="I947" s="30"/>
      <c r="J947" s="30"/>
      <c r="K947" s="30"/>
      <c r="L947" s="30"/>
      <c r="M947" s="30"/>
    </row>
    <row r="948" spans="1:13">
      <c r="A948" s="31"/>
      <c r="B948" s="31"/>
      <c r="C948" s="31"/>
      <c r="D948" s="32"/>
      <c r="E948" s="30"/>
      <c r="F948" s="30"/>
      <c r="G948" s="30"/>
      <c r="H948" s="30"/>
      <c r="I948" s="30"/>
      <c r="J948" s="30"/>
      <c r="K948" s="30"/>
      <c r="L948" s="30"/>
      <c r="M948" s="30"/>
    </row>
    <row r="949" spans="1:13">
      <c r="A949" s="31"/>
      <c r="B949" s="31"/>
      <c r="C949" s="31"/>
      <c r="D949" s="32"/>
      <c r="E949" s="30"/>
      <c r="F949" s="30"/>
      <c r="G949" s="30"/>
      <c r="H949" s="30"/>
      <c r="I949" s="30"/>
      <c r="J949" s="30"/>
      <c r="K949" s="30"/>
      <c r="L949" s="30"/>
      <c r="M949" s="30"/>
    </row>
    <row r="950" spans="1:13">
      <c r="A950" s="31"/>
      <c r="B950" s="31"/>
      <c r="C950" s="31"/>
      <c r="D950" s="32"/>
      <c r="E950" s="30"/>
      <c r="F950" s="30"/>
      <c r="G950" s="30"/>
      <c r="H950" s="30"/>
      <c r="I950" s="30"/>
      <c r="J950" s="30"/>
      <c r="K950" s="30"/>
      <c r="L950" s="30"/>
      <c r="M950" s="30"/>
    </row>
    <row r="951" spans="1:13">
      <c r="A951" s="31"/>
      <c r="B951" s="31"/>
      <c r="C951" s="31"/>
      <c r="D951" s="32"/>
      <c r="E951" s="30"/>
      <c r="F951" s="30"/>
      <c r="G951" s="30"/>
      <c r="H951" s="30"/>
      <c r="I951" s="30"/>
      <c r="J951" s="30"/>
      <c r="K951" s="30"/>
      <c r="L951" s="30"/>
      <c r="M951" s="30"/>
    </row>
    <row r="952" spans="1:13">
      <c r="A952" s="31"/>
      <c r="B952" s="31"/>
      <c r="C952" s="31"/>
      <c r="D952" s="32"/>
      <c r="E952" s="30"/>
      <c r="F952" s="30"/>
      <c r="G952" s="30"/>
      <c r="H952" s="30"/>
      <c r="I952" s="30"/>
      <c r="J952" s="30"/>
      <c r="K952" s="30"/>
      <c r="L952" s="30"/>
      <c r="M952" s="30"/>
    </row>
    <row r="953" spans="1:13">
      <c r="A953" s="31"/>
      <c r="B953" s="31"/>
      <c r="C953" s="31"/>
      <c r="D953" s="32"/>
      <c r="E953" s="30"/>
      <c r="F953" s="30"/>
      <c r="G953" s="30"/>
      <c r="H953" s="30"/>
      <c r="I953" s="30"/>
      <c r="J953" s="30"/>
      <c r="K953" s="30"/>
      <c r="L953" s="30"/>
      <c r="M953" s="30"/>
    </row>
    <row r="954" spans="1:13">
      <c r="A954" s="31"/>
      <c r="B954" s="31"/>
      <c r="C954" s="31"/>
      <c r="D954" s="32"/>
      <c r="E954" s="30"/>
      <c r="F954" s="30"/>
      <c r="G954" s="30"/>
      <c r="H954" s="30"/>
      <c r="I954" s="30"/>
      <c r="J954" s="30"/>
      <c r="K954" s="30"/>
      <c r="L954" s="30"/>
      <c r="M954" s="30"/>
    </row>
    <row r="955" spans="1:13">
      <c r="A955" s="31"/>
      <c r="B955" s="31"/>
      <c r="C955" s="31"/>
      <c r="D955" s="32"/>
      <c r="E955" s="30"/>
      <c r="F955" s="30"/>
      <c r="G955" s="30"/>
      <c r="H955" s="30"/>
      <c r="I955" s="30"/>
      <c r="J955" s="30"/>
      <c r="K955" s="30"/>
      <c r="L955" s="30"/>
      <c r="M955" s="30"/>
    </row>
    <row r="956" spans="1:13">
      <c r="A956" s="31"/>
      <c r="B956" s="31"/>
      <c r="C956" s="31"/>
      <c r="D956" s="32"/>
      <c r="E956" s="30"/>
      <c r="F956" s="30"/>
      <c r="G956" s="30"/>
      <c r="H956" s="30"/>
      <c r="I956" s="30"/>
      <c r="J956" s="30"/>
      <c r="K956" s="30"/>
      <c r="L956" s="30"/>
      <c r="M956" s="30"/>
    </row>
    <row r="957" spans="1:13">
      <c r="A957" s="31"/>
      <c r="B957" s="31"/>
      <c r="C957" s="31"/>
      <c r="D957" s="32"/>
      <c r="E957" s="30"/>
      <c r="F957" s="30"/>
      <c r="G957" s="30"/>
      <c r="H957" s="30"/>
      <c r="I957" s="30"/>
      <c r="J957" s="30"/>
      <c r="K957" s="30"/>
      <c r="L957" s="30"/>
      <c r="M957" s="30"/>
    </row>
    <row r="958" spans="1:13">
      <c r="A958" s="31"/>
      <c r="B958" s="31"/>
      <c r="C958" s="31"/>
      <c r="D958" s="32"/>
      <c r="E958" s="30"/>
      <c r="F958" s="30"/>
      <c r="G958" s="30"/>
      <c r="H958" s="30"/>
      <c r="I958" s="30"/>
      <c r="J958" s="30"/>
      <c r="K958" s="30"/>
      <c r="L958" s="30"/>
      <c r="M958" s="30"/>
    </row>
    <row r="959" spans="1:13">
      <c r="A959" s="31"/>
      <c r="B959" s="31"/>
      <c r="C959" s="31"/>
      <c r="D959" s="32"/>
      <c r="E959" s="30"/>
      <c r="F959" s="30"/>
      <c r="G959" s="30"/>
      <c r="H959" s="30"/>
      <c r="I959" s="30"/>
      <c r="J959" s="30"/>
      <c r="K959" s="30"/>
      <c r="L959" s="30"/>
      <c r="M959" s="30"/>
    </row>
    <row r="960" spans="1:13">
      <c r="A960" s="31"/>
      <c r="B960" s="31"/>
      <c r="C960" s="31"/>
      <c r="D960" s="32"/>
      <c r="E960" s="30"/>
      <c r="F960" s="30"/>
      <c r="G960" s="30"/>
      <c r="H960" s="30"/>
      <c r="I960" s="30"/>
      <c r="J960" s="30"/>
      <c r="K960" s="30"/>
      <c r="L960" s="30"/>
      <c r="M960" s="30"/>
    </row>
    <row r="961" spans="1:13">
      <c r="A961" s="31"/>
      <c r="B961" s="31"/>
      <c r="C961" s="31"/>
      <c r="D961" s="32"/>
      <c r="E961" s="30"/>
      <c r="F961" s="30"/>
      <c r="G961" s="30"/>
      <c r="H961" s="30"/>
      <c r="I961" s="30"/>
      <c r="J961" s="30"/>
      <c r="K961" s="30"/>
      <c r="L961" s="30"/>
      <c r="M961" s="30"/>
    </row>
    <row r="962" spans="1:13">
      <c r="A962" s="31"/>
      <c r="B962" s="31"/>
      <c r="C962" s="31"/>
      <c r="D962" s="32"/>
      <c r="E962" s="30"/>
      <c r="F962" s="30"/>
      <c r="G962" s="30"/>
      <c r="H962" s="30"/>
      <c r="I962" s="30"/>
      <c r="J962" s="30"/>
      <c r="K962" s="30"/>
      <c r="L962" s="30"/>
      <c r="M962" s="30"/>
    </row>
    <row r="963" spans="1:13">
      <c r="A963" s="31"/>
      <c r="B963" s="31"/>
      <c r="C963" s="31"/>
      <c r="D963" s="32"/>
      <c r="E963" s="30"/>
      <c r="F963" s="30"/>
      <c r="G963" s="30"/>
      <c r="H963" s="30"/>
      <c r="I963" s="30"/>
      <c r="J963" s="30"/>
      <c r="K963" s="30"/>
      <c r="L963" s="30"/>
      <c r="M963" s="30"/>
    </row>
    <row r="964" spans="1:13">
      <c r="A964" s="31"/>
      <c r="B964" s="31"/>
      <c r="C964" s="31"/>
      <c r="D964" s="32"/>
      <c r="E964" s="30"/>
      <c r="F964" s="30"/>
      <c r="G964" s="30"/>
      <c r="H964" s="30"/>
      <c r="I964" s="30"/>
      <c r="J964" s="30"/>
      <c r="K964" s="30"/>
      <c r="L964" s="30"/>
      <c r="M964" s="30"/>
    </row>
    <row r="965" spans="1:13">
      <c r="A965" s="31"/>
      <c r="B965" s="31"/>
      <c r="C965" s="31"/>
      <c r="D965" s="32"/>
      <c r="E965" s="30"/>
      <c r="F965" s="30"/>
      <c r="G965" s="30"/>
      <c r="H965" s="30"/>
      <c r="I965" s="30"/>
      <c r="J965" s="30"/>
      <c r="K965" s="30"/>
      <c r="L965" s="30"/>
      <c r="M965" s="30"/>
    </row>
    <row r="966" spans="1:13">
      <c r="A966" s="31"/>
      <c r="B966" s="31"/>
      <c r="C966" s="31"/>
      <c r="D966" s="32"/>
      <c r="E966" s="30"/>
      <c r="F966" s="30"/>
      <c r="G966" s="30"/>
      <c r="H966" s="30"/>
      <c r="I966" s="30"/>
      <c r="J966" s="30"/>
      <c r="K966" s="30"/>
      <c r="L966" s="30"/>
      <c r="M966" s="30"/>
    </row>
    <row r="967" spans="1:13">
      <c r="A967" s="31"/>
      <c r="B967" s="31"/>
      <c r="C967" s="31"/>
      <c r="D967" s="32"/>
      <c r="E967" s="30"/>
      <c r="F967" s="30"/>
      <c r="G967" s="30"/>
      <c r="H967" s="30"/>
      <c r="I967" s="30"/>
      <c r="J967" s="30"/>
      <c r="K967" s="30"/>
      <c r="L967" s="30"/>
      <c r="M967" s="30"/>
    </row>
    <row r="968" spans="1:13">
      <c r="A968" s="31"/>
      <c r="B968" s="31"/>
      <c r="C968" s="31"/>
      <c r="D968" s="32"/>
      <c r="E968" s="30"/>
      <c r="F968" s="30"/>
      <c r="G968" s="30"/>
      <c r="H968" s="30"/>
      <c r="I968" s="30"/>
      <c r="J968" s="30"/>
      <c r="K968" s="30"/>
      <c r="L968" s="30"/>
      <c r="M968" s="30"/>
    </row>
    <row r="969" spans="1:13">
      <c r="A969" s="31"/>
      <c r="B969" s="31"/>
      <c r="C969" s="31"/>
      <c r="D969" s="32"/>
      <c r="E969" s="30"/>
      <c r="F969" s="30"/>
      <c r="G969" s="30"/>
      <c r="H969" s="30"/>
      <c r="I969" s="30"/>
      <c r="J969" s="30"/>
      <c r="K969" s="30"/>
      <c r="L969" s="30"/>
      <c r="M969" s="30"/>
    </row>
    <row r="970" spans="1:13">
      <c r="A970" s="31"/>
      <c r="B970" s="31"/>
      <c r="C970" s="31"/>
      <c r="D970" s="32"/>
      <c r="E970" s="30"/>
      <c r="F970" s="30"/>
      <c r="G970" s="30"/>
      <c r="H970" s="30"/>
      <c r="I970" s="30"/>
      <c r="J970" s="30"/>
      <c r="K970" s="30"/>
      <c r="L970" s="30"/>
      <c r="M970" s="30"/>
    </row>
    <row r="971" spans="1:13">
      <c r="A971" s="31"/>
      <c r="B971" s="31"/>
      <c r="C971" s="31"/>
      <c r="D971" s="32"/>
      <c r="E971" s="30"/>
      <c r="F971" s="30"/>
      <c r="G971" s="30"/>
      <c r="H971" s="30"/>
      <c r="I971" s="30"/>
      <c r="J971" s="30"/>
      <c r="K971" s="30"/>
      <c r="L971" s="30"/>
      <c r="M971" s="30"/>
    </row>
    <row r="972" spans="1:13">
      <c r="A972" s="31"/>
      <c r="B972" s="31"/>
      <c r="C972" s="31"/>
      <c r="D972" s="32"/>
      <c r="E972" s="30"/>
      <c r="F972" s="30"/>
      <c r="G972" s="30"/>
      <c r="H972" s="30"/>
      <c r="I972" s="30"/>
      <c r="J972" s="30"/>
      <c r="K972" s="30"/>
      <c r="L972" s="30"/>
      <c r="M972" s="30"/>
    </row>
    <row r="973" spans="1:13">
      <c r="A973" s="31"/>
      <c r="B973" s="31"/>
      <c r="C973" s="31"/>
      <c r="D973" s="32"/>
      <c r="E973" s="30"/>
      <c r="F973" s="30"/>
      <c r="G973" s="30"/>
      <c r="H973" s="30"/>
      <c r="I973" s="30"/>
      <c r="J973" s="30"/>
      <c r="K973" s="30"/>
      <c r="L973" s="30"/>
      <c r="M973" s="30"/>
    </row>
    <row r="974" spans="1:13">
      <c r="A974" s="31"/>
      <c r="B974" s="31"/>
      <c r="C974" s="31"/>
      <c r="D974" s="32"/>
      <c r="E974" s="30"/>
      <c r="F974" s="30"/>
      <c r="G974" s="30"/>
      <c r="H974" s="30"/>
      <c r="I974" s="30"/>
      <c r="J974" s="30"/>
      <c r="K974" s="30"/>
      <c r="L974" s="30"/>
      <c r="M974" s="30"/>
    </row>
    <row r="975" spans="1:13">
      <c r="A975" s="31"/>
      <c r="B975" s="31"/>
      <c r="C975" s="31"/>
      <c r="D975" s="32"/>
      <c r="E975" s="30"/>
      <c r="F975" s="30"/>
      <c r="G975" s="30"/>
      <c r="H975" s="30"/>
      <c r="I975" s="30"/>
      <c r="J975" s="30"/>
      <c r="K975" s="30"/>
      <c r="L975" s="30"/>
      <c r="M975" s="30"/>
    </row>
    <row r="976" spans="1:13">
      <c r="A976" s="31"/>
      <c r="B976" s="31"/>
      <c r="C976" s="31"/>
      <c r="D976" s="32"/>
      <c r="E976" s="30"/>
      <c r="F976" s="30"/>
      <c r="G976" s="30"/>
      <c r="H976" s="30"/>
      <c r="I976" s="30"/>
      <c r="J976" s="30"/>
      <c r="K976" s="30"/>
      <c r="L976" s="30"/>
      <c r="M976" s="30"/>
    </row>
    <row r="977" spans="1:13">
      <c r="A977" s="31"/>
      <c r="B977" s="31"/>
      <c r="C977" s="31"/>
      <c r="D977" s="32"/>
      <c r="E977" s="30"/>
      <c r="F977" s="30"/>
      <c r="G977" s="30"/>
      <c r="H977" s="30"/>
      <c r="I977" s="30"/>
      <c r="J977" s="30"/>
      <c r="K977" s="30"/>
      <c r="L977" s="30"/>
      <c r="M977" s="30"/>
    </row>
    <row r="978" spans="1:13">
      <c r="A978" s="31"/>
      <c r="B978" s="31"/>
      <c r="C978" s="31"/>
      <c r="D978" s="32"/>
      <c r="E978" s="30"/>
      <c r="F978" s="30"/>
      <c r="G978" s="30"/>
      <c r="H978" s="30"/>
      <c r="I978" s="30"/>
      <c r="J978" s="30"/>
      <c r="K978" s="30"/>
      <c r="L978" s="30"/>
      <c r="M978" s="30"/>
    </row>
    <row r="979" spans="1:13">
      <c r="A979" s="31"/>
      <c r="B979" s="31"/>
      <c r="C979" s="31"/>
      <c r="D979" s="32"/>
      <c r="E979" s="30"/>
      <c r="F979" s="30"/>
      <c r="G979" s="30"/>
      <c r="H979" s="30"/>
      <c r="I979" s="30"/>
      <c r="J979" s="30"/>
      <c r="K979" s="30"/>
      <c r="L979" s="30"/>
      <c r="M979" s="30"/>
    </row>
    <row r="980" spans="1:13">
      <c r="A980" s="31"/>
      <c r="B980" s="31"/>
      <c r="C980" s="31"/>
      <c r="D980" s="32"/>
      <c r="E980" s="30"/>
      <c r="F980" s="30"/>
      <c r="G980" s="30"/>
      <c r="H980" s="30"/>
      <c r="I980" s="30"/>
      <c r="J980" s="30"/>
      <c r="K980" s="30"/>
      <c r="L980" s="30"/>
      <c r="M980" s="30"/>
    </row>
    <row r="981" spans="1:13">
      <c r="A981" s="31"/>
      <c r="B981" s="31"/>
      <c r="C981" s="31"/>
      <c r="D981" s="32"/>
      <c r="E981" s="30"/>
      <c r="F981" s="30"/>
      <c r="G981" s="30"/>
      <c r="H981" s="30"/>
      <c r="I981" s="30"/>
      <c r="J981" s="30"/>
      <c r="K981" s="30"/>
      <c r="L981" s="30"/>
      <c r="M981" s="30"/>
    </row>
    <row r="982" spans="1:13">
      <c r="A982" s="31"/>
      <c r="B982" s="31"/>
      <c r="C982" s="31"/>
      <c r="D982" s="32"/>
      <c r="E982" s="30"/>
      <c r="F982" s="30"/>
      <c r="G982" s="30"/>
      <c r="H982" s="30"/>
      <c r="I982" s="30"/>
      <c r="J982" s="30"/>
      <c r="K982" s="30"/>
      <c r="L982" s="30"/>
      <c r="M982" s="30"/>
    </row>
    <row r="983" spans="1:13">
      <c r="A983" s="31"/>
      <c r="B983" s="31"/>
      <c r="C983" s="31"/>
      <c r="D983" s="32"/>
      <c r="E983" s="30"/>
      <c r="F983" s="30"/>
      <c r="G983" s="30"/>
      <c r="H983" s="30"/>
      <c r="I983" s="30"/>
      <c r="J983" s="30"/>
      <c r="K983" s="30"/>
      <c r="L983" s="30"/>
      <c r="M983" s="30"/>
    </row>
    <row r="984" spans="1:13">
      <c r="A984" s="31"/>
      <c r="B984" s="31"/>
      <c r="C984" s="31"/>
      <c r="D984" s="32"/>
      <c r="E984" s="30"/>
      <c r="F984" s="30"/>
      <c r="G984" s="30"/>
      <c r="H984" s="30"/>
      <c r="I984" s="30"/>
      <c r="J984" s="30"/>
      <c r="K984" s="30"/>
      <c r="L984" s="30"/>
      <c r="M984" s="30"/>
    </row>
    <row r="985" spans="1:13">
      <c r="A985" s="31"/>
      <c r="B985" s="31"/>
      <c r="C985" s="31"/>
      <c r="D985" s="32"/>
      <c r="E985" s="30"/>
      <c r="F985" s="30"/>
      <c r="G985" s="30"/>
      <c r="H985" s="30"/>
      <c r="I985" s="30"/>
      <c r="J985" s="30"/>
      <c r="K985" s="30"/>
      <c r="L985" s="30"/>
      <c r="M985" s="30"/>
    </row>
    <row r="986" spans="1:13">
      <c r="A986" s="31"/>
      <c r="B986" s="31"/>
      <c r="C986" s="31"/>
      <c r="D986" s="32"/>
      <c r="E986" s="30"/>
      <c r="F986" s="30"/>
      <c r="G986" s="30"/>
      <c r="H986" s="30"/>
      <c r="I986" s="30"/>
      <c r="J986" s="30"/>
      <c r="K986" s="30"/>
      <c r="L986" s="30"/>
      <c r="M986" s="30"/>
    </row>
    <row r="987" spans="1:13">
      <c r="A987" s="31"/>
      <c r="B987" s="31"/>
      <c r="C987" s="31"/>
      <c r="D987" s="32"/>
      <c r="E987" s="30"/>
      <c r="F987" s="30"/>
      <c r="G987" s="30"/>
      <c r="H987" s="30"/>
      <c r="I987" s="30"/>
      <c r="J987" s="30"/>
      <c r="K987" s="30"/>
      <c r="L987" s="30"/>
      <c r="M987" s="30"/>
    </row>
    <row r="988" spans="1:13">
      <c r="A988" s="31"/>
      <c r="B988" s="31"/>
      <c r="C988" s="31"/>
      <c r="D988" s="32"/>
      <c r="E988" s="30"/>
      <c r="F988" s="30"/>
      <c r="G988" s="30"/>
      <c r="H988" s="30"/>
      <c r="I988" s="30"/>
      <c r="J988" s="30"/>
      <c r="K988" s="30"/>
      <c r="L988" s="30"/>
      <c r="M988" s="30"/>
    </row>
    <row r="989" spans="1:13">
      <c r="A989" s="31"/>
      <c r="B989" s="31"/>
      <c r="C989" s="31"/>
      <c r="D989" s="32"/>
      <c r="E989" s="30"/>
      <c r="F989" s="30"/>
      <c r="G989" s="30"/>
      <c r="H989" s="30"/>
      <c r="I989" s="30"/>
      <c r="J989" s="30"/>
      <c r="K989" s="30"/>
      <c r="L989" s="30"/>
      <c r="M989" s="30"/>
    </row>
    <row r="990" spans="1:13">
      <c r="A990" s="31"/>
      <c r="B990" s="31"/>
      <c r="C990" s="31"/>
      <c r="D990" s="32"/>
      <c r="E990" s="30"/>
      <c r="F990" s="30"/>
      <c r="G990" s="30"/>
      <c r="H990" s="30"/>
      <c r="I990" s="30"/>
      <c r="J990" s="30"/>
      <c r="K990" s="30"/>
      <c r="L990" s="30"/>
      <c r="M990" s="30"/>
    </row>
    <row r="991" spans="1:13">
      <c r="A991" s="31"/>
      <c r="B991" s="31"/>
      <c r="C991" s="31"/>
      <c r="D991" s="32"/>
      <c r="E991" s="30"/>
      <c r="F991" s="30"/>
      <c r="G991" s="30"/>
      <c r="H991" s="30"/>
      <c r="I991" s="30"/>
      <c r="J991" s="30"/>
      <c r="K991" s="30"/>
      <c r="L991" s="30"/>
      <c r="M991" s="30"/>
    </row>
    <row r="992" spans="1:13">
      <c r="A992" s="31"/>
      <c r="B992" s="31"/>
      <c r="C992" s="31"/>
      <c r="D992" s="32"/>
      <c r="E992" s="30"/>
      <c r="F992" s="30"/>
      <c r="G992" s="30"/>
      <c r="H992" s="30"/>
      <c r="I992" s="30"/>
      <c r="J992" s="30"/>
      <c r="K992" s="30"/>
      <c r="L992" s="30"/>
      <c r="M992" s="30"/>
    </row>
    <row r="993" spans="1:13">
      <c r="A993" s="31"/>
      <c r="B993" s="31"/>
      <c r="C993" s="31"/>
      <c r="D993" s="32"/>
      <c r="E993" s="30"/>
      <c r="F993" s="30"/>
      <c r="G993" s="30"/>
      <c r="H993" s="30"/>
      <c r="I993" s="30"/>
      <c r="J993" s="30"/>
      <c r="K993" s="30"/>
      <c r="L993" s="30"/>
      <c r="M993" s="30"/>
    </row>
    <row r="994" spans="1:13">
      <c r="A994" s="31"/>
      <c r="B994" s="31"/>
      <c r="C994" s="31"/>
      <c r="D994" s="32"/>
      <c r="E994" s="30"/>
      <c r="F994" s="30"/>
      <c r="G994" s="30"/>
      <c r="H994" s="30"/>
      <c r="I994" s="30"/>
      <c r="J994" s="30"/>
      <c r="K994" s="30"/>
      <c r="L994" s="30"/>
      <c r="M994" s="30"/>
    </row>
    <row r="995" spans="1:13">
      <c r="A995" s="31"/>
      <c r="B995" s="31"/>
      <c r="C995" s="31"/>
      <c r="D995" s="32"/>
      <c r="E995" s="30"/>
      <c r="F995" s="30"/>
      <c r="G995" s="30"/>
      <c r="H995" s="30"/>
      <c r="I995" s="30"/>
      <c r="J995" s="30"/>
      <c r="K995" s="30"/>
      <c r="L995" s="30"/>
      <c r="M995" s="30"/>
    </row>
    <row r="996" spans="1:13">
      <c r="A996" s="31"/>
      <c r="B996" s="31"/>
      <c r="C996" s="31"/>
      <c r="D996" s="32"/>
      <c r="E996" s="30"/>
      <c r="F996" s="30"/>
      <c r="G996" s="30"/>
      <c r="H996" s="30"/>
      <c r="I996" s="30"/>
      <c r="J996" s="30"/>
      <c r="K996" s="30"/>
      <c r="L996" s="30"/>
      <c r="M996" s="30"/>
    </row>
    <row r="997" spans="1:13">
      <c r="A997" s="31"/>
      <c r="B997" s="31"/>
      <c r="C997" s="31"/>
      <c r="D997" s="32"/>
      <c r="E997" s="30"/>
      <c r="F997" s="30"/>
      <c r="G997" s="30"/>
      <c r="H997" s="30"/>
      <c r="I997" s="30"/>
      <c r="J997" s="30"/>
      <c r="K997" s="30"/>
      <c r="L997" s="30"/>
      <c r="M997" s="30"/>
    </row>
    <row r="998" spans="1:13">
      <c r="A998" s="31"/>
      <c r="B998" s="31"/>
      <c r="C998" s="31"/>
      <c r="D998" s="32"/>
      <c r="E998" s="30"/>
      <c r="F998" s="30"/>
      <c r="G998" s="30"/>
      <c r="H998" s="30"/>
      <c r="I998" s="30"/>
      <c r="J998" s="30"/>
      <c r="K998" s="30"/>
      <c r="L998" s="30"/>
      <c r="M998" s="30"/>
    </row>
    <row r="999" spans="1:13">
      <c r="A999" s="31"/>
      <c r="B999" s="31"/>
      <c r="C999" s="31"/>
      <c r="D999" s="32"/>
      <c r="E999" s="30"/>
      <c r="F999" s="30"/>
      <c r="G999" s="30"/>
      <c r="H999" s="30"/>
      <c r="I999" s="30"/>
      <c r="J999" s="30"/>
      <c r="K999" s="30"/>
      <c r="L999" s="30"/>
      <c r="M999" s="30"/>
    </row>
    <row r="1000" spans="1:13">
      <c r="A1000" s="31"/>
      <c r="B1000" s="31"/>
      <c r="C1000" s="31"/>
      <c r="D1000" s="32"/>
      <c r="E1000" s="30"/>
      <c r="F1000" s="30"/>
      <c r="G1000" s="30"/>
      <c r="H1000" s="30"/>
      <c r="I1000" s="30"/>
      <c r="J1000" s="30"/>
      <c r="K1000" s="30"/>
      <c r="L1000" s="30"/>
      <c r="M1000" s="30"/>
    </row>
    <row r="1001" spans="1:13">
      <c r="A1001" s="31"/>
      <c r="B1001" s="31"/>
      <c r="C1001" s="31"/>
      <c r="D1001" s="32"/>
      <c r="E1001" s="30"/>
      <c r="F1001" s="30"/>
      <c r="G1001" s="30"/>
      <c r="H1001" s="30"/>
      <c r="I1001" s="30"/>
      <c r="J1001" s="30"/>
      <c r="K1001" s="30"/>
      <c r="L1001" s="30"/>
      <c r="M1001" s="30"/>
    </row>
    <row r="1002" spans="1:13">
      <c r="A1002" s="31"/>
      <c r="B1002" s="31"/>
      <c r="C1002" s="31"/>
      <c r="D1002" s="32"/>
      <c r="E1002" s="30"/>
      <c r="F1002" s="30"/>
      <c r="G1002" s="30"/>
      <c r="H1002" s="30"/>
      <c r="I1002" s="30"/>
      <c r="J1002" s="30"/>
      <c r="K1002" s="30"/>
      <c r="L1002" s="30"/>
      <c r="M1002" s="30"/>
    </row>
    <row r="1003" spans="1:13">
      <c r="A1003" s="31"/>
      <c r="B1003" s="31"/>
      <c r="C1003" s="31"/>
      <c r="D1003" s="32"/>
      <c r="E1003" s="30"/>
      <c r="F1003" s="30"/>
      <c r="G1003" s="30"/>
      <c r="H1003" s="30"/>
      <c r="I1003" s="30"/>
      <c r="J1003" s="30"/>
      <c r="K1003" s="30"/>
      <c r="L1003" s="30"/>
      <c r="M1003" s="30"/>
    </row>
    <row r="1004" spans="1:13">
      <c r="A1004" s="31"/>
      <c r="B1004" s="31"/>
      <c r="C1004" s="31"/>
      <c r="D1004" s="32"/>
      <c r="E1004" s="30"/>
      <c r="F1004" s="30"/>
      <c r="G1004" s="30"/>
      <c r="H1004" s="30"/>
      <c r="I1004" s="30"/>
      <c r="J1004" s="30"/>
      <c r="K1004" s="30"/>
      <c r="L1004" s="30"/>
      <c r="M1004" s="30"/>
    </row>
    <row r="1005" spans="1:13">
      <c r="A1005" s="31"/>
      <c r="B1005" s="31"/>
      <c r="C1005" s="31"/>
      <c r="D1005" s="32"/>
      <c r="E1005" s="30"/>
      <c r="F1005" s="30"/>
      <c r="G1005" s="30"/>
      <c r="H1005" s="30"/>
      <c r="I1005" s="30"/>
      <c r="J1005" s="30"/>
      <c r="K1005" s="30"/>
      <c r="L1005" s="30"/>
      <c r="M1005" s="30"/>
    </row>
    <row r="1006" spans="1:13">
      <c r="A1006" s="31"/>
      <c r="B1006" s="31"/>
      <c r="C1006" s="31"/>
      <c r="D1006" s="32"/>
      <c r="E1006" s="30"/>
      <c r="F1006" s="30"/>
      <c r="G1006" s="30"/>
      <c r="H1006" s="30"/>
      <c r="I1006" s="30"/>
      <c r="J1006" s="30"/>
      <c r="K1006" s="30"/>
      <c r="L1006" s="30"/>
      <c r="M1006" s="30"/>
    </row>
    <row r="1007" spans="1:13">
      <c r="A1007" s="31"/>
      <c r="B1007" s="31"/>
      <c r="C1007" s="31"/>
      <c r="D1007" s="32"/>
      <c r="E1007" s="30"/>
      <c r="F1007" s="30"/>
      <c r="G1007" s="30"/>
      <c r="H1007" s="30"/>
      <c r="I1007" s="30"/>
      <c r="J1007" s="30"/>
      <c r="K1007" s="30"/>
      <c r="L1007" s="30"/>
      <c r="M1007" s="30"/>
    </row>
    <row r="1008" spans="1:13">
      <c r="A1008" s="31"/>
      <c r="B1008" s="31"/>
      <c r="C1008" s="31"/>
      <c r="D1008" s="32"/>
      <c r="E1008" s="30"/>
      <c r="F1008" s="30"/>
      <c r="G1008" s="30"/>
      <c r="H1008" s="30"/>
      <c r="I1008" s="30"/>
      <c r="J1008" s="30"/>
      <c r="K1008" s="30"/>
      <c r="L1008" s="30"/>
      <c r="M1008" s="30"/>
    </row>
    <row r="1009" spans="1:13">
      <c r="A1009" s="31"/>
      <c r="B1009" s="31"/>
      <c r="C1009" s="31"/>
      <c r="D1009" s="32"/>
      <c r="E1009" s="30"/>
      <c r="F1009" s="30"/>
      <c r="G1009" s="30"/>
      <c r="H1009" s="30"/>
      <c r="I1009" s="30"/>
      <c r="J1009" s="30"/>
      <c r="K1009" s="30"/>
      <c r="L1009" s="30"/>
      <c r="M1009" s="30"/>
    </row>
    <row r="1010" spans="1:13">
      <c r="A1010" s="31"/>
      <c r="B1010" s="31"/>
      <c r="C1010" s="31"/>
      <c r="D1010" s="32"/>
      <c r="E1010" s="30"/>
      <c r="F1010" s="30"/>
      <c r="G1010" s="30"/>
      <c r="H1010" s="30"/>
      <c r="I1010" s="30"/>
      <c r="J1010" s="30"/>
      <c r="K1010" s="30"/>
      <c r="L1010" s="30"/>
      <c r="M1010" s="30"/>
    </row>
    <row r="1011" spans="1:13">
      <c r="A1011" s="31"/>
      <c r="B1011" s="31"/>
      <c r="C1011" s="31"/>
      <c r="D1011" s="32"/>
      <c r="E1011" s="30"/>
      <c r="F1011" s="30"/>
      <c r="G1011" s="30"/>
      <c r="H1011" s="30"/>
      <c r="I1011" s="30"/>
      <c r="J1011" s="30"/>
      <c r="K1011" s="30"/>
      <c r="L1011" s="30"/>
      <c r="M1011" s="30"/>
    </row>
    <row r="1012" spans="1:13">
      <c r="A1012" s="31"/>
      <c r="B1012" s="31"/>
      <c r="C1012" s="31"/>
      <c r="D1012" s="32"/>
      <c r="E1012" s="30"/>
      <c r="F1012" s="30"/>
      <c r="G1012" s="30"/>
      <c r="H1012" s="30"/>
      <c r="I1012" s="30"/>
      <c r="J1012" s="30"/>
      <c r="K1012" s="30"/>
      <c r="L1012" s="30"/>
      <c r="M1012" s="30"/>
    </row>
    <row r="1013" spans="1:13">
      <c r="A1013" s="31"/>
      <c r="B1013" s="31"/>
      <c r="C1013" s="31"/>
      <c r="D1013" s="32"/>
      <c r="E1013" s="30"/>
      <c r="F1013" s="30"/>
      <c r="G1013" s="30"/>
      <c r="H1013" s="30"/>
      <c r="I1013" s="30"/>
      <c r="J1013" s="30"/>
      <c r="K1013" s="30"/>
      <c r="L1013" s="30"/>
      <c r="M1013" s="30"/>
    </row>
    <row r="1014" spans="1:13">
      <c r="A1014" s="31"/>
      <c r="B1014" s="31"/>
      <c r="C1014" s="31"/>
      <c r="D1014" s="32"/>
      <c r="E1014" s="30"/>
      <c r="F1014" s="30"/>
      <c r="G1014" s="30"/>
      <c r="H1014" s="30"/>
      <c r="I1014" s="30"/>
      <c r="J1014" s="30"/>
      <c r="K1014" s="30"/>
      <c r="L1014" s="30"/>
      <c r="M1014" s="30"/>
    </row>
    <row r="1015" spans="1:13">
      <c r="A1015" s="31"/>
      <c r="B1015" s="31"/>
      <c r="C1015" s="31"/>
      <c r="D1015" s="32"/>
      <c r="E1015" s="30"/>
      <c r="F1015" s="30"/>
      <c r="G1015" s="30"/>
      <c r="H1015" s="30"/>
      <c r="I1015" s="30"/>
      <c r="J1015" s="30"/>
      <c r="K1015" s="30"/>
      <c r="L1015" s="30"/>
      <c r="M1015" s="30"/>
    </row>
    <row r="1016" spans="1:13">
      <c r="A1016" s="31"/>
      <c r="B1016" s="31"/>
      <c r="C1016" s="31"/>
      <c r="D1016" s="32"/>
      <c r="E1016" s="30"/>
      <c r="F1016" s="30"/>
      <c r="G1016" s="30"/>
      <c r="H1016" s="30"/>
      <c r="I1016" s="30"/>
      <c r="J1016" s="30"/>
      <c r="K1016" s="30"/>
      <c r="L1016" s="30"/>
      <c r="M1016" s="30"/>
    </row>
    <row r="1017" spans="1:13">
      <c r="A1017" s="31"/>
      <c r="B1017" s="31"/>
      <c r="C1017" s="31"/>
      <c r="D1017" s="32"/>
      <c r="E1017" s="30"/>
      <c r="F1017" s="30"/>
      <c r="G1017" s="30"/>
      <c r="H1017" s="30"/>
      <c r="I1017" s="30"/>
      <c r="J1017" s="30"/>
      <c r="K1017" s="30"/>
      <c r="L1017" s="30"/>
      <c r="M1017" s="30"/>
    </row>
    <row r="1018" spans="1:13">
      <c r="A1018" s="31"/>
      <c r="B1018" s="31"/>
      <c r="C1018" s="31"/>
      <c r="D1018" s="32"/>
      <c r="E1018" s="30"/>
      <c r="F1018" s="30"/>
      <c r="G1018" s="30"/>
      <c r="H1018" s="30"/>
      <c r="I1018" s="30"/>
      <c r="J1018" s="30"/>
      <c r="K1018" s="30"/>
      <c r="L1018" s="30"/>
      <c r="M1018" s="30"/>
    </row>
    <row r="1019" spans="1:13">
      <c r="A1019" s="31"/>
      <c r="B1019" s="31"/>
      <c r="C1019" s="31"/>
      <c r="D1019" s="32"/>
      <c r="E1019" s="30"/>
      <c r="F1019" s="30"/>
      <c r="G1019" s="30"/>
      <c r="H1019" s="30"/>
      <c r="I1019" s="30"/>
      <c r="J1019" s="30"/>
      <c r="K1019" s="30"/>
      <c r="L1019" s="30"/>
      <c r="M1019" s="30"/>
    </row>
    <row r="1020" spans="1:13">
      <c r="A1020" s="31"/>
      <c r="B1020" s="31"/>
      <c r="C1020" s="31"/>
      <c r="D1020" s="32"/>
      <c r="E1020" s="30"/>
      <c r="F1020" s="30"/>
      <c r="G1020" s="30"/>
      <c r="H1020" s="30"/>
      <c r="I1020" s="30"/>
      <c r="J1020" s="30"/>
      <c r="K1020" s="30"/>
      <c r="L1020" s="30"/>
      <c r="M1020" s="30"/>
    </row>
    <row r="1021" spans="1:13">
      <c r="A1021" s="31"/>
      <c r="B1021" s="31"/>
      <c r="C1021" s="31"/>
      <c r="D1021" s="32"/>
      <c r="E1021" s="30"/>
      <c r="F1021" s="30"/>
      <c r="G1021" s="30"/>
      <c r="H1021" s="30"/>
      <c r="I1021" s="30"/>
      <c r="J1021" s="30"/>
      <c r="K1021" s="30"/>
      <c r="L1021" s="30"/>
      <c r="M1021" s="30"/>
    </row>
    <row r="1022" spans="1:13">
      <c r="A1022" s="31"/>
      <c r="B1022" s="31"/>
      <c r="C1022" s="31"/>
      <c r="D1022" s="32"/>
      <c r="E1022" s="30"/>
      <c r="F1022" s="30"/>
      <c r="G1022" s="30"/>
      <c r="H1022" s="30"/>
      <c r="I1022" s="30"/>
      <c r="J1022" s="30"/>
      <c r="K1022" s="30"/>
      <c r="L1022" s="30"/>
      <c r="M1022" s="30"/>
    </row>
    <row r="1023" spans="1:13">
      <c r="A1023" s="31"/>
      <c r="B1023" s="31"/>
      <c r="C1023" s="31"/>
      <c r="D1023" s="32"/>
      <c r="E1023" s="30"/>
      <c r="F1023" s="30"/>
      <c r="G1023" s="30"/>
      <c r="H1023" s="30"/>
      <c r="I1023" s="30"/>
      <c r="J1023" s="30"/>
      <c r="K1023" s="30"/>
      <c r="L1023" s="30"/>
      <c r="M1023" s="30"/>
    </row>
    <row r="1024" spans="1:13">
      <c r="A1024" s="31"/>
      <c r="B1024" s="31"/>
      <c r="C1024" s="31"/>
      <c r="D1024" s="32"/>
      <c r="E1024" s="30"/>
      <c r="F1024" s="30"/>
      <c r="G1024" s="30"/>
      <c r="H1024" s="30"/>
      <c r="I1024" s="30"/>
      <c r="J1024" s="30"/>
      <c r="K1024" s="30"/>
      <c r="L1024" s="30"/>
      <c r="M1024" s="30"/>
    </row>
    <row r="1025" spans="1:13">
      <c r="A1025" s="31"/>
      <c r="B1025" s="31"/>
      <c r="C1025" s="31"/>
      <c r="D1025" s="32"/>
      <c r="E1025" s="30"/>
      <c r="F1025" s="30"/>
      <c r="G1025" s="30"/>
      <c r="H1025" s="30"/>
      <c r="I1025" s="30"/>
      <c r="J1025" s="30"/>
      <c r="K1025" s="30"/>
      <c r="L1025" s="30"/>
      <c r="M1025" s="30"/>
    </row>
    <row r="1026" spans="1:13">
      <c r="A1026" s="31"/>
      <c r="B1026" s="31"/>
      <c r="C1026" s="31"/>
      <c r="D1026" s="32"/>
      <c r="E1026" s="30"/>
      <c r="F1026" s="30"/>
      <c r="G1026" s="30"/>
      <c r="H1026" s="30"/>
      <c r="I1026" s="30"/>
      <c r="J1026" s="30"/>
      <c r="K1026" s="30"/>
      <c r="L1026" s="30"/>
      <c r="M1026" s="30"/>
    </row>
    <row r="1027" spans="1:13">
      <c r="A1027" s="31"/>
      <c r="B1027" s="31"/>
      <c r="C1027" s="31"/>
      <c r="D1027" s="32"/>
      <c r="E1027" s="30"/>
      <c r="F1027" s="30"/>
      <c r="G1027" s="30"/>
      <c r="H1027" s="30"/>
      <c r="I1027" s="30"/>
      <c r="J1027" s="30"/>
      <c r="K1027" s="30"/>
      <c r="L1027" s="30"/>
      <c r="M1027" s="30"/>
    </row>
    <row r="1028" spans="1:13">
      <c r="A1028" s="31"/>
      <c r="B1028" s="31"/>
      <c r="C1028" s="31"/>
      <c r="D1028" s="32"/>
      <c r="E1028" s="30"/>
      <c r="F1028" s="30"/>
      <c r="G1028" s="30"/>
      <c r="H1028" s="30"/>
      <c r="I1028" s="30"/>
      <c r="J1028" s="30"/>
      <c r="K1028" s="30"/>
      <c r="L1028" s="30"/>
      <c r="M1028" s="30"/>
    </row>
    <row r="1029" spans="1:13">
      <c r="A1029" s="31"/>
      <c r="B1029" s="31"/>
      <c r="C1029" s="31"/>
      <c r="D1029" s="32"/>
      <c r="E1029" s="30"/>
      <c r="F1029" s="30"/>
      <c r="G1029" s="30"/>
      <c r="H1029" s="30"/>
      <c r="I1029" s="30"/>
      <c r="J1029" s="30"/>
      <c r="K1029" s="30"/>
      <c r="L1029" s="30"/>
      <c r="M1029" s="30"/>
    </row>
    <row r="1030" spans="1:13">
      <c r="A1030" s="31"/>
      <c r="B1030" s="31"/>
      <c r="C1030" s="31"/>
      <c r="D1030" s="32"/>
      <c r="E1030" s="30"/>
      <c r="F1030" s="30"/>
      <c r="G1030" s="30"/>
      <c r="H1030" s="30"/>
      <c r="I1030" s="30"/>
      <c r="J1030" s="30"/>
      <c r="K1030" s="30"/>
      <c r="L1030" s="30"/>
      <c r="M1030" s="30"/>
    </row>
    <row r="1031" spans="1:13">
      <c r="A1031" s="31"/>
      <c r="B1031" s="31"/>
      <c r="C1031" s="31"/>
      <c r="D1031" s="32"/>
      <c r="E1031" s="30"/>
      <c r="F1031" s="30"/>
      <c r="G1031" s="30"/>
      <c r="H1031" s="30"/>
      <c r="I1031" s="30"/>
      <c r="J1031" s="30"/>
      <c r="K1031" s="30"/>
      <c r="L1031" s="30"/>
      <c r="M1031" s="30"/>
    </row>
    <row r="1032" spans="1:13">
      <c r="A1032" s="31"/>
      <c r="B1032" s="31"/>
      <c r="C1032" s="31"/>
      <c r="D1032" s="32"/>
      <c r="E1032" s="30"/>
      <c r="F1032" s="30"/>
      <c r="G1032" s="30"/>
      <c r="H1032" s="30"/>
      <c r="I1032" s="30"/>
      <c r="J1032" s="30"/>
      <c r="K1032" s="30"/>
      <c r="L1032" s="30"/>
      <c r="M1032" s="30"/>
    </row>
    <row r="1033" spans="1:13">
      <c r="A1033" s="31"/>
      <c r="B1033" s="31"/>
      <c r="C1033" s="31"/>
      <c r="D1033" s="32"/>
      <c r="E1033" s="30"/>
      <c r="F1033" s="30"/>
      <c r="G1033" s="30"/>
      <c r="H1033" s="30"/>
      <c r="I1033" s="30"/>
      <c r="J1033" s="30"/>
      <c r="K1033" s="30"/>
      <c r="L1033" s="30"/>
      <c r="M1033" s="30"/>
    </row>
    <row r="1034" spans="1:13">
      <c r="A1034" s="31"/>
      <c r="B1034" s="31"/>
      <c r="C1034" s="31"/>
      <c r="D1034" s="32"/>
      <c r="E1034" s="30"/>
      <c r="F1034" s="30"/>
      <c r="G1034" s="30"/>
      <c r="H1034" s="30"/>
      <c r="I1034" s="30"/>
      <c r="J1034" s="30"/>
      <c r="K1034" s="30"/>
      <c r="L1034" s="30"/>
      <c r="M1034" s="30"/>
    </row>
    <row r="1035" spans="1:13">
      <c r="A1035" s="31"/>
      <c r="B1035" s="31"/>
      <c r="C1035" s="31"/>
      <c r="D1035" s="32"/>
      <c r="E1035" s="30"/>
      <c r="F1035" s="30"/>
      <c r="G1035" s="30"/>
      <c r="H1035" s="30"/>
      <c r="I1035" s="30"/>
      <c r="J1035" s="30"/>
      <c r="K1035" s="30"/>
      <c r="L1035" s="30"/>
      <c r="M1035" s="30"/>
    </row>
    <row r="1036" spans="1:13">
      <c r="A1036" s="31"/>
      <c r="B1036" s="31"/>
      <c r="C1036" s="31"/>
      <c r="D1036" s="32"/>
      <c r="E1036" s="30"/>
      <c r="F1036" s="30"/>
      <c r="G1036" s="30"/>
      <c r="H1036" s="30"/>
      <c r="I1036" s="30"/>
      <c r="J1036" s="30"/>
      <c r="K1036" s="30"/>
      <c r="L1036" s="30"/>
      <c r="M1036" s="30"/>
    </row>
    <row r="1037" spans="1:13">
      <c r="A1037" s="31"/>
      <c r="B1037" s="31"/>
      <c r="C1037" s="31"/>
      <c r="D1037" s="32"/>
      <c r="E1037" s="30"/>
      <c r="F1037" s="30"/>
      <c r="G1037" s="30"/>
      <c r="H1037" s="30"/>
      <c r="I1037" s="30"/>
      <c r="J1037" s="30"/>
      <c r="K1037" s="30"/>
      <c r="L1037" s="30"/>
      <c r="M1037" s="30"/>
    </row>
    <row r="1038" spans="1:13">
      <c r="A1038" s="31"/>
      <c r="B1038" s="31"/>
      <c r="C1038" s="31"/>
      <c r="D1038" s="32"/>
      <c r="E1038" s="30"/>
      <c r="F1038" s="30"/>
      <c r="G1038" s="30"/>
      <c r="H1038" s="30"/>
      <c r="I1038" s="30"/>
      <c r="J1038" s="30"/>
      <c r="K1038" s="30"/>
      <c r="L1038" s="30"/>
      <c r="M1038" s="30"/>
    </row>
    <row r="1039" spans="1:13">
      <c r="A1039" s="31"/>
      <c r="B1039" s="31"/>
      <c r="C1039" s="31"/>
      <c r="D1039" s="32"/>
      <c r="E1039" s="30"/>
      <c r="F1039" s="30"/>
      <c r="G1039" s="30"/>
      <c r="H1039" s="30"/>
      <c r="I1039" s="30"/>
      <c r="J1039" s="30"/>
      <c r="K1039" s="30"/>
      <c r="L1039" s="30"/>
      <c r="M1039" s="30"/>
    </row>
  </sheetData>
  <autoFilter ref="A1:M104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44140625" customWidth="1"/>
    <col min="2" max="2" width="20.44140625" customWidth="1"/>
    <col min="3" max="3" width="17.77734375" customWidth="1"/>
    <col min="4" max="4" width="12.77734375" customWidth="1"/>
    <col min="5" max="5" width="14.77734375" customWidth="1"/>
    <col min="6" max="6" width="19.88671875" customWidth="1"/>
  </cols>
  <sheetData>
    <row r="1" spans="1:12">
      <c r="A1" s="39" t="s">
        <v>0</v>
      </c>
      <c r="B1" s="39" t="s">
        <v>1</v>
      </c>
      <c r="C1" s="39" t="s">
        <v>31</v>
      </c>
      <c r="D1" s="39" t="s">
        <v>7</v>
      </c>
      <c r="E1" s="39" t="s">
        <v>109</v>
      </c>
      <c r="F1" s="39" t="s">
        <v>23</v>
      </c>
      <c r="G1" s="39" t="s">
        <v>718</v>
      </c>
      <c r="H1" s="39" t="s">
        <v>718</v>
      </c>
      <c r="I1" s="39" t="s">
        <v>718</v>
      </c>
      <c r="J1" s="39" t="s">
        <v>718</v>
      </c>
      <c r="K1" s="39" t="s">
        <v>718</v>
      </c>
      <c r="L1" s="39" t="s">
        <v>718</v>
      </c>
    </row>
    <row r="2" spans="1:12">
      <c r="A2" s="39" t="s">
        <v>233</v>
      </c>
      <c r="B2" s="39" t="s">
        <v>234</v>
      </c>
      <c r="C2" s="39" t="s">
        <v>236</v>
      </c>
      <c r="D2" s="39" t="s">
        <v>235</v>
      </c>
      <c r="E2" s="39" t="s">
        <v>139</v>
      </c>
      <c r="F2" s="39" t="s">
        <v>156</v>
      </c>
      <c r="G2" s="39"/>
      <c r="H2" s="39"/>
      <c r="I2" s="39"/>
      <c r="J2" s="39"/>
      <c r="K2" s="39"/>
      <c r="L2" s="39"/>
    </row>
    <row r="3" spans="1:12">
      <c r="A3" s="39" t="s">
        <v>402</v>
      </c>
      <c r="B3" s="39" t="s">
        <v>403</v>
      </c>
      <c r="C3" s="39" t="s">
        <v>406</v>
      </c>
      <c r="D3" s="39" t="s">
        <v>224</v>
      </c>
      <c r="E3" s="39" t="s">
        <v>274</v>
      </c>
      <c r="F3" s="39" t="s">
        <v>156</v>
      </c>
      <c r="G3" s="39"/>
      <c r="H3" s="39"/>
      <c r="I3" s="39"/>
      <c r="J3" s="39"/>
      <c r="K3" s="39"/>
      <c r="L3" s="39"/>
    </row>
    <row r="4" spans="1:12">
      <c r="A4" s="39" t="s">
        <v>242</v>
      </c>
      <c r="B4" s="39" t="s">
        <v>164</v>
      </c>
      <c r="C4" s="39" t="s">
        <v>244</v>
      </c>
      <c r="D4" s="39" t="s">
        <v>243</v>
      </c>
      <c r="E4" s="39" t="s">
        <v>139</v>
      </c>
      <c r="F4" s="39" t="s">
        <v>144</v>
      </c>
      <c r="G4" s="39"/>
      <c r="H4" s="39"/>
      <c r="I4" s="39"/>
      <c r="J4" s="39"/>
      <c r="K4" s="39"/>
      <c r="L4" s="39"/>
    </row>
    <row r="5" spans="1:12">
      <c r="A5" s="39" t="s">
        <v>433</v>
      </c>
      <c r="B5" s="39"/>
      <c r="C5" s="39" t="s">
        <v>435</v>
      </c>
      <c r="D5" s="39" t="s">
        <v>434</v>
      </c>
      <c r="E5" s="39" t="s">
        <v>274</v>
      </c>
      <c r="F5" s="39" t="s">
        <v>128</v>
      </c>
      <c r="G5" s="39"/>
      <c r="H5" s="39"/>
      <c r="I5" s="39"/>
      <c r="J5" s="39"/>
      <c r="K5" s="39"/>
      <c r="L5" s="39"/>
    </row>
    <row r="6" spans="1:12">
      <c r="A6" s="39" t="s">
        <v>311</v>
      </c>
      <c r="B6" s="39" t="s">
        <v>312</v>
      </c>
      <c r="C6" s="39" t="s">
        <v>312</v>
      </c>
      <c r="D6" s="39" t="s">
        <v>313</v>
      </c>
      <c r="E6" s="39" t="s">
        <v>297</v>
      </c>
      <c r="F6" s="39" t="s">
        <v>156</v>
      </c>
      <c r="G6" s="39"/>
      <c r="H6" s="39"/>
      <c r="I6" s="39"/>
      <c r="J6" s="39"/>
      <c r="K6" s="39"/>
      <c r="L6" s="39"/>
    </row>
    <row r="7" spans="1:12">
      <c r="A7" s="39" t="s">
        <v>315</v>
      </c>
      <c r="B7" s="39" t="s">
        <v>316</v>
      </c>
      <c r="C7" s="39" t="s">
        <v>319</v>
      </c>
      <c r="D7" s="39" t="s">
        <v>317</v>
      </c>
      <c r="E7" s="39" t="s">
        <v>297</v>
      </c>
      <c r="F7" s="39" t="s">
        <v>156</v>
      </c>
      <c r="G7" s="39"/>
      <c r="H7" s="39"/>
      <c r="I7" s="39"/>
      <c r="J7" s="39"/>
      <c r="K7" s="39"/>
      <c r="L7" s="39"/>
    </row>
    <row r="8" spans="1:12">
      <c r="A8" s="39" t="s">
        <v>254</v>
      </c>
      <c r="B8" s="39" t="s">
        <v>141</v>
      </c>
      <c r="C8" s="39" t="s">
        <v>240</v>
      </c>
      <c r="D8" s="39" t="s">
        <v>238</v>
      </c>
      <c r="E8" s="39" t="s">
        <v>139</v>
      </c>
      <c r="F8" s="39" t="s">
        <v>144</v>
      </c>
      <c r="G8" s="39"/>
      <c r="H8" s="39"/>
      <c r="I8" s="39"/>
      <c r="J8" s="39"/>
      <c r="K8" s="39"/>
      <c r="L8" s="39"/>
    </row>
    <row r="9" spans="1:12">
      <c r="A9" s="39" t="s">
        <v>245</v>
      </c>
      <c r="B9" s="39"/>
      <c r="C9" s="39" t="s">
        <v>247</v>
      </c>
      <c r="D9" s="39" t="s">
        <v>246</v>
      </c>
      <c r="E9" s="39" t="s">
        <v>139</v>
      </c>
      <c r="F9" s="39" t="s">
        <v>156</v>
      </c>
      <c r="G9" s="39"/>
      <c r="H9" s="39"/>
      <c r="I9" s="39"/>
      <c r="J9" s="39"/>
      <c r="K9" s="39"/>
      <c r="L9" s="39"/>
    </row>
    <row r="10" spans="1:12">
      <c r="A10" s="39" t="s">
        <v>328</v>
      </c>
      <c r="B10" s="39" t="s">
        <v>141</v>
      </c>
      <c r="C10" s="39" t="s">
        <v>331</v>
      </c>
      <c r="D10" s="39" t="s">
        <v>125</v>
      </c>
      <c r="E10" s="39" t="s">
        <v>297</v>
      </c>
      <c r="F10" s="39" t="s">
        <v>144</v>
      </c>
      <c r="G10" s="39"/>
      <c r="H10" s="39"/>
      <c r="I10" s="39"/>
      <c r="J10" s="39"/>
      <c r="K10" s="39"/>
      <c r="L10" s="39"/>
    </row>
    <row r="11" spans="1:12">
      <c r="A11" s="39" t="s">
        <v>375</v>
      </c>
      <c r="B11" s="39" t="s">
        <v>376</v>
      </c>
      <c r="C11" s="39" t="s">
        <v>377</v>
      </c>
      <c r="D11" s="39" t="s">
        <v>267</v>
      </c>
      <c r="E11" s="39" t="s">
        <v>297</v>
      </c>
      <c r="F11" s="39" t="s">
        <v>156</v>
      </c>
      <c r="G11" s="39"/>
      <c r="H11" s="39"/>
      <c r="I11" s="39"/>
      <c r="J11" s="39"/>
      <c r="K11" s="39"/>
      <c r="L11" s="39"/>
    </row>
    <row r="12" spans="1:12">
      <c r="A12" s="39" t="s">
        <v>259</v>
      </c>
      <c r="B12" s="39" t="s">
        <v>141</v>
      </c>
      <c r="C12" s="39" t="s">
        <v>262</v>
      </c>
      <c r="D12" s="39" t="s">
        <v>260</v>
      </c>
      <c r="E12" s="39" t="s">
        <v>139</v>
      </c>
      <c r="F12" s="39" t="s">
        <v>156</v>
      </c>
      <c r="G12" s="39"/>
      <c r="H12" s="39"/>
      <c r="I12" s="39"/>
      <c r="J12" s="39"/>
      <c r="K12" s="39"/>
      <c r="L12" s="39"/>
    </row>
    <row r="13" spans="1:12">
      <c r="A13" s="39" t="s">
        <v>189</v>
      </c>
      <c r="B13" s="39" t="s">
        <v>164</v>
      </c>
      <c r="C13" s="39" t="s">
        <v>194</v>
      </c>
      <c r="D13" s="39" t="s">
        <v>192</v>
      </c>
      <c r="E13" s="39" t="s">
        <v>139</v>
      </c>
      <c r="F13" s="39" t="s">
        <v>144</v>
      </c>
      <c r="G13" s="39"/>
      <c r="H13" s="39"/>
      <c r="I13" s="39"/>
      <c r="J13" s="39"/>
      <c r="K13" s="39"/>
      <c r="L13" s="39"/>
    </row>
    <row r="14" spans="1:12">
      <c r="A14" s="39" t="s">
        <v>222</v>
      </c>
      <c r="B14" s="39" t="s">
        <v>223</v>
      </c>
      <c r="C14" s="39" t="s">
        <v>561</v>
      </c>
      <c r="D14" s="39" t="s">
        <v>224</v>
      </c>
      <c r="E14" s="39" t="s">
        <v>139</v>
      </c>
      <c r="F14" s="39" t="s">
        <v>156</v>
      </c>
      <c r="G14" s="39"/>
      <c r="H14" s="39"/>
      <c r="I14" s="39"/>
      <c r="J14" s="39"/>
      <c r="K14" s="39"/>
      <c r="L14" s="39"/>
    </row>
    <row r="15" spans="1:12">
      <c r="A15" s="39" t="s">
        <v>177</v>
      </c>
      <c r="B15" s="39" t="s">
        <v>178</v>
      </c>
      <c r="C15" s="39" t="s">
        <v>181</v>
      </c>
      <c r="D15" s="39" t="s">
        <v>180</v>
      </c>
      <c r="E15" s="39" t="s">
        <v>139</v>
      </c>
      <c r="F15" s="39" t="s">
        <v>156</v>
      </c>
      <c r="G15" s="39"/>
      <c r="H15" s="39"/>
      <c r="I15" s="39"/>
      <c r="J15" s="39"/>
      <c r="K15" s="39"/>
      <c r="L15" s="39"/>
    </row>
    <row r="16" spans="1:12">
      <c r="A16" s="39" t="s">
        <v>362</v>
      </c>
      <c r="B16" s="39"/>
      <c r="C16" s="39" t="s">
        <v>301</v>
      </c>
      <c r="D16" s="39" t="s">
        <v>125</v>
      </c>
      <c r="E16" s="39" t="s">
        <v>297</v>
      </c>
      <c r="F16" s="39" t="s">
        <v>144</v>
      </c>
      <c r="G16" s="39"/>
      <c r="H16" s="39"/>
      <c r="I16" s="39"/>
      <c r="J16" s="39"/>
      <c r="K16" s="39"/>
      <c r="L16" s="39"/>
    </row>
    <row r="17" spans="1:12">
      <c r="A17" s="39" t="s">
        <v>398</v>
      </c>
      <c r="B17" s="39"/>
      <c r="C17" s="39" t="s">
        <v>399</v>
      </c>
      <c r="D17" s="39" t="s">
        <v>192</v>
      </c>
      <c r="E17" s="39" t="s">
        <v>274</v>
      </c>
      <c r="F17" s="39" t="s">
        <v>128</v>
      </c>
      <c r="G17" s="39"/>
      <c r="H17" s="39"/>
      <c r="I17" s="39"/>
      <c r="J17" s="39"/>
      <c r="K17" s="39"/>
      <c r="L17" s="39"/>
    </row>
    <row r="18" spans="1:12">
      <c r="A18" s="39" t="s">
        <v>281</v>
      </c>
      <c r="B18" s="39" t="s">
        <v>282</v>
      </c>
      <c r="C18" s="39" t="s">
        <v>283</v>
      </c>
      <c r="D18" s="39" t="s">
        <v>180</v>
      </c>
      <c r="E18" s="39" t="s">
        <v>139</v>
      </c>
      <c r="F18" s="39" t="s">
        <v>156</v>
      </c>
      <c r="G18" s="39"/>
      <c r="H18" s="39"/>
      <c r="I18" s="39"/>
      <c r="J18" s="39"/>
      <c r="K18" s="39"/>
      <c r="L18" s="39"/>
    </row>
    <row r="19" spans="1:12">
      <c r="A19" s="39" t="s">
        <v>395</v>
      </c>
      <c r="B19" s="39" t="s">
        <v>396</v>
      </c>
      <c r="C19" s="39" t="s">
        <v>397</v>
      </c>
      <c r="D19" s="39" t="s">
        <v>125</v>
      </c>
      <c r="E19" s="39" t="s">
        <v>297</v>
      </c>
      <c r="F19" s="39" t="s">
        <v>144</v>
      </c>
      <c r="G19" s="39"/>
      <c r="H19" s="39"/>
      <c r="I19" s="39"/>
      <c r="J19" s="39"/>
      <c r="K19" s="39"/>
      <c r="L19" s="39"/>
    </row>
    <row r="20" spans="1:12">
      <c r="A20" s="39" t="s">
        <v>268</v>
      </c>
      <c r="B20" s="39" t="s">
        <v>223</v>
      </c>
      <c r="C20" s="39" t="s">
        <v>270</v>
      </c>
      <c r="D20" s="39" t="s">
        <v>269</v>
      </c>
      <c r="E20" s="39" t="s">
        <v>139</v>
      </c>
      <c r="F20" s="39" t="s">
        <v>156</v>
      </c>
      <c r="G20" s="39"/>
      <c r="H20" s="39"/>
      <c r="I20" s="39"/>
      <c r="J20" s="39"/>
      <c r="K20" s="39"/>
      <c r="L20" s="39"/>
    </row>
    <row r="21" spans="1:12">
      <c r="A21" s="39" t="s">
        <v>386</v>
      </c>
      <c r="B21" s="39"/>
      <c r="C21" s="39" t="s">
        <v>388</v>
      </c>
      <c r="D21" s="39" t="s">
        <v>387</v>
      </c>
      <c r="E21" s="39" t="s">
        <v>297</v>
      </c>
      <c r="F21" s="39" t="s">
        <v>144</v>
      </c>
      <c r="G21" s="39"/>
      <c r="H21" s="39"/>
      <c r="I21" s="39"/>
      <c r="J21" s="39"/>
      <c r="K21" s="39"/>
      <c r="L21" s="39"/>
    </row>
    <row r="22" spans="1:12">
      <c r="A22" s="39" t="s">
        <v>288</v>
      </c>
      <c r="B22" s="39"/>
      <c r="C22" s="39" t="s">
        <v>290</v>
      </c>
      <c r="D22" s="39" t="s">
        <v>289</v>
      </c>
      <c r="E22" s="39" t="s">
        <v>139</v>
      </c>
      <c r="F22" s="39" t="s">
        <v>128</v>
      </c>
      <c r="G22" s="39"/>
      <c r="H22" s="39"/>
      <c r="I22" s="39"/>
      <c r="J22" s="39"/>
      <c r="K22" s="39"/>
      <c r="L22" s="39"/>
    </row>
    <row r="23" spans="1:12">
      <c r="A23" s="39" t="s">
        <v>306</v>
      </c>
      <c r="B23" s="39" t="s">
        <v>141</v>
      </c>
      <c r="C23" s="39" t="s">
        <v>309</v>
      </c>
      <c r="D23" s="39" t="s">
        <v>307</v>
      </c>
      <c r="E23" s="39" t="s">
        <v>297</v>
      </c>
      <c r="F23" s="39" t="s">
        <v>156</v>
      </c>
      <c r="G23" s="39"/>
      <c r="H23" s="39"/>
      <c r="I23" s="39"/>
      <c r="J23" s="39"/>
      <c r="K23" s="39"/>
      <c r="L23" s="39"/>
    </row>
    <row r="24" spans="1:12">
      <c r="A24" s="39" t="s">
        <v>163</v>
      </c>
      <c r="B24" s="39" t="s">
        <v>164</v>
      </c>
      <c r="C24" s="39" t="s">
        <v>171</v>
      </c>
      <c r="D24" s="39" t="s">
        <v>167</v>
      </c>
      <c r="E24" s="39" t="s">
        <v>139</v>
      </c>
      <c r="F24" s="39" t="s">
        <v>128</v>
      </c>
      <c r="G24" s="39"/>
      <c r="H24" s="39"/>
      <c r="I24" s="39"/>
      <c r="J24" s="39"/>
      <c r="K24" s="39"/>
      <c r="L24" s="39"/>
    </row>
    <row r="25" spans="1:12">
      <c r="A25" s="39" t="s">
        <v>237</v>
      </c>
      <c r="B25" s="39" t="s">
        <v>141</v>
      </c>
      <c r="C25" s="39" t="s">
        <v>240</v>
      </c>
      <c r="D25" s="39" t="s">
        <v>238</v>
      </c>
      <c r="E25" s="39" t="s">
        <v>139</v>
      </c>
      <c r="F25" s="39" t="s">
        <v>128</v>
      </c>
      <c r="G25" s="39"/>
      <c r="H25" s="39"/>
      <c r="I25" s="39"/>
      <c r="J25" s="39"/>
      <c r="K25" s="39"/>
      <c r="L25" s="39"/>
    </row>
    <row r="26" spans="1:12">
      <c r="A26" s="39" t="s">
        <v>370</v>
      </c>
      <c r="B26" s="39" t="s">
        <v>371</v>
      </c>
      <c r="C26" s="39" t="s">
        <v>373</v>
      </c>
      <c r="D26" s="39" t="s">
        <v>372</v>
      </c>
      <c r="E26" s="39" t="s">
        <v>297</v>
      </c>
      <c r="F26" s="39" t="s">
        <v>144</v>
      </c>
      <c r="G26" s="39"/>
      <c r="H26" s="39"/>
      <c r="I26" s="39"/>
      <c r="J26" s="39"/>
      <c r="K26" s="39"/>
      <c r="L26" s="39"/>
    </row>
    <row r="27" spans="1:12">
      <c r="A27" s="39" t="s">
        <v>151</v>
      </c>
      <c r="B27" s="39" t="s">
        <v>152</v>
      </c>
      <c r="C27" s="39" t="s">
        <v>152</v>
      </c>
      <c r="D27" s="39" t="s">
        <v>155</v>
      </c>
      <c r="E27" s="39" t="s">
        <v>139</v>
      </c>
      <c r="F27" s="39" t="s">
        <v>156</v>
      </c>
      <c r="G27" s="39"/>
      <c r="H27" s="39"/>
      <c r="I27" s="39"/>
      <c r="J27" s="39"/>
      <c r="K27" s="39"/>
      <c r="L27" s="39"/>
    </row>
    <row r="28" spans="1:12">
      <c r="A28" s="39" t="s">
        <v>333</v>
      </c>
      <c r="B28" s="39"/>
      <c r="C28" s="39" t="s">
        <v>220</v>
      </c>
      <c r="D28" s="39" t="s">
        <v>334</v>
      </c>
      <c r="E28" s="39" t="s">
        <v>297</v>
      </c>
      <c r="F28" s="39" t="s">
        <v>144</v>
      </c>
      <c r="G28" s="39"/>
      <c r="H28" s="39"/>
      <c r="I28" s="39"/>
      <c r="J28" s="39"/>
      <c r="K28" s="39"/>
      <c r="L28" s="39"/>
    </row>
    <row r="29" spans="1:12">
      <c r="A29" s="39" t="s">
        <v>208</v>
      </c>
      <c r="B29" s="39" t="s">
        <v>164</v>
      </c>
      <c r="C29" s="39" t="s">
        <v>210</v>
      </c>
      <c r="D29" s="39" t="s">
        <v>209</v>
      </c>
      <c r="E29" s="39" t="s">
        <v>139</v>
      </c>
      <c r="F29" s="39" t="s">
        <v>144</v>
      </c>
      <c r="G29" s="39"/>
      <c r="H29" s="39"/>
      <c r="I29" s="39"/>
      <c r="J29" s="39"/>
      <c r="K29" s="39"/>
      <c r="L29" s="39"/>
    </row>
    <row r="30" spans="1:12">
      <c r="A30" s="39" t="s">
        <v>204</v>
      </c>
      <c r="B30" s="39" t="s">
        <v>205</v>
      </c>
      <c r="C30" s="39" t="s">
        <v>207</v>
      </c>
      <c r="D30" s="39" t="s">
        <v>206</v>
      </c>
      <c r="E30" s="39" t="s">
        <v>139</v>
      </c>
      <c r="F30" s="39" t="s">
        <v>144</v>
      </c>
      <c r="G30" s="39"/>
      <c r="H30" s="39"/>
      <c r="I30" s="39"/>
      <c r="J30" s="39"/>
      <c r="K30" s="39"/>
      <c r="L30" s="39"/>
    </row>
    <row r="31" spans="1:12">
      <c r="A31" s="39" t="s">
        <v>339</v>
      </c>
      <c r="B31" s="39"/>
      <c r="C31" s="39" t="s">
        <v>342</v>
      </c>
      <c r="D31" s="39" t="s">
        <v>340</v>
      </c>
      <c r="E31" s="39" t="s">
        <v>297</v>
      </c>
      <c r="F31" s="39" t="s">
        <v>128</v>
      </c>
      <c r="G31" s="39"/>
      <c r="H31" s="39"/>
      <c r="I31" s="39"/>
      <c r="J31" s="39"/>
      <c r="K31" s="39"/>
      <c r="L31" s="39"/>
    </row>
    <row r="32" spans="1:12">
      <c r="A32" s="39" t="s">
        <v>359</v>
      </c>
      <c r="B32" s="39" t="s">
        <v>164</v>
      </c>
      <c r="C32" s="39" t="s">
        <v>244</v>
      </c>
      <c r="D32" s="39" t="s">
        <v>125</v>
      </c>
      <c r="E32" s="39" t="s">
        <v>297</v>
      </c>
      <c r="F32" s="39" t="s">
        <v>144</v>
      </c>
      <c r="G32" s="39"/>
      <c r="H32" s="39"/>
      <c r="I32" s="39"/>
      <c r="J32" s="39"/>
      <c r="K32" s="39"/>
      <c r="L32" s="39"/>
    </row>
    <row r="33" spans="1:12">
      <c r="A33" s="39" t="s">
        <v>390</v>
      </c>
      <c r="B33" s="39" t="s">
        <v>391</v>
      </c>
      <c r="C33" s="39" t="s">
        <v>393</v>
      </c>
      <c r="D33" s="39" t="s">
        <v>392</v>
      </c>
      <c r="E33" s="39" t="s">
        <v>297</v>
      </c>
      <c r="F33" s="39" t="s">
        <v>156</v>
      </c>
      <c r="G33" s="39"/>
      <c r="H33" s="39"/>
      <c r="I33" s="39"/>
      <c r="J33" s="39"/>
      <c r="K33" s="39"/>
      <c r="L33" s="39"/>
    </row>
    <row r="34" spans="1:12">
      <c r="A34" s="39" t="s">
        <v>229</v>
      </c>
      <c r="B34" s="39" t="s">
        <v>223</v>
      </c>
      <c r="C34" s="39" t="s">
        <v>561</v>
      </c>
      <c r="D34" s="39" t="s">
        <v>230</v>
      </c>
      <c r="E34" s="39" t="s">
        <v>139</v>
      </c>
      <c r="F34" s="39" t="s">
        <v>156</v>
      </c>
      <c r="G34" s="39"/>
      <c r="H34" s="39"/>
      <c r="I34" s="39"/>
      <c r="J34" s="39"/>
      <c r="K34" s="39"/>
      <c r="L34" s="39"/>
    </row>
    <row r="35" spans="1:12">
      <c r="A35" s="39" t="s">
        <v>415</v>
      </c>
      <c r="B35" s="39" t="s">
        <v>164</v>
      </c>
      <c r="C35" s="39" t="s">
        <v>416</v>
      </c>
      <c r="D35" s="39" t="s">
        <v>199</v>
      </c>
      <c r="E35" s="39" t="s">
        <v>274</v>
      </c>
      <c r="F35" s="39" t="s">
        <v>144</v>
      </c>
      <c r="G35" s="39"/>
      <c r="H35" s="39"/>
      <c r="I35" s="39"/>
      <c r="J35" s="39"/>
      <c r="K35" s="39"/>
      <c r="L35" s="39"/>
    </row>
    <row r="36" spans="1:12">
      <c r="A36" s="39" t="s">
        <v>367</v>
      </c>
      <c r="B36" s="39" t="s">
        <v>141</v>
      </c>
      <c r="C36" s="39" t="s">
        <v>368</v>
      </c>
      <c r="D36" s="39" t="s">
        <v>125</v>
      </c>
      <c r="E36" s="39" t="s">
        <v>297</v>
      </c>
      <c r="F36" s="39" t="s">
        <v>144</v>
      </c>
      <c r="G36" s="39"/>
      <c r="H36" s="39"/>
      <c r="I36" s="39"/>
      <c r="J36" s="39"/>
      <c r="K36" s="39"/>
      <c r="L36" s="39"/>
    </row>
    <row r="37" spans="1:12">
      <c r="A37" s="39" t="s">
        <v>119</v>
      </c>
      <c r="B37" s="39"/>
      <c r="C37" s="39" t="s">
        <v>131</v>
      </c>
      <c r="D37" s="39" t="s">
        <v>124</v>
      </c>
      <c r="E37" s="39" t="s">
        <v>139</v>
      </c>
      <c r="F37" s="39" t="s">
        <v>128</v>
      </c>
      <c r="G37" s="39"/>
      <c r="H37" s="39"/>
      <c r="I37" s="39"/>
      <c r="J37" s="39"/>
      <c r="K37" s="39"/>
      <c r="L37" s="39"/>
    </row>
    <row r="38" spans="1:12">
      <c r="A38" s="39" t="s">
        <v>347</v>
      </c>
      <c r="B38" s="39" t="s">
        <v>348</v>
      </c>
      <c r="C38" s="39" t="s">
        <v>348</v>
      </c>
      <c r="D38" s="39" t="s">
        <v>317</v>
      </c>
      <c r="E38" s="39" t="s">
        <v>297</v>
      </c>
      <c r="F38" s="39" t="s">
        <v>156</v>
      </c>
      <c r="G38" s="39"/>
      <c r="H38" s="39"/>
      <c r="I38" s="39"/>
      <c r="J38" s="39"/>
      <c r="K38" s="39"/>
      <c r="L38" s="39"/>
    </row>
    <row r="39" spans="1:12">
      <c r="A39" s="39" t="s">
        <v>364</v>
      </c>
      <c r="B39" s="39" t="s">
        <v>365</v>
      </c>
      <c r="C39" s="39" t="s">
        <v>220</v>
      </c>
      <c r="D39" s="39" t="s">
        <v>125</v>
      </c>
      <c r="E39" s="39" t="s">
        <v>297</v>
      </c>
      <c r="F39" s="39" t="s">
        <v>144</v>
      </c>
      <c r="G39" s="39"/>
      <c r="H39" s="39"/>
      <c r="I39" s="39"/>
      <c r="J39" s="39"/>
      <c r="K39" s="39"/>
      <c r="L39" s="39"/>
    </row>
    <row r="40" spans="1:12">
      <c r="A40" s="39" t="s">
        <v>422</v>
      </c>
      <c r="B40" s="39"/>
      <c r="C40" s="39" t="s">
        <v>425</v>
      </c>
      <c r="D40" s="39" t="s">
        <v>423</v>
      </c>
      <c r="E40" s="39" t="s">
        <v>274</v>
      </c>
      <c r="F40" s="39" t="s">
        <v>128</v>
      </c>
      <c r="G40" s="39"/>
      <c r="H40" s="39"/>
      <c r="I40" s="39"/>
      <c r="J40" s="39"/>
      <c r="K40" s="39"/>
      <c r="L40" s="39"/>
    </row>
    <row r="41" spans="1:12">
      <c r="A41" s="39" t="s">
        <v>320</v>
      </c>
      <c r="B41" s="39" t="s">
        <v>164</v>
      </c>
      <c r="C41" s="39" t="s">
        <v>200</v>
      </c>
      <c r="D41" s="39" t="s">
        <v>321</v>
      </c>
      <c r="E41" s="39" t="s">
        <v>297</v>
      </c>
      <c r="F41" s="39" t="s">
        <v>144</v>
      </c>
      <c r="G41" s="39"/>
      <c r="H41" s="39"/>
      <c r="I41" s="39"/>
      <c r="J41" s="39"/>
      <c r="K41" s="39"/>
      <c r="L41" s="39"/>
    </row>
    <row r="42" spans="1:12">
      <c r="A42" s="39" t="s">
        <v>353</v>
      </c>
      <c r="B42" s="39"/>
      <c r="C42" s="39" t="s">
        <v>356</v>
      </c>
      <c r="D42" s="39" t="s">
        <v>354</v>
      </c>
      <c r="E42" s="39" t="s">
        <v>297</v>
      </c>
      <c r="F42" s="39" t="s">
        <v>128</v>
      </c>
      <c r="G42" s="39"/>
      <c r="H42" s="39"/>
      <c r="I42" s="39"/>
      <c r="J42" s="39"/>
      <c r="K42" s="39"/>
      <c r="L42" s="39"/>
    </row>
    <row r="43" spans="1:12">
      <c r="A43" s="39" t="s">
        <v>140</v>
      </c>
      <c r="B43" s="39" t="s">
        <v>141</v>
      </c>
      <c r="C43" s="39" t="s">
        <v>301</v>
      </c>
      <c r="D43" s="39" t="s">
        <v>142</v>
      </c>
      <c r="E43" s="39" t="s">
        <v>139</v>
      </c>
      <c r="F43" s="39" t="s">
        <v>144</v>
      </c>
      <c r="G43" s="39"/>
      <c r="H43" s="39"/>
      <c r="I43" s="39"/>
      <c r="J43" s="39"/>
      <c r="K43" s="39"/>
      <c r="L43" s="39"/>
    </row>
    <row r="44" spans="1:12">
      <c r="A44" s="39" t="s">
        <v>428</v>
      </c>
      <c r="B44" s="39" t="s">
        <v>282</v>
      </c>
      <c r="C44" s="39" t="s">
        <v>429</v>
      </c>
      <c r="D44" s="39" t="s">
        <v>387</v>
      </c>
      <c r="E44" s="39" t="s">
        <v>274</v>
      </c>
      <c r="F44" s="39" t="s">
        <v>156</v>
      </c>
      <c r="G44" s="39"/>
      <c r="H44" s="39"/>
      <c r="I44" s="39"/>
      <c r="J44" s="39"/>
      <c r="K44" s="39"/>
      <c r="L44" s="39"/>
    </row>
    <row r="45" spans="1:12">
      <c r="A45" s="39" t="s">
        <v>264</v>
      </c>
      <c r="B45" s="39" t="s">
        <v>164</v>
      </c>
      <c r="C45" s="39" t="s">
        <v>265</v>
      </c>
      <c r="D45" s="39" t="s">
        <v>125</v>
      </c>
      <c r="E45" s="39" t="s">
        <v>139</v>
      </c>
      <c r="F45" s="39" t="s">
        <v>144</v>
      </c>
      <c r="G45" s="39"/>
      <c r="H45" s="39"/>
      <c r="I45" s="39"/>
      <c r="J45" s="39"/>
      <c r="K45" s="39"/>
      <c r="L45" s="39"/>
    </row>
    <row r="46" spans="1:12">
      <c r="A46" s="39" t="s">
        <v>298</v>
      </c>
      <c r="B46" s="39" t="s">
        <v>141</v>
      </c>
      <c r="C46" s="39" t="s">
        <v>301</v>
      </c>
      <c r="D46" s="39" t="s">
        <v>243</v>
      </c>
      <c r="E46" s="39" t="s">
        <v>297</v>
      </c>
      <c r="F46" s="39" t="s">
        <v>144</v>
      </c>
      <c r="G46" s="39"/>
      <c r="H46" s="39"/>
      <c r="I46" s="39"/>
      <c r="J46" s="39"/>
      <c r="K46" s="39"/>
      <c r="L46" s="39"/>
    </row>
    <row r="47" spans="1:12">
      <c r="A47" s="39" t="s">
        <v>217</v>
      </c>
      <c r="B47" s="39"/>
      <c r="C47" s="39" t="s">
        <v>220</v>
      </c>
      <c r="D47" s="39" t="s">
        <v>218</v>
      </c>
      <c r="E47" s="39" t="s">
        <v>139</v>
      </c>
      <c r="F47" s="39" t="s">
        <v>144</v>
      </c>
      <c r="G47" s="39"/>
      <c r="H47" s="39"/>
      <c r="I47" s="39"/>
      <c r="J47" s="39"/>
      <c r="K47" s="39"/>
      <c r="L47" s="39"/>
    </row>
    <row r="48" spans="1:12">
      <c r="A48" s="39" t="s">
        <v>419</v>
      </c>
      <c r="B48" s="39"/>
      <c r="C48" s="39" t="s">
        <v>393</v>
      </c>
      <c r="D48" s="39" t="s">
        <v>267</v>
      </c>
      <c r="E48" s="39" t="s">
        <v>274</v>
      </c>
      <c r="F48" s="39" t="s">
        <v>156</v>
      </c>
      <c r="G48" s="39"/>
      <c r="H48" s="39"/>
      <c r="I48" s="39"/>
      <c r="J48" s="39"/>
      <c r="K48" s="39"/>
      <c r="L48" s="39"/>
    </row>
    <row r="49" spans="1:12">
      <c r="A49" s="39" t="s">
        <v>409</v>
      </c>
      <c r="B49" s="39" t="s">
        <v>410</v>
      </c>
      <c r="C49" s="39" t="s">
        <v>410</v>
      </c>
      <c r="D49" s="39" t="s">
        <v>411</v>
      </c>
      <c r="E49" s="39" t="s">
        <v>274</v>
      </c>
      <c r="F49" s="39" t="s">
        <v>156</v>
      </c>
      <c r="G49" s="39"/>
      <c r="H49" s="39"/>
      <c r="I49" s="39"/>
      <c r="J49" s="39"/>
      <c r="K49" s="39"/>
      <c r="L49" s="39"/>
    </row>
    <row r="50" spans="1:12">
      <c r="A50" s="39" t="s">
        <v>198</v>
      </c>
      <c r="B50" s="39"/>
      <c r="C50" s="39" t="s">
        <v>200</v>
      </c>
      <c r="D50" s="39" t="s">
        <v>199</v>
      </c>
      <c r="E50" s="39" t="s">
        <v>139</v>
      </c>
      <c r="F50" s="39" t="s">
        <v>144</v>
      </c>
      <c r="G50" s="39"/>
      <c r="H50" s="39"/>
      <c r="I50" s="39"/>
      <c r="J50" s="39"/>
      <c r="K50" s="39"/>
      <c r="L50" s="39"/>
    </row>
    <row r="51" spans="1:12">
      <c r="A51" s="39" t="s">
        <v>431</v>
      </c>
      <c r="B51" s="39"/>
      <c r="C51" s="39" t="s">
        <v>393</v>
      </c>
      <c r="D51" s="39" t="s">
        <v>432</v>
      </c>
      <c r="E51" s="39" t="s">
        <v>274</v>
      </c>
      <c r="F51" s="39" t="s">
        <v>156</v>
      </c>
      <c r="G51" s="39"/>
      <c r="H51" s="39"/>
      <c r="I51" s="39"/>
      <c r="J51" s="39"/>
      <c r="K51" s="39"/>
      <c r="L51" s="39"/>
    </row>
    <row r="52" spans="1:12">
      <c r="A52" s="39" t="s">
        <v>326</v>
      </c>
      <c r="B52" s="39" t="s">
        <v>164</v>
      </c>
      <c r="C52" s="39" t="s">
        <v>200</v>
      </c>
      <c r="D52" s="39" t="s">
        <v>125</v>
      </c>
      <c r="E52" s="39" t="s">
        <v>297</v>
      </c>
      <c r="F52" s="39" t="s">
        <v>144</v>
      </c>
      <c r="G52" s="39"/>
      <c r="H52" s="39"/>
      <c r="I52" s="39"/>
      <c r="J52" s="39"/>
      <c r="K52" s="39"/>
      <c r="L52" s="39"/>
    </row>
    <row r="53" spans="1:12">
      <c r="A53" s="39" t="s">
        <v>266</v>
      </c>
      <c r="B53" s="39"/>
      <c r="C53" s="39" t="s">
        <v>210</v>
      </c>
      <c r="D53" s="39" t="s">
        <v>267</v>
      </c>
      <c r="E53" s="39" t="s">
        <v>139</v>
      </c>
      <c r="F53" s="39" t="s">
        <v>128</v>
      </c>
      <c r="G53" s="39"/>
      <c r="H53" s="39"/>
      <c r="I53" s="39"/>
      <c r="J53" s="39"/>
      <c r="K53" s="39"/>
      <c r="L53" s="39"/>
    </row>
    <row r="54" spans="1:12">
      <c r="A54" s="39" t="s">
        <v>344</v>
      </c>
      <c r="B54" s="39" t="s">
        <v>316</v>
      </c>
      <c r="C54" s="39" t="s">
        <v>319</v>
      </c>
      <c r="D54" s="39" t="s">
        <v>345</v>
      </c>
      <c r="E54" s="39" t="s">
        <v>297</v>
      </c>
      <c r="F54" s="39" t="s">
        <v>156</v>
      </c>
      <c r="G54" s="39"/>
      <c r="H54" s="39"/>
      <c r="I54" s="39"/>
      <c r="J54" s="39"/>
      <c r="K54" s="39"/>
      <c r="L54" s="39"/>
    </row>
    <row r="55" spans="1:12">
      <c r="A55" s="39" t="s">
        <v>382</v>
      </c>
      <c r="B55" s="39" t="s">
        <v>312</v>
      </c>
      <c r="C55" s="39" t="s">
        <v>312</v>
      </c>
      <c r="D55" s="39" t="s">
        <v>383</v>
      </c>
      <c r="E55" s="39" t="s">
        <v>297</v>
      </c>
      <c r="F55" s="39" t="s">
        <v>156</v>
      </c>
      <c r="G55" s="39"/>
      <c r="H55" s="39"/>
      <c r="I55" s="39"/>
      <c r="J55" s="39"/>
      <c r="K55" s="39"/>
      <c r="L55" s="39"/>
    </row>
    <row r="56" spans="1:12">
      <c r="A56" s="39" t="s">
        <v>214</v>
      </c>
      <c r="B56" s="39" t="s">
        <v>164</v>
      </c>
      <c r="C56" s="39" t="s">
        <v>200</v>
      </c>
      <c r="D56" s="39" t="s">
        <v>215</v>
      </c>
      <c r="E56" s="39" t="s">
        <v>139</v>
      </c>
      <c r="F56" s="39" t="s">
        <v>144</v>
      </c>
      <c r="G56" s="39"/>
      <c r="H56" s="39"/>
      <c r="I56" s="39"/>
      <c r="J56" s="39"/>
      <c r="K56" s="39"/>
      <c r="L56" s="39"/>
    </row>
    <row r="57" spans="1:12">
      <c r="A57" s="39" t="s">
        <v>293</v>
      </c>
      <c r="B57" s="39" t="s">
        <v>234</v>
      </c>
      <c r="C57" s="39" t="s">
        <v>236</v>
      </c>
      <c r="D57" s="39" t="s">
        <v>294</v>
      </c>
      <c r="E57" s="39" t="s">
        <v>297</v>
      </c>
      <c r="F57" s="39" t="s">
        <v>156</v>
      </c>
      <c r="G57" s="39"/>
      <c r="H57" s="39"/>
      <c r="I57" s="39"/>
      <c r="J57" s="39"/>
      <c r="K57" s="39"/>
      <c r="L57" s="39"/>
    </row>
    <row r="58" spans="1:12">
      <c r="A58" s="39" t="s">
        <v>275</v>
      </c>
      <c r="B58" s="39"/>
      <c r="C58" s="39" t="s">
        <v>278</v>
      </c>
      <c r="D58" s="39" t="s">
        <v>277</v>
      </c>
      <c r="E58" s="39" t="s">
        <v>139</v>
      </c>
      <c r="F58" s="39" t="s">
        <v>144</v>
      </c>
      <c r="G58" s="39"/>
      <c r="H58" s="39"/>
      <c r="I58" s="39"/>
      <c r="J58" s="39"/>
      <c r="K58" s="39"/>
      <c r="L58" s="39"/>
    </row>
    <row r="59" spans="1:12">
      <c r="A59" s="39" t="s">
        <v>254</v>
      </c>
      <c r="B59" s="39" t="s">
        <v>141</v>
      </c>
      <c r="C59" s="39" t="s">
        <v>240</v>
      </c>
      <c r="D59" s="39" t="s">
        <v>238</v>
      </c>
      <c r="E59" s="39" t="s">
        <v>274</v>
      </c>
      <c r="F59" s="39" t="s">
        <v>144</v>
      </c>
      <c r="G59" s="39"/>
      <c r="H59" s="39"/>
      <c r="I59" s="39"/>
      <c r="J59" s="39"/>
      <c r="K59" s="39"/>
      <c r="L59" s="39"/>
    </row>
    <row r="60" spans="1:12">
      <c r="A60" s="39" t="s">
        <v>682</v>
      </c>
      <c r="B60" s="39"/>
      <c r="C60" s="39" t="s">
        <v>312</v>
      </c>
      <c r="D60" s="39" t="s">
        <v>192</v>
      </c>
      <c r="E60" s="39" t="s">
        <v>274</v>
      </c>
      <c r="F60" s="39" t="s">
        <v>156</v>
      </c>
      <c r="G60" s="39"/>
      <c r="H60" s="39"/>
      <c r="I60" s="39"/>
      <c r="J60" s="39"/>
      <c r="K60" s="39"/>
      <c r="L60" s="39"/>
    </row>
    <row r="61" spans="1:12">
      <c r="A61" s="39" t="s">
        <v>684</v>
      </c>
      <c r="B61" s="39"/>
      <c r="C61" s="39" t="s">
        <v>685</v>
      </c>
      <c r="D61" s="39" t="s">
        <v>545</v>
      </c>
      <c r="E61" s="39" t="s">
        <v>274</v>
      </c>
      <c r="F61" s="39" t="s">
        <v>144</v>
      </c>
      <c r="G61" s="39"/>
      <c r="H61" s="39"/>
      <c r="I61" s="39"/>
      <c r="J61" s="39"/>
      <c r="K61" s="39"/>
      <c r="L61" s="39"/>
    </row>
    <row r="62" spans="1:12">
      <c r="A62" s="39" t="s">
        <v>701</v>
      </c>
      <c r="B62" s="39"/>
      <c r="C62" s="39" t="s">
        <v>687</v>
      </c>
      <c r="D62" s="39" t="s">
        <v>702</v>
      </c>
      <c r="E62" s="39" t="s">
        <v>274</v>
      </c>
      <c r="F62" s="39" t="s">
        <v>128</v>
      </c>
      <c r="G62" s="39"/>
      <c r="H62" s="39"/>
      <c r="I62" s="39"/>
      <c r="J62" s="39"/>
      <c r="K62" s="39"/>
      <c r="L62" s="39"/>
    </row>
    <row r="63" spans="1:12">
      <c r="A63" s="39" t="s">
        <v>676</v>
      </c>
      <c r="B63" s="39"/>
      <c r="C63" s="39" t="s">
        <v>319</v>
      </c>
      <c r="D63" s="39" t="s">
        <v>545</v>
      </c>
      <c r="E63" s="39" t="s">
        <v>274</v>
      </c>
      <c r="F63" s="39" t="s">
        <v>156</v>
      </c>
      <c r="G63" s="39"/>
      <c r="H63" s="39"/>
      <c r="I63" s="39"/>
      <c r="J63" s="39"/>
      <c r="K63" s="39"/>
      <c r="L63" s="39"/>
    </row>
    <row r="64" spans="1:12">
      <c r="A64" s="39" t="s">
        <v>692</v>
      </c>
      <c r="B64" s="39"/>
      <c r="C64" s="39" t="s">
        <v>693</v>
      </c>
      <c r="D64" s="39" t="s">
        <v>432</v>
      </c>
      <c r="E64" s="39" t="s">
        <v>274</v>
      </c>
      <c r="F64" s="39" t="s">
        <v>156</v>
      </c>
      <c r="G64" s="39"/>
      <c r="H64" s="39"/>
      <c r="I64" s="39"/>
      <c r="J64" s="39"/>
      <c r="K64" s="39"/>
      <c r="L64" s="39"/>
    </row>
    <row r="65" spans="1:12">
      <c r="A65" s="39" t="s">
        <v>496</v>
      </c>
      <c r="B65" s="39"/>
      <c r="C65" s="39" t="s">
        <v>498</v>
      </c>
      <c r="D65" s="39" t="s">
        <v>497</v>
      </c>
      <c r="E65" s="39" t="s">
        <v>703</v>
      </c>
      <c r="F65" s="39" t="s">
        <v>128</v>
      </c>
      <c r="G65" s="39"/>
      <c r="H65" s="39"/>
      <c r="I65" s="39"/>
      <c r="J65" s="39"/>
      <c r="K65" s="39"/>
      <c r="L65" s="39"/>
    </row>
    <row r="66" spans="1:12">
      <c r="A66" s="39" t="s">
        <v>534</v>
      </c>
      <c r="B66" s="39" t="s">
        <v>312</v>
      </c>
      <c r="C66" s="39" t="s">
        <v>312</v>
      </c>
      <c r="D66" s="39" t="s">
        <v>482</v>
      </c>
      <c r="E66" s="39" t="s">
        <v>703</v>
      </c>
      <c r="F66" s="39" t="s">
        <v>156</v>
      </c>
      <c r="G66" s="39"/>
      <c r="H66" s="39"/>
      <c r="I66" s="39"/>
      <c r="J66" s="39"/>
      <c r="K66" s="39"/>
      <c r="L66" s="39"/>
    </row>
    <row r="67" spans="1:12">
      <c r="A67" s="39" t="s">
        <v>495</v>
      </c>
      <c r="B67" s="39" t="s">
        <v>282</v>
      </c>
      <c r="C67" s="39" t="s">
        <v>429</v>
      </c>
      <c r="D67" s="39" t="s">
        <v>482</v>
      </c>
      <c r="E67" s="39" t="s">
        <v>703</v>
      </c>
      <c r="F67" s="39" t="s">
        <v>156</v>
      </c>
      <c r="G67" s="39"/>
      <c r="H67" s="39"/>
      <c r="I67" s="39"/>
      <c r="J67" s="39"/>
      <c r="K67" s="39"/>
      <c r="L67" s="39"/>
    </row>
    <row r="68" spans="1:12">
      <c r="A68" s="39" t="s">
        <v>493</v>
      </c>
      <c r="B68" s="39" t="s">
        <v>705</v>
      </c>
      <c r="C68" s="39" t="s">
        <v>494</v>
      </c>
      <c r="D68" s="39" t="s">
        <v>452</v>
      </c>
      <c r="E68" s="39" t="s">
        <v>703</v>
      </c>
      <c r="F68" s="39" t="s">
        <v>156</v>
      </c>
      <c r="G68" s="39"/>
      <c r="H68" s="39"/>
      <c r="I68" s="39"/>
      <c r="J68" s="39"/>
      <c r="K68" s="39"/>
      <c r="L68" s="39"/>
    </row>
    <row r="69" spans="1:12">
      <c r="A69" s="39" t="s">
        <v>490</v>
      </c>
      <c r="B69" s="39" t="s">
        <v>716</v>
      </c>
      <c r="C69" s="39" t="s">
        <v>492</v>
      </c>
      <c r="D69" s="39" t="s">
        <v>491</v>
      </c>
      <c r="E69" s="39" t="s">
        <v>703</v>
      </c>
      <c r="F69" s="39" t="s">
        <v>156</v>
      </c>
      <c r="G69" s="39"/>
      <c r="H69" s="39"/>
      <c r="I69" s="39"/>
      <c r="J69" s="39"/>
      <c r="K69" s="39"/>
      <c r="L69" s="39"/>
    </row>
    <row r="70" spans="1:12">
      <c r="A70" s="39" t="s">
        <v>488</v>
      </c>
      <c r="B70" s="39" t="s">
        <v>282</v>
      </c>
      <c r="C70" s="39" t="s">
        <v>489</v>
      </c>
      <c r="D70" s="39" t="s">
        <v>482</v>
      </c>
      <c r="E70" s="39" t="s">
        <v>703</v>
      </c>
      <c r="F70" s="39" t="s">
        <v>156</v>
      </c>
      <c r="G70" s="39"/>
      <c r="H70" s="39"/>
      <c r="I70" s="39"/>
      <c r="J70" s="39"/>
      <c r="K70" s="39"/>
      <c r="L70" s="39"/>
    </row>
    <row r="71" spans="1:12">
      <c r="A71" s="39" t="s">
        <v>568</v>
      </c>
      <c r="B71" s="39" t="s">
        <v>141</v>
      </c>
      <c r="C71" s="39" t="s">
        <v>570</v>
      </c>
      <c r="D71" s="39" t="s">
        <v>569</v>
      </c>
      <c r="E71" s="39" t="s">
        <v>703</v>
      </c>
      <c r="F71" s="39" t="s">
        <v>156</v>
      </c>
      <c r="G71" s="39"/>
      <c r="H71" s="39"/>
      <c r="I71" s="39"/>
      <c r="J71" s="39"/>
      <c r="K71" s="39"/>
      <c r="L71" s="39"/>
    </row>
    <row r="72" spans="1:12">
      <c r="A72" s="39" t="s">
        <v>171</v>
      </c>
      <c r="B72" s="39"/>
      <c r="C72" s="39" t="s">
        <v>487</v>
      </c>
      <c r="D72" s="39" t="s">
        <v>125</v>
      </c>
      <c r="E72" s="39" t="s">
        <v>703</v>
      </c>
      <c r="F72" s="39" t="s">
        <v>486</v>
      </c>
      <c r="G72" s="39"/>
      <c r="H72" s="39"/>
      <c r="I72" s="39"/>
      <c r="J72" s="39"/>
      <c r="K72" s="39"/>
      <c r="L72" s="39"/>
    </row>
    <row r="73" spans="1:12">
      <c r="A73" s="39" t="s">
        <v>484</v>
      </c>
      <c r="B73" s="39"/>
      <c r="C73" s="39" t="s">
        <v>485</v>
      </c>
      <c r="D73" s="39" t="s">
        <v>238</v>
      </c>
      <c r="E73" s="39" t="s">
        <v>703</v>
      </c>
      <c r="F73" s="39" t="s">
        <v>128</v>
      </c>
      <c r="G73" s="39"/>
      <c r="H73" s="39"/>
      <c r="I73" s="39"/>
      <c r="J73" s="39"/>
      <c r="K73" s="39"/>
      <c r="L73" s="39"/>
    </row>
    <row r="74" spans="1:12">
      <c r="A74" s="39" t="s">
        <v>665</v>
      </c>
      <c r="B74" s="39"/>
      <c r="C74" s="39" t="s">
        <v>667</v>
      </c>
      <c r="D74" s="39" t="s">
        <v>666</v>
      </c>
      <c r="E74" s="39" t="s">
        <v>703</v>
      </c>
      <c r="F74" s="39" t="s">
        <v>144</v>
      </c>
      <c r="G74" s="39"/>
      <c r="H74" s="39"/>
      <c r="I74" s="39"/>
      <c r="J74" s="39"/>
      <c r="K74" s="39"/>
      <c r="L74" s="39"/>
    </row>
    <row r="75" spans="1:12">
      <c r="A75" s="39" t="s">
        <v>481</v>
      </c>
      <c r="B75" s="39"/>
      <c r="C75" s="39" t="s">
        <v>483</v>
      </c>
      <c r="D75" s="39" t="s">
        <v>482</v>
      </c>
      <c r="E75" s="39" t="s">
        <v>703</v>
      </c>
      <c r="F75" s="39" t="s">
        <v>156</v>
      </c>
      <c r="G75" s="39"/>
      <c r="H75" s="39"/>
      <c r="I75" s="39"/>
      <c r="J75" s="39"/>
      <c r="K75" s="39"/>
      <c r="L75" s="39"/>
    </row>
    <row r="76" spans="1:12">
      <c r="A76" s="39" t="s">
        <v>476</v>
      </c>
      <c r="B76" s="39" t="s">
        <v>704</v>
      </c>
      <c r="C76" s="39" t="s">
        <v>478</v>
      </c>
      <c r="D76" s="39" t="s">
        <v>477</v>
      </c>
      <c r="E76" s="39" t="s">
        <v>703</v>
      </c>
      <c r="F76" s="39" t="s">
        <v>144</v>
      </c>
      <c r="G76" s="39"/>
      <c r="H76" s="39"/>
      <c r="I76" s="39"/>
      <c r="J76" s="39"/>
      <c r="K76" s="39"/>
      <c r="L76" s="39"/>
    </row>
    <row r="77" spans="1:12">
      <c r="A77" s="39" t="s">
        <v>474</v>
      </c>
      <c r="B77" s="39"/>
      <c r="C77" s="39" t="s">
        <v>474</v>
      </c>
      <c r="D77" s="39" t="s">
        <v>475</v>
      </c>
      <c r="E77" s="39" t="s">
        <v>703</v>
      </c>
      <c r="F77" s="39" t="s">
        <v>156</v>
      </c>
      <c r="G77" s="39"/>
      <c r="H77" s="39"/>
      <c r="I77" s="39"/>
      <c r="J77" s="39"/>
      <c r="K77" s="39"/>
      <c r="L77" s="39"/>
    </row>
    <row r="78" spans="1:12">
      <c r="A78" s="39" t="s">
        <v>470</v>
      </c>
      <c r="B78" s="39" t="s">
        <v>282</v>
      </c>
      <c r="C78" s="39" t="s">
        <v>473</v>
      </c>
      <c r="D78" s="39" t="s">
        <v>472</v>
      </c>
      <c r="E78" s="39" t="s">
        <v>703</v>
      </c>
      <c r="F78" s="39" t="s">
        <v>144</v>
      </c>
      <c r="G78" s="39"/>
      <c r="H78" s="39"/>
      <c r="I78" s="39"/>
      <c r="J78" s="39"/>
      <c r="K78" s="39"/>
      <c r="L78" s="39"/>
    </row>
    <row r="79" spans="1:12">
      <c r="A79" s="39" t="s">
        <v>466</v>
      </c>
      <c r="B79" s="39"/>
      <c r="C79" s="39" t="s">
        <v>399</v>
      </c>
      <c r="D79" s="39" t="s">
        <v>467</v>
      </c>
      <c r="E79" s="39" t="s">
        <v>703</v>
      </c>
      <c r="F79" s="39" t="s">
        <v>128</v>
      </c>
      <c r="G79" s="39"/>
      <c r="H79" s="39"/>
      <c r="I79" s="39"/>
      <c r="J79" s="39"/>
      <c r="K79" s="39"/>
      <c r="L79" s="39"/>
    </row>
    <row r="80" spans="1:12">
      <c r="A80" s="39" t="s">
        <v>462</v>
      </c>
      <c r="B80" s="39"/>
      <c r="C80" s="39" t="s">
        <v>439</v>
      </c>
      <c r="D80" s="39" t="s">
        <v>463</v>
      </c>
      <c r="E80" s="39" t="s">
        <v>703</v>
      </c>
      <c r="F80" s="39" t="s">
        <v>128</v>
      </c>
      <c r="G80" s="39"/>
      <c r="H80" s="39"/>
      <c r="I80" s="39"/>
      <c r="J80" s="39"/>
      <c r="K80" s="39"/>
      <c r="L80" s="39"/>
    </row>
    <row r="81" spans="1:12">
      <c r="A81" s="39" t="s">
        <v>459</v>
      </c>
      <c r="B81" s="39" t="s">
        <v>234</v>
      </c>
      <c r="C81" s="39" t="s">
        <v>461</v>
      </c>
      <c r="D81" s="39" t="s">
        <v>460</v>
      </c>
      <c r="E81" s="39" t="s">
        <v>703</v>
      </c>
      <c r="F81" s="39" t="s">
        <v>156</v>
      </c>
      <c r="G81" s="39"/>
      <c r="H81" s="39"/>
      <c r="I81" s="39"/>
      <c r="J81" s="39"/>
      <c r="K81" s="39"/>
      <c r="L81" s="39"/>
    </row>
    <row r="82" spans="1:12">
      <c r="A82" s="39" t="s">
        <v>457</v>
      </c>
      <c r="B82" s="39" t="s">
        <v>164</v>
      </c>
      <c r="C82" s="39" t="s">
        <v>416</v>
      </c>
      <c r="D82" s="39" t="s">
        <v>458</v>
      </c>
      <c r="E82" s="39" t="s">
        <v>703</v>
      </c>
      <c r="F82" s="39" t="s">
        <v>144</v>
      </c>
      <c r="G82" s="39"/>
      <c r="H82" s="39"/>
      <c r="I82" s="39"/>
      <c r="J82" s="39"/>
      <c r="K82" s="39"/>
      <c r="L82" s="39"/>
    </row>
    <row r="83" spans="1:12">
      <c r="A83" s="39" t="s">
        <v>719</v>
      </c>
      <c r="B83" s="39"/>
      <c r="C83" s="39" t="s">
        <v>720</v>
      </c>
      <c r="D83" s="39" t="s">
        <v>125</v>
      </c>
      <c r="E83" s="39" t="s">
        <v>703</v>
      </c>
      <c r="F83" s="39" t="s">
        <v>128</v>
      </c>
      <c r="G83" s="39"/>
      <c r="H83" s="39"/>
      <c r="I83" s="39"/>
      <c r="J83" s="39"/>
      <c r="K83" s="39"/>
      <c r="L83" s="39"/>
    </row>
    <row r="84" spans="1:12">
      <c r="A84" s="39" t="s">
        <v>451</v>
      </c>
      <c r="B84" s="39" t="s">
        <v>410</v>
      </c>
      <c r="C84" s="39" t="s">
        <v>410</v>
      </c>
      <c r="D84" s="39" t="s">
        <v>452</v>
      </c>
      <c r="E84" s="39" t="s">
        <v>703</v>
      </c>
      <c r="F84" s="39" t="s">
        <v>156</v>
      </c>
      <c r="G84" s="39"/>
      <c r="H84" s="39"/>
      <c r="I84" s="39"/>
      <c r="J84" s="39"/>
      <c r="K84" s="39"/>
      <c r="L84" s="39"/>
    </row>
    <row r="85" spans="1:12">
      <c r="A85" s="39" t="s">
        <v>446</v>
      </c>
      <c r="B85" s="39"/>
      <c r="C85" s="39" t="s">
        <v>448</v>
      </c>
      <c r="D85" s="39" t="s">
        <v>447</v>
      </c>
      <c r="E85" s="39" t="s">
        <v>703</v>
      </c>
      <c r="F85" s="39" t="s">
        <v>128</v>
      </c>
      <c r="G85" s="39"/>
      <c r="H85" s="39"/>
      <c r="I85" s="39"/>
      <c r="J85" s="39"/>
      <c r="K85" s="39"/>
      <c r="L85" s="39"/>
    </row>
    <row r="86" spans="1:12">
      <c r="A86" s="39" t="s">
        <v>440</v>
      </c>
      <c r="B86" s="39"/>
      <c r="C86" s="39" t="s">
        <v>244</v>
      </c>
      <c r="D86" s="39" t="s">
        <v>441</v>
      </c>
      <c r="E86" s="39" t="s">
        <v>703</v>
      </c>
      <c r="F86" s="39" t="s">
        <v>128</v>
      </c>
      <c r="G86" s="39"/>
      <c r="H86" s="39"/>
      <c r="I86" s="39"/>
      <c r="J86" s="39"/>
      <c r="K86" s="39"/>
      <c r="L86" s="39"/>
    </row>
    <row r="87" spans="1:12">
      <c r="A87" s="39" t="s">
        <v>677</v>
      </c>
      <c r="B87" s="39" t="s">
        <v>312</v>
      </c>
      <c r="C87" s="39" t="s">
        <v>312</v>
      </c>
      <c r="D87" s="39" t="s">
        <v>482</v>
      </c>
      <c r="E87" s="39" t="s">
        <v>703</v>
      </c>
      <c r="F87" s="39" t="s">
        <v>156</v>
      </c>
      <c r="G87" s="39"/>
      <c r="H87" s="39"/>
      <c r="I87" s="39"/>
      <c r="J87" s="39"/>
      <c r="K87" s="39"/>
      <c r="L87" s="39"/>
    </row>
    <row r="88" spans="1:12">
      <c r="A88" s="39" t="s">
        <v>438</v>
      </c>
      <c r="B88" s="39"/>
      <c r="C88" s="39" t="s">
        <v>439</v>
      </c>
      <c r="D88" s="39" t="s">
        <v>238</v>
      </c>
      <c r="E88" s="39" t="s">
        <v>706</v>
      </c>
      <c r="F88" s="39" t="s">
        <v>128</v>
      </c>
      <c r="G88" s="39"/>
      <c r="H88" s="39"/>
      <c r="I88" s="39"/>
      <c r="J88" s="39"/>
      <c r="K88" s="39"/>
      <c r="L88" s="39"/>
    </row>
    <row r="89" spans="1:12">
      <c r="A89" s="39" t="s">
        <v>641</v>
      </c>
      <c r="B89" s="39"/>
      <c r="C89" s="39" t="s">
        <v>439</v>
      </c>
      <c r="D89" s="39" t="s">
        <v>615</v>
      </c>
      <c r="E89" s="39" t="s">
        <v>706</v>
      </c>
      <c r="F89" s="39" t="s">
        <v>128</v>
      </c>
      <c r="G89" s="39"/>
      <c r="H89" s="39"/>
      <c r="I89" s="39"/>
      <c r="J89" s="39"/>
      <c r="K89" s="39"/>
      <c r="L89" s="39"/>
    </row>
    <row r="90" spans="1:12">
      <c r="A90" s="39" t="s">
        <v>662</v>
      </c>
      <c r="B90" s="39"/>
      <c r="C90" s="39" t="s">
        <v>439</v>
      </c>
      <c r="D90" s="39" t="s">
        <v>125</v>
      </c>
      <c r="E90" s="39" t="s">
        <v>706</v>
      </c>
      <c r="F90" s="39" t="s">
        <v>128</v>
      </c>
      <c r="G90" s="39"/>
      <c r="H90" s="39"/>
      <c r="I90" s="39"/>
      <c r="J90" s="39"/>
      <c r="K90" s="39"/>
      <c r="L90" s="39"/>
    </row>
    <row r="91" spans="1:12">
      <c r="A91" s="39" t="s">
        <v>644</v>
      </c>
      <c r="B91" s="39"/>
      <c r="C91" s="39" t="s">
        <v>645</v>
      </c>
      <c r="D91" s="39" t="s">
        <v>463</v>
      </c>
      <c r="E91" s="39" t="s">
        <v>706</v>
      </c>
      <c r="F91" s="39" t="s">
        <v>128</v>
      </c>
      <c r="G91" s="39"/>
      <c r="H91" s="39"/>
      <c r="I91" s="39"/>
      <c r="J91" s="39"/>
      <c r="K91" s="39"/>
      <c r="L91" s="39"/>
    </row>
    <row r="92" spans="1:12">
      <c r="A92" s="39" t="s">
        <v>661</v>
      </c>
      <c r="B92" s="39"/>
      <c r="C92" s="39" t="s">
        <v>498</v>
      </c>
      <c r="D92" s="39" t="s">
        <v>125</v>
      </c>
      <c r="E92" s="39" t="s">
        <v>706</v>
      </c>
      <c r="F92" s="39" t="s">
        <v>128</v>
      </c>
      <c r="G92" s="39"/>
      <c r="H92" s="39"/>
      <c r="I92" s="39"/>
      <c r="J92" s="39"/>
      <c r="K92" s="39"/>
      <c r="L92" s="39"/>
    </row>
    <row r="93" spans="1:12">
      <c r="A93" s="39" t="s">
        <v>673</v>
      </c>
      <c r="B93" s="39" t="s">
        <v>223</v>
      </c>
      <c r="C93" s="39" t="s">
        <v>561</v>
      </c>
      <c r="D93" s="39" t="s">
        <v>482</v>
      </c>
      <c r="E93" s="39" t="s">
        <v>706</v>
      </c>
      <c r="F93" s="39" t="s">
        <v>156</v>
      </c>
      <c r="G93" s="39"/>
      <c r="H93" s="39"/>
      <c r="I93" s="39"/>
      <c r="J93" s="39"/>
      <c r="K93" s="39"/>
      <c r="L93" s="39"/>
    </row>
    <row r="94" spans="1:12">
      <c r="A94" s="39" t="s">
        <v>402</v>
      </c>
      <c r="B94" s="39"/>
      <c r="C94" s="39" t="s">
        <v>675</v>
      </c>
      <c r="D94" s="39" t="s">
        <v>674</v>
      </c>
      <c r="E94" s="39" t="s">
        <v>706</v>
      </c>
      <c r="F94" s="39" t="s">
        <v>156</v>
      </c>
      <c r="G94" s="39"/>
      <c r="H94" s="39"/>
      <c r="I94" s="39"/>
      <c r="J94" s="39"/>
      <c r="K94" s="39"/>
      <c r="L94" s="39"/>
    </row>
    <row r="95" spans="1:12">
      <c r="A95" s="39" t="s">
        <v>655</v>
      </c>
      <c r="B95" s="39"/>
      <c r="C95" s="39" t="s">
        <v>645</v>
      </c>
      <c r="D95" s="39" t="s">
        <v>656</v>
      </c>
      <c r="E95" s="39" t="s">
        <v>706</v>
      </c>
      <c r="F95" s="39" t="s">
        <v>128</v>
      </c>
      <c r="G95" s="39"/>
      <c r="H95" s="39"/>
      <c r="I95" s="39"/>
      <c r="J95" s="39"/>
      <c r="K95" s="39"/>
      <c r="L95" s="39"/>
    </row>
    <row r="96" spans="1:12">
      <c r="A96" s="39" t="s">
        <v>713</v>
      </c>
      <c r="B96" s="39" t="s">
        <v>164</v>
      </c>
      <c r="C96" s="39" t="s">
        <v>714</v>
      </c>
      <c r="D96" s="39" t="s">
        <v>482</v>
      </c>
      <c r="E96" s="39" t="s">
        <v>706</v>
      </c>
      <c r="F96" s="39" t="s">
        <v>144</v>
      </c>
      <c r="G96" s="39"/>
      <c r="H96" s="39"/>
      <c r="I96" s="39"/>
      <c r="J96" s="39"/>
      <c r="K96" s="39"/>
      <c r="L96" s="39"/>
    </row>
    <row r="97" spans="1:12">
      <c r="A97" s="39" t="s">
        <v>659</v>
      </c>
      <c r="B97" s="39"/>
      <c r="C97" s="39" t="s">
        <v>660</v>
      </c>
      <c r="D97" s="39" t="s">
        <v>615</v>
      </c>
      <c r="E97" s="39" t="s">
        <v>706</v>
      </c>
      <c r="F97" s="39" t="s">
        <v>144</v>
      </c>
      <c r="G97" s="39"/>
      <c r="H97" s="39"/>
      <c r="I97" s="39"/>
      <c r="J97" s="39"/>
      <c r="K97" s="39"/>
      <c r="L97" s="39"/>
    </row>
    <row r="98" spans="1:12">
      <c r="A98" s="40" t="s">
        <v>623</v>
      </c>
      <c r="B98" s="39" t="s">
        <v>716</v>
      </c>
      <c r="C98" s="39" t="s">
        <v>492</v>
      </c>
      <c r="D98" s="39" t="s">
        <v>624</v>
      </c>
      <c r="E98" s="39" t="s">
        <v>717</v>
      </c>
      <c r="F98" s="39" t="s">
        <v>156</v>
      </c>
      <c r="G98" s="39"/>
      <c r="H98" s="39"/>
      <c r="I98" s="39"/>
      <c r="J98" s="39"/>
      <c r="K98" s="39"/>
      <c r="L98" s="39"/>
    </row>
    <row r="99" spans="1:12">
      <c r="A99" s="39" t="s">
        <v>618</v>
      </c>
      <c r="B99" s="39"/>
      <c r="C99" s="39" t="s">
        <v>620</v>
      </c>
      <c r="D99" s="39" t="s">
        <v>619</v>
      </c>
      <c r="E99" s="39" t="s">
        <v>717</v>
      </c>
      <c r="F99" s="39" t="s">
        <v>128</v>
      </c>
      <c r="G99" s="39"/>
      <c r="H99" s="39"/>
      <c r="I99" s="39"/>
      <c r="J99" s="39"/>
      <c r="K99" s="39"/>
      <c r="L99" s="39"/>
    </row>
    <row r="100" spans="1:12">
      <c r="A100" s="39" t="s">
        <v>625</v>
      </c>
      <c r="B100" s="39"/>
      <c r="C100" s="39" t="s">
        <v>627</v>
      </c>
      <c r="D100" s="39" t="s">
        <v>626</v>
      </c>
      <c r="E100" s="39" t="s">
        <v>717</v>
      </c>
      <c r="F100" s="39" t="s">
        <v>128</v>
      </c>
      <c r="G100" s="39"/>
      <c r="H100" s="39"/>
      <c r="I100" s="39"/>
      <c r="J100" s="39"/>
      <c r="K100" s="39"/>
      <c r="L100" s="39"/>
    </row>
    <row r="101" spans="1:12">
      <c r="A101" s="39" t="s">
        <v>621</v>
      </c>
      <c r="B101" s="39"/>
      <c r="C101" s="39" t="s">
        <v>620</v>
      </c>
      <c r="D101" s="39" t="s">
        <v>622</v>
      </c>
      <c r="E101" s="39" t="s">
        <v>717</v>
      </c>
      <c r="F101" s="39" t="s">
        <v>128</v>
      </c>
      <c r="G101" s="39"/>
      <c r="H101" s="39"/>
      <c r="I101" s="39"/>
      <c r="J101" s="39"/>
      <c r="K101" s="39"/>
      <c r="L101" s="39"/>
    </row>
    <row r="102" spans="1:12">
      <c r="A102" s="39" t="s">
        <v>634</v>
      </c>
      <c r="B102" s="39" t="s">
        <v>721</v>
      </c>
      <c r="C102" s="39" t="s">
        <v>635</v>
      </c>
      <c r="D102" s="39" t="s">
        <v>482</v>
      </c>
      <c r="E102" s="39" t="s">
        <v>717</v>
      </c>
      <c r="F102" s="39" t="s">
        <v>156</v>
      </c>
      <c r="G102" s="39"/>
      <c r="H102" s="39"/>
      <c r="I102" s="39"/>
      <c r="J102" s="39"/>
      <c r="K102" s="39"/>
      <c r="L102" s="39"/>
    </row>
    <row r="103" spans="1:12">
      <c r="A103" s="39" t="s">
        <v>663</v>
      </c>
      <c r="B103" s="39" t="s">
        <v>710</v>
      </c>
      <c r="C103" s="39" t="s">
        <v>654</v>
      </c>
      <c r="D103" s="39" t="s">
        <v>664</v>
      </c>
      <c r="E103" s="39" t="s">
        <v>717</v>
      </c>
      <c r="F103" s="39" t="s">
        <v>156</v>
      </c>
      <c r="G103" s="39"/>
      <c r="H103" s="39"/>
      <c r="I103" s="39"/>
      <c r="J103" s="39"/>
      <c r="K103" s="39"/>
      <c r="L103" s="39"/>
    </row>
    <row r="104" spans="1:12">
      <c r="A104" s="39" t="s">
        <v>636</v>
      </c>
      <c r="B104" s="39" t="s">
        <v>716</v>
      </c>
      <c r="C104" s="39" t="s">
        <v>492</v>
      </c>
      <c r="D104" s="39" t="s">
        <v>387</v>
      </c>
      <c r="E104" s="39" t="s">
        <v>717</v>
      </c>
      <c r="F104" s="39" t="s">
        <v>156</v>
      </c>
      <c r="G104" s="39"/>
      <c r="H104" s="39"/>
      <c r="I104" s="39"/>
      <c r="J104" s="39"/>
      <c r="K104" s="39"/>
      <c r="L104" s="39"/>
    </row>
    <row r="105" spans="1:12">
      <c r="A105" s="39" t="s">
        <v>182</v>
      </c>
      <c r="B105" s="39"/>
      <c r="C105" s="39" t="s">
        <v>638</v>
      </c>
      <c r="D105" s="39" t="s">
        <v>637</v>
      </c>
      <c r="E105" s="39" t="s">
        <v>717</v>
      </c>
      <c r="F105" s="39" t="s">
        <v>156</v>
      </c>
      <c r="G105" s="39"/>
      <c r="H105" s="39"/>
      <c r="I105" s="39"/>
      <c r="J105" s="39"/>
      <c r="K105" s="39"/>
      <c r="L105" s="39"/>
    </row>
    <row r="106" spans="1:12">
      <c r="A106" s="39" t="s">
        <v>722</v>
      </c>
      <c r="B106" s="39" t="s">
        <v>723</v>
      </c>
      <c r="C106" s="39" t="s">
        <v>724</v>
      </c>
      <c r="D106" s="39" t="s">
        <v>387</v>
      </c>
      <c r="E106" s="39" t="s">
        <v>717</v>
      </c>
      <c r="F106" s="39" t="s">
        <v>144</v>
      </c>
      <c r="G106" s="39"/>
      <c r="H106" s="39"/>
      <c r="I106" s="39"/>
      <c r="J106" s="39"/>
      <c r="K106" s="39"/>
      <c r="L106" s="39"/>
    </row>
    <row r="107" spans="1:12">
      <c r="A107" s="39" t="s">
        <v>639</v>
      </c>
      <c r="B107" s="39" t="s">
        <v>633</v>
      </c>
      <c r="C107" s="39" t="s">
        <v>633</v>
      </c>
      <c r="D107" s="39" t="s">
        <v>632</v>
      </c>
      <c r="E107" s="39" t="s">
        <v>717</v>
      </c>
      <c r="F107" s="39" t="s">
        <v>144</v>
      </c>
      <c r="G107" s="39"/>
      <c r="H107" s="39"/>
      <c r="I107" s="39"/>
      <c r="J107" s="39"/>
      <c r="K107" s="39"/>
      <c r="L107" s="39"/>
    </row>
    <row r="108" spans="1:12">
      <c r="A108" s="39" t="s">
        <v>725</v>
      </c>
      <c r="B108" s="40" t="s">
        <v>450</v>
      </c>
      <c r="C108" s="40" t="s">
        <v>450</v>
      </c>
      <c r="D108" s="40" t="s">
        <v>482</v>
      </c>
      <c r="E108" s="40" t="s">
        <v>717</v>
      </c>
      <c r="F108" s="39" t="s">
        <v>156</v>
      </c>
      <c r="G108" s="39"/>
      <c r="H108" s="39"/>
      <c r="I108" s="39"/>
      <c r="J108" s="39"/>
      <c r="K108" s="39"/>
      <c r="L108" s="39"/>
    </row>
    <row r="109" spans="1:1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 spans="1:1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 spans="1:12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1:1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1:1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1:12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12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1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1:1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 spans="1:12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</row>
    <row r="154" spans="1:12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 spans="1:1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1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1:1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1:1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1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1:12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 spans="1:12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 spans="1:12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1:12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 spans="1:12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 spans="1:12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 spans="1:12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 spans="1:12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 spans="1:12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 spans="1:1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 spans="1:12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 spans="1:12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1:12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1:12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 spans="1:12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 spans="1:12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 spans="1:12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 spans="1:12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 spans="1:1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 spans="1:1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 spans="1:12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 spans="1:12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1:12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1:12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 spans="1:12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 spans="1:12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 spans="1:12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 spans="1:12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 spans="1:1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spans="1:1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 spans="1:12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 spans="1:12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 spans="1:12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 spans="1:12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 spans="1:12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spans="1:12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 spans="1:12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 spans="1:12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 spans="1:12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 spans="1:1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 spans="1:12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 spans="1:12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 spans="1:12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spans="1:12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 spans="1:12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 spans="1:12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 spans="1:12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 spans="1:12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 spans="1:12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 spans="1: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  <row r="213" spans="1:1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</row>
    <row r="214" spans="1:1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</row>
    <row r="215" spans="1:12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</row>
    <row r="216" spans="1:12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</row>
    <row r="217" spans="1:12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</row>
    <row r="218" spans="1:12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</row>
    <row r="219" spans="1:1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</row>
    <row r="220" spans="1:12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</row>
    <row r="221" spans="1:1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</row>
    <row r="222" spans="1:1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</row>
    <row r="223" spans="1:1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</row>
    <row r="224" spans="1:12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</row>
    <row r="225" spans="1:1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</row>
    <row r="226" spans="1:12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</row>
    <row r="227" spans="1:1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</row>
    <row r="228" spans="1:12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</row>
    <row r="229" spans="1:1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 spans="1:12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</row>
    <row r="231" spans="1:1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</row>
    <row r="232" spans="1:1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</row>
    <row r="233" spans="1:12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</row>
    <row r="234" spans="1:12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</row>
    <row r="235" spans="1:12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</row>
    <row r="236" spans="1:12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</row>
    <row r="237" spans="1:12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</row>
    <row r="238" spans="1:12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</row>
    <row r="239" spans="1:12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</row>
    <row r="240" spans="1:12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</row>
    <row r="241" spans="1:12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</row>
    <row r="242" spans="1:1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</row>
    <row r="243" spans="1:12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</row>
    <row r="244" spans="1:12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</row>
    <row r="245" spans="1:1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</row>
    <row r="246" spans="1:1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</row>
    <row r="247" spans="1:1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</row>
    <row r="248" spans="1:1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</row>
    <row r="249" spans="1:1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</row>
    <row r="250" spans="1:1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</row>
    <row r="251" spans="1:1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</row>
    <row r="252" spans="1:1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</row>
    <row r="253" spans="1:1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</row>
    <row r="254" spans="1:1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</row>
    <row r="255" spans="1:1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</row>
    <row r="256" spans="1:1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</row>
    <row r="257" spans="1:1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</row>
    <row r="258" spans="1:1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</row>
    <row r="259" spans="1:1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</row>
    <row r="260" spans="1:1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</row>
    <row r="261" spans="1:1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</row>
    <row r="262" spans="1:1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</row>
    <row r="263" spans="1:1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</row>
    <row r="264" spans="1:1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</row>
    <row r="265" spans="1:1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</row>
    <row r="266" spans="1:1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</row>
    <row r="267" spans="1:1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</row>
    <row r="268" spans="1:1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</row>
    <row r="269" spans="1:1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</row>
    <row r="270" spans="1:1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</row>
    <row r="271" spans="1:1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</row>
    <row r="272" spans="1:1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</row>
    <row r="273" spans="1:1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</row>
    <row r="274" spans="1:1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</row>
    <row r="275" spans="1:1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</row>
    <row r="276" spans="1:1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</row>
    <row r="277" spans="1:1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</row>
    <row r="278" spans="1:1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</row>
    <row r="279" spans="1:1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</row>
    <row r="280" spans="1:1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</row>
    <row r="281" spans="1:1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</row>
    <row r="282" spans="1:1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</row>
    <row r="283" spans="1:1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</row>
    <row r="284" spans="1:1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</row>
    <row r="285" spans="1:1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</row>
    <row r="286" spans="1:1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</row>
    <row r="287" spans="1:1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</row>
    <row r="288" spans="1:1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</row>
    <row r="289" spans="1:1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</row>
    <row r="290" spans="1:1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</row>
    <row r="291" spans="1:1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</row>
    <row r="292" spans="1:1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</row>
    <row r="293" spans="1:1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</row>
    <row r="294" spans="1:1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</row>
    <row r="295" spans="1:1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</row>
    <row r="296" spans="1:1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</row>
    <row r="297" spans="1:1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</row>
    <row r="298" spans="1:1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</row>
    <row r="299" spans="1:1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</row>
    <row r="300" spans="1:1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</row>
    <row r="301" spans="1:1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</row>
    <row r="302" spans="1:1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</row>
    <row r="303" spans="1:1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</row>
    <row r="304" spans="1:1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</row>
    <row r="305" spans="1:1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</row>
    <row r="306" spans="1:1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</row>
    <row r="307" spans="1:1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</row>
    <row r="308" spans="1:1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</row>
    <row r="309" spans="1:1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</row>
    <row r="310" spans="1:1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</row>
    <row r="311" spans="1:1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</row>
    <row r="312" spans="1: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</row>
    <row r="313" spans="1:1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</row>
    <row r="314" spans="1:1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</row>
    <row r="315" spans="1:1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</row>
    <row r="316" spans="1:1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</row>
    <row r="317" spans="1:1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</row>
    <row r="318" spans="1:1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</row>
    <row r="319" spans="1:1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</row>
    <row r="320" spans="1:1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</row>
    <row r="321" spans="1:1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</row>
    <row r="322" spans="1:1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</row>
    <row r="323" spans="1:1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</row>
    <row r="324" spans="1:1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</row>
    <row r="325" spans="1:1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</row>
    <row r="326" spans="1:1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</row>
    <row r="327" spans="1:1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</row>
    <row r="328" spans="1:1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</row>
    <row r="329" spans="1:1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</row>
    <row r="330" spans="1:1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</row>
    <row r="331" spans="1:1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</row>
    <row r="332" spans="1:1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</row>
    <row r="333" spans="1:1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</row>
    <row r="334" spans="1:1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</row>
    <row r="335" spans="1:1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</row>
    <row r="336" spans="1:1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</row>
    <row r="337" spans="1:1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</row>
    <row r="338" spans="1:1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</row>
    <row r="339" spans="1:1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</row>
    <row r="340" spans="1:1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</row>
    <row r="341" spans="1:1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</row>
    <row r="342" spans="1:1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</row>
    <row r="343" spans="1:1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</row>
    <row r="344" spans="1:1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</row>
    <row r="345" spans="1:1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</row>
    <row r="346" spans="1:1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</row>
    <row r="347" spans="1:1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</row>
    <row r="348" spans="1:1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</row>
    <row r="349" spans="1:1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</row>
    <row r="350" spans="1:1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</row>
    <row r="351" spans="1:1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</row>
    <row r="352" spans="1:1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</row>
    <row r="353" spans="1:1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</row>
    <row r="354" spans="1:1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</row>
    <row r="355" spans="1:1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</row>
    <row r="356" spans="1:1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</row>
    <row r="357" spans="1:1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</row>
    <row r="358" spans="1:1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</row>
    <row r="359" spans="1:1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</row>
    <row r="360" spans="1:1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</row>
    <row r="361" spans="1:1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</row>
    <row r="362" spans="1:1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</row>
    <row r="363" spans="1:1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</row>
    <row r="364" spans="1:1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</row>
    <row r="365" spans="1:1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</row>
    <row r="366" spans="1:1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</row>
    <row r="367" spans="1:1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</row>
    <row r="368" spans="1:1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</row>
    <row r="369" spans="1:1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</row>
    <row r="370" spans="1:1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</row>
    <row r="371" spans="1:1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</row>
    <row r="372" spans="1:1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</row>
    <row r="373" spans="1:1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</row>
    <row r="374" spans="1:1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</row>
    <row r="375" spans="1:1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</row>
    <row r="376" spans="1:1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</row>
    <row r="377" spans="1:1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</row>
    <row r="378" spans="1:1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</row>
    <row r="379" spans="1:1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</row>
    <row r="380" spans="1:1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</row>
    <row r="381" spans="1:1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</row>
    <row r="382" spans="1:1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</row>
    <row r="383" spans="1:1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</row>
    <row r="384" spans="1:1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</row>
    <row r="385" spans="1:1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</row>
    <row r="386" spans="1:1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</row>
    <row r="387" spans="1:1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</row>
    <row r="388" spans="1:1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</row>
    <row r="389" spans="1:1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</row>
    <row r="390" spans="1:1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</row>
    <row r="391" spans="1:1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</row>
    <row r="392" spans="1:1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</row>
    <row r="393" spans="1:12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</row>
    <row r="394" spans="1:1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</row>
    <row r="395" spans="1:12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</row>
    <row r="396" spans="1:1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</row>
    <row r="397" spans="1:12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</row>
    <row r="398" spans="1:1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</row>
    <row r="399" spans="1:12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</row>
    <row r="400" spans="1:1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</row>
    <row r="401" spans="1:12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</row>
    <row r="402" spans="1:1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</row>
    <row r="403" spans="1:12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</row>
    <row r="404" spans="1:1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</row>
    <row r="405" spans="1:12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</row>
    <row r="406" spans="1:1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</row>
    <row r="407" spans="1:12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</row>
    <row r="408" spans="1:1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</row>
    <row r="409" spans="1:12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</row>
    <row r="410" spans="1:1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</row>
    <row r="411" spans="1:12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</row>
    <row r="412" spans="1: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</row>
    <row r="413" spans="1:12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</row>
    <row r="414" spans="1:1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</row>
    <row r="415" spans="1:12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</row>
    <row r="416" spans="1:1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</row>
    <row r="417" spans="1:12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</row>
    <row r="418" spans="1:1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</row>
    <row r="419" spans="1:12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</row>
    <row r="420" spans="1:1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</row>
    <row r="421" spans="1:12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</row>
    <row r="422" spans="1:1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</row>
    <row r="423" spans="1:12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</row>
    <row r="424" spans="1:12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</row>
    <row r="425" spans="1:12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</row>
    <row r="426" spans="1:12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</row>
    <row r="427" spans="1:12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</row>
    <row r="428" spans="1:12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</row>
    <row r="429" spans="1:12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</row>
    <row r="430" spans="1:12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</row>
    <row r="431" spans="1:12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</row>
    <row r="432" spans="1:1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</row>
    <row r="433" spans="1:12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</row>
    <row r="434" spans="1:12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</row>
    <row r="435" spans="1:12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</row>
    <row r="436" spans="1:12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</row>
    <row r="437" spans="1:12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</row>
    <row r="438" spans="1:12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</row>
    <row r="439" spans="1:12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</row>
    <row r="440" spans="1:12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</row>
    <row r="441" spans="1:12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</row>
    <row r="442" spans="1:1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</row>
    <row r="443" spans="1:12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</row>
    <row r="444" spans="1:12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</row>
    <row r="445" spans="1:12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</row>
    <row r="446" spans="1:12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</row>
    <row r="447" spans="1:12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</row>
    <row r="448" spans="1:12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</row>
    <row r="449" spans="1:12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</row>
    <row r="450" spans="1:12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</row>
    <row r="451" spans="1:12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</row>
    <row r="452" spans="1:1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</row>
    <row r="453" spans="1:12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</row>
    <row r="454" spans="1:12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</row>
    <row r="455" spans="1:12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</row>
    <row r="456" spans="1:12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</row>
    <row r="457" spans="1:12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</row>
    <row r="458" spans="1:12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</row>
    <row r="459" spans="1:12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</row>
    <row r="460" spans="1:12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</row>
    <row r="461" spans="1:12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</row>
    <row r="462" spans="1:1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</row>
    <row r="463" spans="1:12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</row>
    <row r="464" spans="1:12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</row>
    <row r="465" spans="1:12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</row>
    <row r="466" spans="1:12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</row>
    <row r="467" spans="1:12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</row>
    <row r="468" spans="1:12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</row>
    <row r="469" spans="1:12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</row>
    <row r="470" spans="1:12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</row>
    <row r="471" spans="1:12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</row>
    <row r="472" spans="1:1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</row>
    <row r="473" spans="1:12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</row>
    <row r="474" spans="1:12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</row>
    <row r="475" spans="1:12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</row>
    <row r="476" spans="1:12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</row>
    <row r="477" spans="1:12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</row>
    <row r="478" spans="1:12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</row>
    <row r="479" spans="1:12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</row>
    <row r="480" spans="1:12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</row>
    <row r="481" spans="1:12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</row>
    <row r="482" spans="1:1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</row>
    <row r="483" spans="1:12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</row>
    <row r="484" spans="1:12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</row>
    <row r="485" spans="1:12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</row>
    <row r="486" spans="1:12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</row>
    <row r="487" spans="1:12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</row>
    <row r="488" spans="1:12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</row>
    <row r="489" spans="1:12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</row>
    <row r="490" spans="1:12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</row>
    <row r="491" spans="1:12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</row>
    <row r="492" spans="1:1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</row>
    <row r="493" spans="1:12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</row>
    <row r="494" spans="1:12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</row>
    <row r="495" spans="1:12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</row>
    <row r="496" spans="1:12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</row>
    <row r="497" spans="1:12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</row>
    <row r="498" spans="1:12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</row>
    <row r="499" spans="1:12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</row>
    <row r="500" spans="1:12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</row>
    <row r="501" spans="1:12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</row>
    <row r="502" spans="1:1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</row>
    <row r="503" spans="1:12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</row>
    <row r="504" spans="1:12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</row>
    <row r="505" spans="1:12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</row>
    <row r="506" spans="1:12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</row>
    <row r="507" spans="1:12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</row>
    <row r="508" spans="1:12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</row>
    <row r="509" spans="1:12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</row>
    <row r="510" spans="1:12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</row>
    <row r="511" spans="1:12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</row>
    <row r="512" spans="1: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</row>
    <row r="513" spans="1:12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</row>
    <row r="514" spans="1:12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</row>
    <row r="515" spans="1:12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</row>
    <row r="516" spans="1:12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</row>
    <row r="517" spans="1:12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</row>
    <row r="518" spans="1:12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</row>
    <row r="519" spans="1:12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</row>
    <row r="520" spans="1:12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</row>
    <row r="521" spans="1:12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</row>
    <row r="522" spans="1:1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</row>
    <row r="523" spans="1:12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</row>
    <row r="524" spans="1:12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</row>
    <row r="525" spans="1:12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</row>
    <row r="526" spans="1:12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</row>
    <row r="527" spans="1:12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</row>
    <row r="528" spans="1:12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</row>
    <row r="529" spans="1:12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</row>
    <row r="530" spans="1:12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</row>
    <row r="531" spans="1:12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</row>
    <row r="532" spans="1:1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</row>
    <row r="533" spans="1:12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</row>
    <row r="534" spans="1:12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</row>
    <row r="535" spans="1:12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</row>
    <row r="536" spans="1:12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</row>
    <row r="537" spans="1:12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</row>
    <row r="538" spans="1:12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</row>
    <row r="539" spans="1:12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</row>
    <row r="540" spans="1:12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</row>
    <row r="541" spans="1:12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</row>
    <row r="542" spans="1:1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</row>
    <row r="543" spans="1:12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</row>
    <row r="544" spans="1:12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</row>
    <row r="545" spans="1:12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</row>
    <row r="546" spans="1:12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</row>
    <row r="547" spans="1:12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</row>
    <row r="548" spans="1:12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</row>
    <row r="549" spans="1:12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</row>
    <row r="550" spans="1:12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</row>
    <row r="551" spans="1:12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</row>
    <row r="552" spans="1:1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</row>
    <row r="553" spans="1:12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</row>
    <row r="554" spans="1:12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</row>
    <row r="555" spans="1:12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</row>
    <row r="556" spans="1:12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</row>
    <row r="557" spans="1:12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</row>
    <row r="558" spans="1:12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</row>
    <row r="559" spans="1:12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</row>
    <row r="560" spans="1:12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</row>
    <row r="561" spans="1:12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</row>
    <row r="562" spans="1:1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</row>
    <row r="563" spans="1:12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</row>
    <row r="564" spans="1:12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</row>
    <row r="565" spans="1:12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</row>
    <row r="566" spans="1:12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</row>
    <row r="567" spans="1:12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</row>
    <row r="568" spans="1:12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</row>
    <row r="569" spans="1:12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</row>
    <row r="570" spans="1:12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</row>
    <row r="571" spans="1:12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</row>
    <row r="572" spans="1:1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</row>
    <row r="573" spans="1:12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</row>
    <row r="574" spans="1:12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</row>
    <row r="575" spans="1:12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</row>
    <row r="576" spans="1:12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</row>
    <row r="577" spans="1:12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</row>
    <row r="578" spans="1:12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</row>
    <row r="579" spans="1:12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</row>
    <row r="580" spans="1:12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</row>
    <row r="581" spans="1:12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</row>
    <row r="582" spans="1:1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</row>
    <row r="583" spans="1:12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</row>
    <row r="584" spans="1:12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</row>
    <row r="585" spans="1:12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</row>
    <row r="586" spans="1:12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</row>
    <row r="587" spans="1:12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</row>
    <row r="588" spans="1:12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</row>
    <row r="589" spans="1:12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</row>
    <row r="590" spans="1:12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</row>
    <row r="591" spans="1:12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</row>
    <row r="592" spans="1:1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</row>
    <row r="593" spans="1:12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</row>
    <row r="594" spans="1:12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</row>
    <row r="595" spans="1:12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</row>
    <row r="596" spans="1:12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</row>
    <row r="597" spans="1:12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</row>
    <row r="598" spans="1:12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</row>
    <row r="599" spans="1:12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</row>
    <row r="600" spans="1:12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</row>
    <row r="601" spans="1:12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</row>
    <row r="602" spans="1:1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</row>
    <row r="603" spans="1:12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</row>
    <row r="604" spans="1:12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</row>
    <row r="605" spans="1:12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</row>
    <row r="606" spans="1:12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</row>
    <row r="607" spans="1:12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</row>
    <row r="608" spans="1:12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</row>
    <row r="609" spans="1:12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</row>
    <row r="610" spans="1:12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</row>
    <row r="611" spans="1:12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</row>
    <row r="612" spans="1: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</row>
    <row r="613" spans="1:12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</row>
    <row r="614" spans="1:12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</row>
    <row r="615" spans="1:12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</row>
    <row r="616" spans="1:12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</row>
    <row r="617" spans="1:12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</row>
    <row r="618" spans="1:12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</row>
    <row r="619" spans="1:12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</row>
    <row r="620" spans="1:12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</row>
    <row r="621" spans="1:12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</row>
    <row r="622" spans="1:1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</row>
    <row r="623" spans="1:12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</row>
    <row r="624" spans="1:12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</row>
    <row r="625" spans="1:12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</row>
    <row r="626" spans="1:12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</row>
    <row r="627" spans="1:12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</row>
    <row r="628" spans="1:12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</row>
    <row r="629" spans="1:12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</row>
    <row r="630" spans="1:12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</row>
    <row r="631" spans="1:12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</row>
    <row r="632" spans="1:1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</row>
    <row r="633" spans="1:12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</row>
    <row r="634" spans="1:12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</row>
    <row r="635" spans="1:12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</row>
    <row r="636" spans="1:12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</row>
    <row r="637" spans="1:12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</row>
    <row r="638" spans="1:12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</row>
    <row r="639" spans="1:12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</row>
    <row r="640" spans="1:12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</row>
    <row r="641" spans="1:12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</row>
    <row r="642" spans="1:1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</row>
    <row r="643" spans="1:12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</row>
    <row r="644" spans="1:12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</row>
    <row r="645" spans="1:12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</row>
    <row r="646" spans="1:12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</row>
    <row r="647" spans="1:12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</row>
    <row r="648" spans="1:12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</row>
    <row r="649" spans="1:12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</row>
    <row r="650" spans="1:12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</row>
    <row r="651" spans="1:12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</row>
    <row r="652" spans="1:1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</row>
    <row r="653" spans="1:12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</row>
    <row r="654" spans="1:12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</row>
    <row r="655" spans="1:12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</row>
    <row r="656" spans="1:12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</row>
    <row r="657" spans="1:12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</row>
    <row r="658" spans="1:12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</row>
    <row r="659" spans="1:12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</row>
    <row r="660" spans="1:12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</row>
    <row r="661" spans="1:12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</row>
    <row r="662" spans="1:1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</row>
    <row r="663" spans="1:12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</row>
    <row r="664" spans="1:12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</row>
    <row r="665" spans="1:12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</row>
    <row r="666" spans="1:12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</row>
    <row r="667" spans="1:12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</row>
    <row r="668" spans="1:12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</row>
    <row r="669" spans="1:12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</row>
    <row r="670" spans="1:12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</row>
    <row r="671" spans="1:12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</row>
    <row r="672" spans="1:1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</row>
    <row r="673" spans="1:12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</row>
    <row r="674" spans="1:12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</row>
    <row r="675" spans="1:12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</row>
    <row r="676" spans="1:12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</row>
    <row r="677" spans="1:12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</row>
    <row r="678" spans="1:12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</row>
    <row r="679" spans="1:12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</row>
    <row r="680" spans="1:12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</row>
    <row r="681" spans="1:12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</row>
    <row r="682" spans="1:1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</row>
    <row r="683" spans="1:12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</row>
    <row r="684" spans="1:12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</row>
    <row r="685" spans="1:12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</row>
    <row r="686" spans="1:12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</row>
    <row r="687" spans="1:12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</row>
    <row r="688" spans="1:12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</row>
    <row r="689" spans="1:12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</row>
    <row r="690" spans="1:12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</row>
    <row r="691" spans="1:12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</row>
    <row r="692" spans="1:1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</row>
    <row r="693" spans="1:12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</row>
    <row r="694" spans="1:12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</row>
    <row r="695" spans="1:12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</row>
    <row r="696" spans="1:12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</row>
    <row r="697" spans="1:12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</row>
    <row r="698" spans="1:12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</row>
    <row r="699" spans="1:12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</row>
    <row r="700" spans="1:12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</row>
    <row r="701" spans="1:12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</row>
    <row r="702" spans="1:1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</row>
    <row r="703" spans="1:12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</row>
    <row r="704" spans="1:12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</row>
    <row r="705" spans="1:12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</row>
    <row r="706" spans="1:12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</row>
    <row r="707" spans="1:12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</row>
    <row r="708" spans="1:12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</row>
    <row r="709" spans="1:12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</row>
    <row r="710" spans="1:12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</row>
    <row r="711" spans="1:12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</row>
    <row r="712" spans="1: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</row>
    <row r="713" spans="1:12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</row>
    <row r="714" spans="1:12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</row>
    <row r="715" spans="1:12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</row>
    <row r="716" spans="1:12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</row>
    <row r="717" spans="1:12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</row>
    <row r="718" spans="1:12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</row>
    <row r="719" spans="1:12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</row>
    <row r="720" spans="1:12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</row>
    <row r="721" spans="1:12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</row>
    <row r="722" spans="1:1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</row>
    <row r="723" spans="1:12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</row>
    <row r="724" spans="1:12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</row>
    <row r="725" spans="1:12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</row>
    <row r="726" spans="1:12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</row>
    <row r="727" spans="1:12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</row>
    <row r="728" spans="1:12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</row>
    <row r="729" spans="1:12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</row>
    <row r="730" spans="1:12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</row>
    <row r="731" spans="1:12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</row>
    <row r="732" spans="1:1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</row>
    <row r="733" spans="1:12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</row>
    <row r="734" spans="1:12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</row>
    <row r="735" spans="1:12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</row>
    <row r="736" spans="1:12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</row>
    <row r="737" spans="1:12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</row>
    <row r="738" spans="1:12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</row>
    <row r="739" spans="1:12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</row>
    <row r="740" spans="1:12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</row>
    <row r="741" spans="1:12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</row>
    <row r="742" spans="1:1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</row>
    <row r="743" spans="1:12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</row>
    <row r="744" spans="1:12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</row>
    <row r="745" spans="1:12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</row>
    <row r="746" spans="1:12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</row>
    <row r="747" spans="1:12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</row>
    <row r="748" spans="1:12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</row>
    <row r="749" spans="1:12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</row>
    <row r="750" spans="1:12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</row>
    <row r="751" spans="1:12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</row>
    <row r="752" spans="1:1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</row>
    <row r="753" spans="1:12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</row>
    <row r="754" spans="1:12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</row>
    <row r="755" spans="1:12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</row>
    <row r="756" spans="1:12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</row>
    <row r="757" spans="1:12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</row>
    <row r="758" spans="1:12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</row>
    <row r="759" spans="1:12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</row>
    <row r="760" spans="1:12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</row>
    <row r="761" spans="1:12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</row>
    <row r="762" spans="1:1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</row>
    <row r="763" spans="1:12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</row>
    <row r="764" spans="1:12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</row>
    <row r="765" spans="1:12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</row>
    <row r="766" spans="1:12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</row>
    <row r="767" spans="1:12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</row>
    <row r="768" spans="1:12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</row>
    <row r="769" spans="1:12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</row>
    <row r="770" spans="1:12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</row>
    <row r="771" spans="1:12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</row>
    <row r="772" spans="1:1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</row>
    <row r="773" spans="1:12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</row>
    <row r="774" spans="1:12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</row>
    <row r="775" spans="1:12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</row>
    <row r="776" spans="1:12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</row>
    <row r="777" spans="1:12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</row>
    <row r="778" spans="1:12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</row>
    <row r="779" spans="1:12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</row>
    <row r="780" spans="1:12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</row>
    <row r="781" spans="1:12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</row>
    <row r="782" spans="1:1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</row>
    <row r="783" spans="1:12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</row>
    <row r="784" spans="1:12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</row>
    <row r="785" spans="1:12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</row>
    <row r="786" spans="1:12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</row>
    <row r="787" spans="1:12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</row>
    <row r="788" spans="1:12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</row>
    <row r="789" spans="1:12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</row>
    <row r="790" spans="1:12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</row>
    <row r="791" spans="1:12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</row>
    <row r="792" spans="1:1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</row>
    <row r="793" spans="1:12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</row>
    <row r="794" spans="1:12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</row>
    <row r="795" spans="1:12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</row>
    <row r="796" spans="1:12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</row>
    <row r="797" spans="1:12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</row>
    <row r="798" spans="1:12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</row>
    <row r="799" spans="1:12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</row>
    <row r="800" spans="1:12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</row>
    <row r="801" spans="1:12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</row>
    <row r="802" spans="1:1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</row>
    <row r="803" spans="1:12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</row>
    <row r="804" spans="1:12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</row>
    <row r="805" spans="1:12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</row>
    <row r="806" spans="1:12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</row>
    <row r="807" spans="1:12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</row>
    <row r="808" spans="1:12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</row>
    <row r="809" spans="1:12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</row>
    <row r="810" spans="1:12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</row>
    <row r="811" spans="1:12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</row>
    <row r="812" spans="1: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</row>
    <row r="813" spans="1:12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</row>
    <row r="814" spans="1:12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</row>
    <row r="815" spans="1:12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</row>
    <row r="816" spans="1:12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</row>
    <row r="817" spans="1:12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</row>
    <row r="818" spans="1:12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</row>
    <row r="819" spans="1:12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</row>
    <row r="820" spans="1:12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</row>
    <row r="821" spans="1:12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</row>
    <row r="822" spans="1:1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</row>
    <row r="823" spans="1:12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</row>
    <row r="824" spans="1:12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</row>
    <row r="825" spans="1:12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</row>
    <row r="826" spans="1:12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</row>
    <row r="827" spans="1:12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</row>
    <row r="828" spans="1:12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</row>
    <row r="829" spans="1:12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</row>
    <row r="830" spans="1:12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</row>
    <row r="831" spans="1:12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</row>
    <row r="832" spans="1:1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</row>
    <row r="833" spans="1:12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</row>
    <row r="834" spans="1:12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</row>
    <row r="835" spans="1:12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</row>
    <row r="836" spans="1:12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</row>
    <row r="837" spans="1:12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</row>
    <row r="838" spans="1:12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</row>
    <row r="839" spans="1:12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</row>
    <row r="840" spans="1:12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</row>
    <row r="841" spans="1:12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</row>
    <row r="842" spans="1:1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</row>
    <row r="843" spans="1:12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</row>
    <row r="844" spans="1:12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</row>
    <row r="845" spans="1:12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</row>
    <row r="846" spans="1:12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</row>
    <row r="847" spans="1:12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</row>
    <row r="848" spans="1:12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</row>
    <row r="849" spans="1:12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</row>
    <row r="850" spans="1:12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</row>
    <row r="851" spans="1:12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</row>
    <row r="852" spans="1:1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</row>
    <row r="853" spans="1:12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</row>
    <row r="854" spans="1:12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</row>
    <row r="855" spans="1:12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</row>
    <row r="856" spans="1:12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</row>
    <row r="857" spans="1:12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</row>
    <row r="858" spans="1:12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</row>
    <row r="859" spans="1:12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</row>
    <row r="860" spans="1:12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</row>
    <row r="861" spans="1:12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</row>
    <row r="862" spans="1:1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</row>
    <row r="863" spans="1:12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</row>
    <row r="864" spans="1:12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</row>
    <row r="865" spans="1:12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</row>
    <row r="866" spans="1:12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</row>
    <row r="867" spans="1:12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</row>
    <row r="868" spans="1:12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</row>
    <row r="869" spans="1:12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</row>
    <row r="870" spans="1:12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</row>
    <row r="871" spans="1:12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</row>
    <row r="872" spans="1:1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</row>
    <row r="873" spans="1:12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</row>
    <row r="874" spans="1:12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</row>
    <row r="875" spans="1:12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</row>
    <row r="876" spans="1:12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</row>
    <row r="877" spans="1:12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</row>
    <row r="878" spans="1:12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</row>
    <row r="879" spans="1:12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</row>
    <row r="880" spans="1:12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</row>
    <row r="881" spans="1:12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</row>
    <row r="882" spans="1:1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</row>
    <row r="883" spans="1:12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</row>
    <row r="884" spans="1:12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</row>
    <row r="885" spans="1:12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</row>
    <row r="886" spans="1:12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</row>
    <row r="887" spans="1:12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</row>
    <row r="888" spans="1:12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</row>
    <row r="889" spans="1:12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</row>
    <row r="890" spans="1:12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</row>
    <row r="891" spans="1:12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</row>
    <row r="892" spans="1:1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</row>
    <row r="893" spans="1:12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</row>
    <row r="894" spans="1:12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</row>
    <row r="895" spans="1:12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</row>
    <row r="896" spans="1:12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</row>
    <row r="897" spans="1:12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</row>
    <row r="898" spans="1:12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</row>
    <row r="899" spans="1:12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</row>
    <row r="900" spans="1:12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</row>
    <row r="901" spans="1:12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</row>
    <row r="902" spans="1:1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</row>
    <row r="903" spans="1:12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</row>
    <row r="904" spans="1:12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</row>
    <row r="905" spans="1:12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</row>
    <row r="906" spans="1:12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</row>
    <row r="907" spans="1:12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</row>
    <row r="908" spans="1:12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</row>
    <row r="909" spans="1:12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</row>
    <row r="910" spans="1:12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</row>
    <row r="911" spans="1:12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</row>
    <row r="912" spans="1: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</row>
    <row r="913" spans="1:12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</row>
    <row r="914" spans="1:12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</row>
    <row r="915" spans="1:12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</row>
    <row r="916" spans="1:12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</row>
    <row r="917" spans="1:12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</row>
    <row r="918" spans="1:12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</row>
    <row r="919" spans="1:12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</row>
    <row r="920" spans="1:12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</row>
    <row r="921" spans="1:12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</row>
    <row r="922" spans="1:1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</row>
    <row r="923" spans="1:12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</row>
    <row r="924" spans="1:12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</row>
    <row r="925" spans="1:12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</row>
    <row r="926" spans="1:12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</row>
    <row r="927" spans="1:12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</row>
    <row r="928" spans="1:12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</row>
    <row r="929" spans="1:12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</row>
    <row r="930" spans="1:12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</row>
    <row r="931" spans="1:12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</row>
    <row r="932" spans="1:1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</row>
    <row r="933" spans="1:12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</row>
    <row r="934" spans="1:12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</row>
    <row r="935" spans="1:12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</row>
    <row r="936" spans="1:12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</row>
    <row r="937" spans="1:12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</row>
    <row r="938" spans="1:12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</row>
    <row r="939" spans="1:12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</row>
    <row r="940" spans="1:12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</row>
    <row r="941" spans="1:12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</row>
    <row r="942" spans="1:1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</row>
    <row r="943" spans="1:12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</row>
    <row r="944" spans="1:12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</row>
    <row r="945" spans="1:12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</row>
    <row r="946" spans="1:12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</row>
    <row r="947" spans="1:12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</row>
    <row r="948" spans="1:12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</row>
    <row r="949" spans="1:12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</row>
    <row r="950" spans="1:12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</row>
    <row r="951" spans="1:12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</row>
    <row r="952" spans="1:1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</row>
    <row r="953" spans="1:12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</row>
    <row r="954" spans="1:12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</row>
    <row r="955" spans="1:12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</row>
    <row r="956" spans="1:12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</row>
    <row r="957" spans="1:12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</row>
    <row r="958" spans="1:12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</row>
    <row r="959" spans="1:12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</row>
    <row r="960" spans="1:12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</row>
    <row r="961" spans="1:12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</row>
    <row r="962" spans="1:1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</row>
    <row r="963" spans="1:12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</row>
    <row r="964" spans="1:12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</row>
    <row r="965" spans="1:12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</row>
    <row r="966" spans="1:12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</row>
    <row r="967" spans="1:12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</row>
    <row r="968" spans="1:12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</row>
    <row r="969" spans="1:12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</row>
    <row r="970" spans="1:12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</row>
    <row r="971" spans="1:12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</row>
    <row r="972" spans="1:1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</row>
    <row r="973" spans="1:12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</row>
    <row r="974" spans="1:12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</row>
    <row r="975" spans="1:12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</row>
    <row r="976" spans="1:12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</row>
    <row r="977" spans="1:12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</row>
    <row r="978" spans="1:12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</row>
    <row r="979" spans="1:12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</row>
    <row r="980" spans="1:12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</row>
    <row r="981" spans="1:12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</row>
    <row r="982" spans="1:1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</row>
    <row r="983" spans="1:12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</row>
    <row r="984" spans="1:12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</row>
    <row r="985" spans="1:12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</row>
    <row r="986" spans="1:12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</row>
    <row r="987" spans="1:12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</row>
    <row r="988" spans="1:12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</row>
    <row r="989" spans="1:12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</row>
    <row r="990" spans="1:12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</row>
    <row r="991" spans="1:12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</row>
    <row r="992" spans="1:1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</row>
    <row r="993" spans="1:12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</row>
    <row r="994" spans="1:12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</row>
    <row r="995" spans="1:12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</row>
    <row r="996" spans="1:12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</row>
    <row r="997" spans="1:12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</row>
    <row r="998" spans="1:12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</row>
    <row r="999" spans="1:12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</row>
    <row r="1000" spans="1:12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</row>
    <row r="1001" spans="1:12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</row>
    <row r="1002" spans="1:1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</row>
    <row r="1003" spans="1:12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</row>
    <row r="1004" spans="1:12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</row>
    <row r="1005" spans="1:12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</row>
    <row r="1006" spans="1:12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</row>
    <row r="1007" spans="1:12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</row>
    <row r="1008" spans="1:12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</row>
    <row r="1009" spans="1:12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</row>
    <row r="1010" spans="1:12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</row>
    <row r="1011" spans="1:12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</row>
    <row r="1012" spans="1: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</row>
    <row r="1013" spans="1:12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</row>
    <row r="1014" spans="1:12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</row>
    <row r="1015" spans="1:12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</row>
    <row r="1016" spans="1:12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</row>
    <row r="1017" spans="1:12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</row>
    <row r="1018" spans="1:12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</row>
    <row r="1019" spans="1:12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</row>
    <row r="1020" spans="1:12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</row>
    <row r="1021" spans="1:12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</row>
    <row r="1022" spans="1:1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</row>
    <row r="1023" spans="1:12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</row>
    <row r="1024" spans="1:12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</row>
    <row r="1025" spans="1:12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</row>
    <row r="1026" spans="1:12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</row>
    <row r="1027" spans="1:12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</row>
    <row r="1028" spans="1:12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</row>
    <row r="1029" spans="1:12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</row>
    <row r="1030" spans="1:12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</row>
    <row r="1031" spans="1:12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</row>
    <row r="1032" spans="1:12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</row>
    <row r="1033" spans="1:12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</row>
  </sheetData>
  <autoFilter ref="A1:L1033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000"/>
  <sheetViews>
    <sheetView showGridLines="0" tabSelected="1" topLeftCell="H1" workbookViewId="0">
      <selection activeCell="S12" sqref="S12"/>
    </sheetView>
  </sheetViews>
  <sheetFormatPr defaultColWidth="12.6640625" defaultRowHeight="15.75" customHeight="1"/>
  <cols>
    <col min="1" max="1" width="21.6640625" customWidth="1"/>
    <col min="2" max="2" width="20.88671875" customWidth="1"/>
    <col min="3" max="3" width="14.21875" customWidth="1"/>
    <col min="5" max="5" width="4" customWidth="1"/>
    <col min="6" max="6" width="1.88671875" customWidth="1"/>
    <col min="7" max="7" width="16.109375" customWidth="1"/>
    <col min="8" max="8" width="14" customWidth="1"/>
    <col min="9" max="9" width="26.109375" customWidth="1"/>
    <col min="10" max="10" width="17" customWidth="1"/>
    <col min="11" max="11" width="20.44140625" customWidth="1"/>
    <col min="12" max="12" width="13.44140625" customWidth="1"/>
    <col min="13" max="13" width="1.6640625" customWidth="1"/>
    <col min="14" max="14" width="15.33203125" customWidth="1"/>
    <col min="15" max="15" width="18.109375" customWidth="1"/>
    <col min="16" max="16" width="19.6640625" customWidth="1"/>
  </cols>
  <sheetData>
    <row r="1" spans="1:16" ht="15.75" customHeight="1">
      <c r="A1" s="80" t="s">
        <v>31</v>
      </c>
      <c r="B1" s="80" t="s">
        <v>0</v>
      </c>
      <c r="C1" s="80" t="s">
        <v>7</v>
      </c>
      <c r="D1" s="81" t="s">
        <v>757</v>
      </c>
      <c r="E1" s="42"/>
      <c r="I1" s="43"/>
      <c r="J1" s="43"/>
      <c r="L1" s="8"/>
      <c r="M1" s="44"/>
      <c r="P1" s="42"/>
    </row>
    <row r="2" spans="1:16" ht="15.75" customHeight="1">
      <c r="A2" s="82" t="s">
        <v>312</v>
      </c>
      <c r="B2" s="84"/>
      <c r="C2" s="84"/>
      <c r="D2" s="83">
        <v>5</v>
      </c>
      <c r="E2" s="42"/>
      <c r="G2" s="45"/>
      <c r="H2" s="46"/>
      <c r="I2" s="46"/>
      <c r="J2" s="46"/>
      <c r="K2" s="46"/>
      <c r="L2" s="47"/>
      <c r="M2" s="48"/>
      <c r="N2" s="49" t="s">
        <v>726</v>
      </c>
      <c r="O2" s="49" t="s">
        <v>727</v>
      </c>
      <c r="P2" s="42"/>
    </row>
    <row r="3" spans="1:16" ht="15.75" customHeight="1">
      <c r="A3" s="82" t="s">
        <v>439</v>
      </c>
      <c r="B3" s="84"/>
      <c r="C3" s="84"/>
      <c r="D3" s="83">
        <v>4</v>
      </c>
      <c r="E3" s="42"/>
      <c r="G3" s="50" t="s">
        <v>728</v>
      </c>
      <c r="H3" s="51" t="s">
        <v>437</v>
      </c>
      <c r="I3" s="51" t="s">
        <v>729</v>
      </c>
      <c r="J3" s="51" t="s">
        <v>730</v>
      </c>
      <c r="K3" s="51" t="s">
        <v>731</v>
      </c>
      <c r="L3" s="52" t="s">
        <v>732</v>
      </c>
      <c r="M3" s="53"/>
      <c r="N3" s="54">
        <f t="shared" ref="N3:O3" si="0">SUM(J4:J15)</f>
        <v>192</v>
      </c>
      <c r="O3" s="54">
        <f t="shared" si="0"/>
        <v>107</v>
      </c>
      <c r="P3" s="42"/>
    </row>
    <row r="4" spans="1:16" ht="15.75" customHeight="1">
      <c r="A4" s="82" t="s">
        <v>200</v>
      </c>
      <c r="B4" s="84"/>
      <c r="C4" s="84"/>
      <c r="D4" s="83">
        <v>4</v>
      </c>
      <c r="E4" s="42"/>
      <c r="G4" s="55"/>
      <c r="H4" s="51" t="s">
        <v>139</v>
      </c>
      <c r="I4" s="56">
        <v>100</v>
      </c>
      <c r="J4" s="56">
        <v>72</v>
      </c>
      <c r="K4" s="56">
        <v>26</v>
      </c>
      <c r="L4" s="57">
        <f t="shared" ref="L4:L9" si="1">K4/J4*100</f>
        <v>36.111111111111107</v>
      </c>
      <c r="M4" s="58"/>
      <c r="N4" s="49" t="s">
        <v>733</v>
      </c>
      <c r="O4" s="49" t="s">
        <v>734</v>
      </c>
      <c r="P4" s="42"/>
    </row>
    <row r="5" spans="1:16" ht="15.75" customHeight="1">
      <c r="A5" s="82" t="s">
        <v>244</v>
      </c>
      <c r="B5" s="84"/>
      <c r="C5" s="84"/>
      <c r="D5" s="83">
        <v>3</v>
      </c>
      <c r="E5" s="42"/>
      <c r="G5" s="55"/>
      <c r="H5" s="51" t="s">
        <v>297</v>
      </c>
      <c r="I5" s="51">
        <v>56</v>
      </c>
      <c r="J5" s="51">
        <v>41</v>
      </c>
      <c r="K5" s="51">
        <v>23</v>
      </c>
      <c r="L5" s="59">
        <f t="shared" si="1"/>
        <v>56.09756097560976</v>
      </c>
      <c r="M5" s="58"/>
      <c r="N5" s="60">
        <f t="shared" ref="N5:O5" si="2">O8+O9+O10+O11+O12+O13+O14+O15+O16+O17+O18+O19</f>
        <v>10</v>
      </c>
      <c r="O5" s="61">
        <f t="shared" si="2"/>
        <v>40583000</v>
      </c>
      <c r="P5" s="42"/>
    </row>
    <row r="6" spans="1:16" ht="15.75" customHeight="1">
      <c r="A6" s="82" t="s">
        <v>220</v>
      </c>
      <c r="B6" s="84"/>
      <c r="C6" s="84"/>
      <c r="D6" s="83">
        <v>3</v>
      </c>
      <c r="E6" s="42"/>
      <c r="G6" s="55"/>
      <c r="H6" s="51" t="s">
        <v>274</v>
      </c>
      <c r="I6" s="51">
        <v>35</v>
      </c>
      <c r="J6" s="51">
        <v>20</v>
      </c>
      <c r="K6" s="51">
        <v>15</v>
      </c>
      <c r="L6" s="59">
        <f t="shared" si="1"/>
        <v>75</v>
      </c>
      <c r="M6" s="62"/>
      <c r="N6" s="91"/>
      <c r="O6" s="92"/>
      <c r="P6" s="42"/>
    </row>
    <row r="7" spans="1:16" ht="15.75" customHeight="1">
      <c r="A7" s="82" t="s">
        <v>301</v>
      </c>
      <c r="B7" s="84"/>
      <c r="C7" s="84"/>
      <c r="D7" s="83">
        <v>3</v>
      </c>
      <c r="E7" s="42"/>
      <c r="G7" s="50"/>
      <c r="H7" s="51" t="s">
        <v>703</v>
      </c>
      <c r="I7" s="51">
        <v>34</v>
      </c>
      <c r="J7" s="51">
        <v>26</v>
      </c>
      <c r="K7" s="51">
        <v>22</v>
      </c>
      <c r="L7" s="63">
        <f t="shared" si="1"/>
        <v>84.615384615384613</v>
      </c>
      <c r="M7" s="64"/>
      <c r="N7" s="65" t="s">
        <v>437</v>
      </c>
      <c r="O7" s="65" t="s">
        <v>735</v>
      </c>
      <c r="P7" s="60" t="s">
        <v>736</v>
      </c>
    </row>
    <row r="8" spans="1:16" ht="15.75" customHeight="1">
      <c r="A8" s="82" t="s">
        <v>319</v>
      </c>
      <c r="B8" s="84"/>
      <c r="C8" s="84"/>
      <c r="D8" s="83">
        <v>3</v>
      </c>
      <c r="E8" s="42"/>
      <c r="G8" s="55"/>
      <c r="H8" s="51" t="s">
        <v>706</v>
      </c>
      <c r="I8" s="51">
        <v>21</v>
      </c>
      <c r="J8" s="51">
        <v>20</v>
      </c>
      <c r="K8" s="51">
        <v>10</v>
      </c>
      <c r="L8" s="63">
        <f t="shared" si="1"/>
        <v>50</v>
      </c>
      <c r="M8" s="66"/>
      <c r="N8" s="67" t="s">
        <v>139</v>
      </c>
      <c r="O8" s="68">
        <v>0</v>
      </c>
      <c r="P8" s="68">
        <v>0</v>
      </c>
    </row>
    <row r="9" spans="1:16" ht="15.75" customHeight="1">
      <c r="A9" s="82" t="s">
        <v>492</v>
      </c>
      <c r="B9" s="84"/>
      <c r="C9" s="84"/>
      <c r="D9" s="83">
        <v>3</v>
      </c>
      <c r="E9" s="42"/>
      <c r="G9" s="55"/>
      <c r="H9" s="51" t="s">
        <v>717</v>
      </c>
      <c r="I9" s="51">
        <v>24</v>
      </c>
      <c r="J9" s="51">
        <v>13</v>
      </c>
      <c r="K9" s="51">
        <v>11</v>
      </c>
      <c r="L9" s="63">
        <f t="shared" si="1"/>
        <v>84.615384615384613</v>
      </c>
      <c r="M9" s="62"/>
      <c r="N9" s="67" t="s">
        <v>297</v>
      </c>
      <c r="O9" s="68">
        <v>7</v>
      </c>
      <c r="P9" s="68">
        <v>20687000</v>
      </c>
    </row>
    <row r="10" spans="1:16" ht="18.600000000000001">
      <c r="A10" s="82" t="s">
        <v>240</v>
      </c>
      <c r="B10" s="84"/>
      <c r="C10" s="84"/>
      <c r="D10" s="83">
        <v>3</v>
      </c>
      <c r="E10" s="42"/>
      <c r="G10" s="69"/>
      <c r="H10" s="51" t="s">
        <v>737</v>
      </c>
      <c r="I10" s="70"/>
      <c r="J10" s="70"/>
      <c r="K10" s="70"/>
      <c r="L10" s="71"/>
      <c r="M10" s="64"/>
      <c r="N10" s="67" t="s">
        <v>274</v>
      </c>
      <c r="O10" s="68">
        <v>1</v>
      </c>
      <c r="P10" s="68">
        <v>6888000</v>
      </c>
    </row>
    <row r="11" spans="1:16" ht="16.8">
      <c r="A11" s="82" t="s">
        <v>561</v>
      </c>
      <c r="B11" s="82" t="s">
        <v>673</v>
      </c>
      <c r="C11" s="82" t="s">
        <v>482</v>
      </c>
      <c r="D11" s="83">
        <v>1</v>
      </c>
      <c r="E11" s="42"/>
      <c r="G11" s="69"/>
      <c r="H11" s="51" t="s">
        <v>738</v>
      </c>
      <c r="L11" s="72"/>
      <c r="M11" s="66"/>
      <c r="N11" s="67" t="s">
        <v>703</v>
      </c>
      <c r="O11" s="68">
        <v>0</v>
      </c>
      <c r="P11" s="68">
        <v>0</v>
      </c>
    </row>
    <row r="12" spans="1:16" ht="16.8">
      <c r="A12" s="85"/>
      <c r="B12" s="82" t="s">
        <v>222</v>
      </c>
      <c r="C12" s="82" t="s">
        <v>224</v>
      </c>
      <c r="D12" s="83">
        <v>1</v>
      </c>
      <c r="E12" s="42"/>
      <c r="G12" s="69"/>
      <c r="H12" s="51" t="s">
        <v>381</v>
      </c>
      <c r="L12" s="72"/>
      <c r="M12" s="62"/>
      <c r="N12" s="67" t="s">
        <v>706</v>
      </c>
      <c r="O12" s="68">
        <v>1</v>
      </c>
      <c r="P12" s="68">
        <v>6468000</v>
      </c>
    </row>
    <row r="13" spans="1:16" ht="16.8">
      <c r="A13" s="85"/>
      <c r="B13" s="82" t="s">
        <v>229</v>
      </c>
      <c r="C13" s="82" t="s">
        <v>230</v>
      </c>
      <c r="D13" s="83">
        <v>1</v>
      </c>
      <c r="E13" s="42"/>
      <c r="G13" s="69"/>
      <c r="H13" s="51" t="s">
        <v>739</v>
      </c>
      <c r="L13" s="72"/>
      <c r="M13" s="64"/>
      <c r="N13" s="67" t="s">
        <v>717</v>
      </c>
      <c r="O13" s="68">
        <v>1</v>
      </c>
      <c r="P13" s="68">
        <v>6540000</v>
      </c>
    </row>
    <row r="14" spans="1:16" ht="16.8">
      <c r="A14" s="82" t="s">
        <v>393</v>
      </c>
      <c r="B14" s="82" t="s">
        <v>390</v>
      </c>
      <c r="C14" s="82" t="s">
        <v>392</v>
      </c>
      <c r="D14" s="83">
        <v>1</v>
      </c>
      <c r="E14" s="42"/>
      <c r="G14" s="69"/>
      <c r="H14" s="51" t="s">
        <v>740</v>
      </c>
      <c r="L14" s="72"/>
      <c r="M14" s="66"/>
      <c r="N14" s="67" t="s">
        <v>737</v>
      </c>
      <c r="O14" s="68"/>
      <c r="P14" s="68"/>
    </row>
    <row r="15" spans="1:16" ht="16.8">
      <c r="A15" s="85"/>
      <c r="B15" s="82" t="s">
        <v>419</v>
      </c>
      <c r="C15" s="82" t="s">
        <v>267</v>
      </c>
      <c r="D15" s="83">
        <v>1</v>
      </c>
      <c r="E15" s="42"/>
      <c r="G15" s="73"/>
      <c r="H15" s="74" t="s">
        <v>253</v>
      </c>
      <c r="I15" s="75"/>
      <c r="J15" s="75"/>
      <c r="K15" s="75"/>
      <c r="L15" s="76"/>
      <c r="M15" s="62"/>
      <c r="N15" s="67" t="s">
        <v>738</v>
      </c>
      <c r="O15" s="68"/>
      <c r="P15" s="68"/>
    </row>
    <row r="16" spans="1:16" ht="13.2">
      <c r="A16" s="85"/>
      <c r="B16" s="82" t="s">
        <v>431</v>
      </c>
      <c r="C16" s="82" t="s">
        <v>432</v>
      </c>
      <c r="D16" s="83">
        <v>1</v>
      </c>
      <c r="E16" s="42"/>
      <c r="M16" s="64"/>
      <c r="N16" s="67" t="s">
        <v>381</v>
      </c>
      <c r="O16" s="68"/>
      <c r="P16" s="68"/>
    </row>
    <row r="17" spans="1:16" ht="13.2">
      <c r="A17" s="82" t="s">
        <v>210</v>
      </c>
      <c r="B17" s="82" t="s">
        <v>208</v>
      </c>
      <c r="C17" s="82" t="s">
        <v>209</v>
      </c>
      <c r="D17" s="83">
        <v>1</v>
      </c>
      <c r="E17" s="42"/>
      <c r="M17" s="66"/>
      <c r="N17" s="67" t="s">
        <v>739</v>
      </c>
      <c r="O17" s="68"/>
      <c r="P17" s="68"/>
    </row>
    <row r="18" spans="1:16" ht="13.2">
      <c r="A18" s="85"/>
      <c r="B18" s="82" t="s">
        <v>266</v>
      </c>
      <c r="C18" s="82" t="s">
        <v>267</v>
      </c>
      <c r="D18" s="83">
        <v>1</v>
      </c>
      <c r="E18" s="42"/>
      <c r="G18" s="1" t="s">
        <v>741</v>
      </c>
      <c r="J18" s="1" t="s">
        <v>742</v>
      </c>
      <c r="M18" s="62"/>
      <c r="N18" s="67" t="s">
        <v>740</v>
      </c>
      <c r="O18" s="68"/>
      <c r="P18" s="68"/>
    </row>
    <row r="19" spans="1:16" ht="13.2">
      <c r="A19" s="82" t="s">
        <v>399</v>
      </c>
      <c r="B19" s="82" t="s">
        <v>398</v>
      </c>
      <c r="C19" s="82" t="s">
        <v>192</v>
      </c>
      <c r="D19" s="83">
        <v>1</v>
      </c>
      <c r="E19" s="42"/>
      <c r="G19" s="80" t="s">
        <v>23</v>
      </c>
      <c r="H19" s="80" t="s">
        <v>109</v>
      </c>
      <c r="I19" s="81" t="s">
        <v>755</v>
      </c>
      <c r="J19" s="10" t="s">
        <v>23</v>
      </c>
      <c r="K19" s="10" t="s">
        <v>437</v>
      </c>
      <c r="L19" s="10" t="s">
        <v>743</v>
      </c>
      <c r="M19" s="64"/>
      <c r="N19" s="67" t="s">
        <v>253</v>
      </c>
      <c r="O19" s="68"/>
      <c r="P19" s="68"/>
    </row>
    <row r="20" spans="1:16" ht="13.2">
      <c r="A20" s="85"/>
      <c r="B20" s="82" t="s">
        <v>466</v>
      </c>
      <c r="C20" s="82" t="s">
        <v>467</v>
      </c>
      <c r="D20" s="83">
        <v>1</v>
      </c>
      <c r="E20" s="42"/>
      <c r="G20" s="82" t="s">
        <v>486</v>
      </c>
      <c r="H20" s="82" t="s">
        <v>703</v>
      </c>
      <c r="I20" s="83">
        <v>1</v>
      </c>
      <c r="J20" s="10" t="s">
        <v>128</v>
      </c>
      <c r="K20" s="10" t="s">
        <v>744</v>
      </c>
      <c r="L20" s="10">
        <v>10</v>
      </c>
      <c r="M20" s="66"/>
      <c r="N20" s="66"/>
      <c r="O20" s="77"/>
      <c r="P20" s="42"/>
    </row>
    <row r="21" spans="1:16" ht="13.2">
      <c r="A21" s="82" t="s">
        <v>620</v>
      </c>
      <c r="B21" s="82" t="s">
        <v>621</v>
      </c>
      <c r="C21" s="82" t="s">
        <v>622</v>
      </c>
      <c r="D21" s="83">
        <v>1</v>
      </c>
      <c r="E21" s="42"/>
      <c r="G21" s="82" t="s">
        <v>745</v>
      </c>
      <c r="H21" s="84"/>
      <c r="I21" s="83">
        <v>1</v>
      </c>
      <c r="J21" s="10"/>
      <c r="K21" s="10" t="s">
        <v>746</v>
      </c>
      <c r="L21" s="10">
        <v>12</v>
      </c>
      <c r="M21" s="62"/>
      <c r="N21" s="91"/>
      <c r="O21" s="92"/>
      <c r="P21" s="42"/>
    </row>
    <row r="22" spans="1:16" ht="13.2">
      <c r="A22" s="85"/>
      <c r="B22" s="82" t="s">
        <v>618</v>
      </c>
      <c r="C22" s="82" t="s">
        <v>619</v>
      </c>
      <c r="D22" s="83">
        <v>1</v>
      </c>
      <c r="E22" s="42"/>
      <c r="G22" s="82" t="s">
        <v>128</v>
      </c>
      <c r="H22" s="82" t="s">
        <v>139</v>
      </c>
      <c r="I22" s="83">
        <v>5</v>
      </c>
      <c r="J22" s="10"/>
      <c r="K22" s="10" t="s">
        <v>747</v>
      </c>
      <c r="L22" s="10">
        <v>14</v>
      </c>
      <c r="M22" s="64"/>
      <c r="N22" s="64"/>
      <c r="O22" s="78"/>
      <c r="P22" s="42"/>
    </row>
    <row r="23" spans="1:16" ht="13.2">
      <c r="A23" s="82" t="s">
        <v>416</v>
      </c>
      <c r="B23" s="82" t="s">
        <v>415</v>
      </c>
      <c r="C23" s="82" t="s">
        <v>199</v>
      </c>
      <c r="D23" s="83">
        <v>1</v>
      </c>
      <c r="E23" s="42"/>
      <c r="G23" s="85"/>
      <c r="H23" s="86" t="s">
        <v>297</v>
      </c>
      <c r="I23" s="87">
        <v>2</v>
      </c>
      <c r="J23" s="10"/>
      <c r="K23" s="10" t="s">
        <v>748</v>
      </c>
      <c r="L23" s="10">
        <v>3</v>
      </c>
      <c r="M23" s="66"/>
      <c r="N23" s="66"/>
      <c r="O23" s="77"/>
      <c r="P23" s="42"/>
    </row>
    <row r="24" spans="1:16" ht="13.2">
      <c r="A24" s="85"/>
      <c r="B24" s="82" t="s">
        <v>457</v>
      </c>
      <c r="C24" s="82" t="s">
        <v>458</v>
      </c>
      <c r="D24" s="83">
        <v>1</v>
      </c>
      <c r="E24" s="42"/>
      <c r="G24" s="85"/>
      <c r="H24" s="86" t="s">
        <v>274</v>
      </c>
      <c r="I24" s="87">
        <v>4</v>
      </c>
      <c r="J24" s="10"/>
      <c r="K24" s="10" t="s">
        <v>749</v>
      </c>
      <c r="L24" s="10">
        <v>9</v>
      </c>
      <c r="M24" s="62"/>
      <c r="N24" s="91"/>
      <c r="O24" s="92"/>
      <c r="P24" s="42"/>
    </row>
    <row r="25" spans="1:16" ht="13.2">
      <c r="A25" s="82" t="s">
        <v>487</v>
      </c>
      <c r="B25" s="82" t="s">
        <v>725</v>
      </c>
      <c r="C25" s="82" t="s">
        <v>482</v>
      </c>
      <c r="D25" s="83">
        <v>1</v>
      </c>
      <c r="E25" s="42"/>
      <c r="G25" s="85"/>
      <c r="H25" s="86" t="s">
        <v>703</v>
      </c>
      <c r="I25" s="87">
        <v>7</v>
      </c>
      <c r="J25" s="10"/>
      <c r="K25" s="10" t="s">
        <v>750</v>
      </c>
      <c r="L25" s="10">
        <v>7</v>
      </c>
      <c r="M25" s="64"/>
      <c r="N25" s="64"/>
      <c r="O25" s="78"/>
      <c r="P25" s="42"/>
    </row>
    <row r="26" spans="1:16" ht="13.2">
      <c r="A26" s="85"/>
      <c r="B26" s="82" t="s">
        <v>171</v>
      </c>
      <c r="C26" s="82" t="s">
        <v>125</v>
      </c>
      <c r="D26" s="83">
        <v>1</v>
      </c>
      <c r="E26" s="42"/>
      <c r="G26" s="85"/>
      <c r="H26" s="86" t="s">
        <v>706</v>
      </c>
      <c r="I26" s="87">
        <v>6</v>
      </c>
      <c r="J26" s="10" t="s">
        <v>751</v>
      </c>
      <c r="K26" s="10"/>
      <c r="L26" s="10">
        <v>55</v>
      </c>
      <c r="M26" s="66"/>
      <c r="N26" s="66"/>
      <c r="O26" s="77"/>
      <c r="P26" s="42"/>
    </row>
    <row r="27" spans="1:16" ht="13.2">
      <c r="A27" s="82" t="s">
        <v>236</v>
      </c>
      <c r="B27" s="82" t="s">
        <v>233</v>
      </c>
      <c r="C27" s="82" t="s">
        <v>235</v>
      </c>
      <c r="D27" s="83">
        <v>1</v>
      </c>
      <c r="E27" s="42"/>
      <c r="G27" s="85"/>
      <c r="H27" s="86" t="s">
        <v>717</v>
      </c>
      <c r="I27" s="87">
        <v>3</v>
      </c>
      <c r="J27" s="10" t="s">
        <v>144</v>
      </c>
      <c r="K27" s="10" t="s">
        <v>744</v>
      </c>
      <c r="L27" s="10">
        <v>6</v>
      </c>
      <c r="M27" s="62"/>
      <c r="N27" s="91"/>
      <c r="O27" s="92"/>
      <c r="P27" s="42"/>
    </row>
    <row r="28" spans="1:16" ht="13.2">
      <c r="A28" s="85"/>
      <c r="B28" s="82" t="s">
        <v>293</v>
      </c>
      <c r="C28" s="82" t="s">
        <v>294</v>
      </c>
      <c r="D28" s="83">
        <v>1</v>
      </c>
      <c r="E28" s="42"/>
      <c r="G28" s="82" t="s">
        <v>751</v>
      </c>
      <c r="H28" s="84"/>
      <c r="I28" s="83">
        <v>27</v>
      </c>
      <c r="J28" s="10"/>
      <c r="K28" s="10" t="s">
        <v>746</v>
      </c>
      <c r="L28" s="10">
        <v>14</v>
      </c>
      <c r="M28" s="64"/>
      <c r="N28" s="64"/>
      <c r="O28" s="78"/>
      <c r="P28" s="42"/>
    </row>
    <row r="29" spans="1:16" ht="13.2">
      <c r="A29" s="82" t="s">
        <v>645</v>
      </c>
      <c r="B29" s="82" t="s">
        <v>655</v>
      </c>
      <c r="C29" s="82" t="s">
        <v>656</v>
      </c>
      <c r="D29" s="83">
        <v>1</v>
      </c>
      <c r="E29" s="42"/>
      <c r="G29" s="82" t="s">
        <v>144</v>
      </c>
      <c r="H29" s="82" t="s">
        <v>139</v>
      </c>
      <c r="I29" s="83">
        <v>11</v>
      </c>
      <c r="J29" s="10"/>
      <c r="K29" s="10" t="s">
        <v>747</v>
      </c>
      <c r="L29" s="10">
        <v>31</v>
      </c>
      <c r="M29" s="66"/>
      <c r="N29" s="66"/>
      <c r="O29" s="77"/>
      <c r="P29" s="42"/>
    </row>
    <row r="30" spans="1:16" ht="13.2">
      <c r="A30" s="85"/>
      <c r="B30" s="82" t="s">
        <v>644</v>
      </c>
      <c r="C30" s="82" t="s">
        <v>463</v>
      </c>
      <c r="D30" s="83">
        <v>1</v>
      </c>
      <c r="E30" s="42"/>
      <c r="G30" s="85"/>
      <c r="H30" s="86" t="s">
        <v>297</v>
      </c>
      <c r="I30" s="87">
        <v>12</v>
      </c>
      <c r="J30" s="10"/>
      <c r="K30" s="10" t="s">
        <v>748</v>
      </c>
      <c r="L30" s="10">
        <v>3</v>
      </c>
      <c r="M30" s="62"/>
      <c r="N30" s="91"/>
      <c r="O30" s="92"/>
      <c r="P30" s="42"/>
    </row>
    <row r="31" spans="1:16" ht="13.2">
      <c r="A31" s="82" t="s">
        <v>410</v>
      </c>
      <c r="B31" s="82" t="s">
        <v>409</v>
      </c>
      <c r="C31" s="82" t="s">
        <v>411</v>
      </c>
      <c r="D31" s="83">
        <v>1</v>
      </c>
      <c r="E31" s="42"/>
      <c r="G31" s="85"/>
      <c r="H31" s="86" t="s">
        <v>274</v>
      </c>
      <c r="I31" s="87">
        <v>3</v>
      </c>
      <c r="J31" s="10"/>
      <c r="K31" s="10" t="s">
        <v>749</v>
      </c>
      <c r="L31" s="10">
        <v>4</v>
      </c>
      <c r="M31" s="64"/>
      <c r="N31" s="64"/>
      <c r="O31" s="78"/>
      <c r="P31" s="42"/>
    </row>
    <row r="32" spans="1:16" ht="13.2">
      <c r="A32" s="85"/>
      <c r="B32" s="82" t="s">
        <v>451</v>
      </c>
      <c r="C32" s="82" t="s">
        <v>452</v>
      </c>
      <c r="D32" s="83">
        <v>1</v>
      </c>
      <c r="E32" s="42"/>
      <c r="G32" s="85"/>
      <c r="H32" s="86" t="s">
        <v>703</v>
      </c>
      <c r="I32" s="87">
        <v>4</v>
      </c>
      <c r="J32" s="10"/>
      <c r="K32" s="10" t="s">
        <v>750</v>
      </c>
      <c r="L32" s="10">
        <v>4</v>
      </c>
      <c r="M32" s="66"/>
      <c r="N32" s="66"/>
      <c r="O32" s="77"/>
      <c r="P32" s="42"/>
    </row>
    <row r="33" spans="1:16" ht="13.2">
      <c r="A33" s="82" t="s">
        <v>498</v>
      </c>
      <c r="B33" s="82" t="s">
        <v>496</v>
      </c>
      <c r="C33" s="82" t="s">
        <v>497</v>
      </c>
      <c r="D33" s="83">
        <v>1</v>
      </c>
      <c r="E33" s="42"/>
      <c r="G33" s="85"/>
      <c r="H33" s="86" t="s">
        <v>706</v>
      </c>
      <c r="I33" s="87">
        <v>2</v>
      </c>
      <c r="J33" s="10" t="s">
        <v>752</v>
      </c>
      <c r="K33" s="10"/>
      <c r="L33" s="10">
        <v>62</v>
      </c>
      <c r="M33" s="62"/>
      <c r="N33" s="91"/>
      <c r="O33" s="92"/>
      <c r="P33" s="42"/>
    </row>
    <row r="34" spans="1:16" ht="13.2">
      <c r="A34" s="85"/>
      <c r="B34" s="82" t="s">
        <v>661</v>
      </c>
      <c r="C34" s="82" t="s">
        <v>125</v>
      </c>
      <c r="D34" s="83">
        <v>1</v>
      </c>
      <c r="E34" s="42"/>
      <c r="G34" s="85"/>
      <c r="H34" s="86" t="s">
        <v>717</v>
      </c>
      <c r="I34" s="87">
        <v>2</v>
      </c>
      <c r="J34" s="42" t="s">
        <v>156</v>
      </c>
      <c r="K34" s="10" t="s">
        <v>744</v>
      </c>
      <c r="L34" s="10">
        <v>9</v>
      </c>
      <c r="M34" s="64"/>
      <c r="N34" s="64"/>
      <c r="O34" s="78"/>
      <c r="P34" s="42"/>
    </row>
    <row r="35" spans="1:16" ht="13.2">
      <c r="A35" s="82" t="s">
        <v>429</v>
      </c>
      <c r="B35" s="84"/>
      <c r="C35" s="84"/>
      <c r="D35" s="83">
        <v>2</v>
      </c>
      <c r="E35" s="42"/>
      <c r="G35" s="82" t="s">
        <v>752</v>
      </c>
      <c r="H35" s="84"/>
      <c r="I35" s="83">
        <v>34</v>
      </c>
      <c r="J35" s="42"/>
      <c r="K35" s="10" t="s">
        <v>746</v>
      </c>
      <c r="L35" s="10">
        <v>18</v>
      </c>
      <c r="M35" s="66"/>
      <c r="N35" s="66"/>
      <c r="O35" s="77"/>
      <c r="P35" s="42"/>
    </row>
    <row r="36" spans="1:16" ht="13.2">
      <c r="A36" s="82" t="s">
        <v>483</v>
      </c>
      <c r="B36" s="82" t="s">
        <v>481</v>
      </c>
      <c r="C36" s="82" t="s">
        <v>482</v>
      </c>
      <c r="D36" s="83">
        <v>1</v>
      </c>
      <c r="E36" s="42"/>
      <c r="G36" s="82" t="s">
        <v>156</v>
      </c>
      <c r="H36" s="82" t="s">
        <v>139</v>
      </c>
      <c r="I36" s="83">
        <v>9</v>
      </c>
      <c r="J36" s="43"/>
      <c r="K36" s="10" t="s">
        <v>747</v>
      </c>
      <c r="L36" s="10">
        <v>24</v>
      </c>
      <c r="M36" s="62"/>
      <c r="N36" s="91"/>
      <c r="O36" s="92"/>
      <c r="P36" s="42"/>
    </row>
    <row r="37" spans="1:16" ht="13.2">
      <c r="A37" s="82" t="s">
        <v>638</v>
      </c>
      <c r="B37" s="82" t="s">
        <v>182</v>
      </c>
      <c r="C37" s="82" t="s">
        <v>637</v>
      </c>
      <c r="D37" s="83">
        <v>1</v>
      </c>
      <c r="E37" s="42"/>
      <c r="G37" s="85"/>
      <c r="H37" s="86" t="s">
        <v>297</v>
      </c>
      <c r="I37" s="87">
        <v>9</v>
      </c>
      <c r="J37" s="43"/>
      <c r="K37" s="10" t="s">
        <v>748</v>
      </c>
      <c r="L37" s="10">
        <v>7</v>
      </c>
      <c r="M37" s="64"/>
      <c r="N37" s="64"/>
      <c r="O37" s="78"/>
      <c r="P37" s="42"/>
    </row>
    <row r="38" spans="1:16" ht="13.2">
      <c r="A38" s="82" t="s">
        <v>388</v>
      </c>
      <c r="B38" s="82" t="s">
        <v>386</v>
      </c>
      <c r="C38" s="82" t="s">
        <v>387</v>
      </c>
      <c r="D38" s="83">
        <v>1</v>
      </c>
      <c r="E38" s="42"/>
      <c r="G38" s="85"/>
      <c r="H38" s="86" t="s">
        <v>274</v>
      </c>
      <c r="I38" s="87">
        <v>8</v>
      </c>
      <c r="J38" s="43"/>
      <c r="K38" s="10" t="s">
        <v>749</v>
      </c>
      <c r="L38" s="10">
        <v>7</v>
      </c>
      <c r="M38" s="66"/>
      <c r="N38" s="66"/>
      <c r="O38" s="77"/>
      <c r="P38" s="42"/>
    </row>
    <row r="39" spans="1:16" ht="13.2">
      <c r="A39" s="82" t="s">
        <v>171</v>
      </c>
      <c r="B39" s="82" t="s">
        <v>163</v>
      </c>
      <c r="C39" s="82" t="s">
        <v>167</v>
      </c>
      <c r="D39" s="83">
        <v>1</v>
      </c>
      <c r="E39" s="42"/>
      <c r="G39" s="85"/>
      <c r="H39" s="86" t="s">
        <v>703</v>
      </c>
      <c r="I39" s="87">
        <v>11</v>
      </c>
      <c r="J39" s="43"/>
      <c r="K39" s="10" t="s">
        <v>750</v>
      </c>
      <c r="L39" s="10">
        <v>10</v>
      </c>
      <c r="M39" s="62"/>
      <c r="N39" s="91"/>
      <c r="O39" s="92"/>
      <c r="P39" s="42"/>
    </row>
    <row r="40" spans="1:16" ht="13.2">
      <c r="A40" s="82" t="s">
        <v>570</v>
      </c>
      <c r="B40" s="82" t="s">
        <v>568</v>
      </c>
      <c r="C40" s="82" t="s">
        <v>569</v>
      </c>
      <c r="D40" s="83">
        <v>1</v>
      </c>
      <c r="E40" s="42"/>
      <c r="G40" s="85"/>
      <c r="H40" s="86" t="s">
        <v>706</v>
      </c>
      <c r="I40" s="87">
        <v>2</v>
      </c>
      <c r="J40" s="43" t="s">
        <v>753</v>
      </c>
      <c r="K40" s="10"/>
      <c r="L40" s="10">
        <v>75</v>
      </c>
      <c r="M40" s="64"/>
      <c r="N40" s="64"/>
      <c r="O40" s="78"/>
      <c r="P40" s="42"/>
    </row>
    <row r="41" spans="1:16" ht="13.2">
      <c r="A41" s="82" t="s">
        <v>373</v>
      </c>
      <c r="B41" s="82" t="s">
        <v>370</v>
      </c>
      <c r="C41" s="82" t="s">
        <v>372</v>
      </c>
      <c r="D41" s="83">
        <v>1</v>
      </c>
      <c r="E41" s="42"/>
      <c r="G41" s="85"/>
      <c r="H41" s="86" t="s">
        <v>717</v>
      </c>
      <c r="I41" s="87">
        <v>6</v>
      </c>
      <c r="J41" s="43" t="s">
        <v>754</v>
      </c>
      <c r="K41" s="10"/>
      <c r="L41" s="8">
        <v>192</v>
      </c>
      <c r="M41" s="66"/>
      <c r="N41" s="66"/>
      <c r="O41" s="77"/>
      <c r="P41" s="42"/>
    </row>
    <row r="42" spans="1:16" ht="13.2">
      <c r="A42" s="82" t="s">
        <v>270</v>
      </c>
      <c r="B42" s="82" t="s">
        <v>268</v>
      </c>
      <c r="C42" s="82" t="s">
        <v>269</v>
      </c>
      <c r="D42" s="83">
        <v>1</v>
      </c>
      <c r="E42" s="42"/>
      <c r="G42" s="82" t="s">
        <v>753</v>
      </c>
      <c r="H42" s="84"/>
      <c r="I42" s="83">
        <v>45</v>
      </c>
      <c r="J42" s="43"/>
      <c r="L42" s="8"/>
      <c r="M42" s="44"/>
      <c r="N42" s="44"/>
      <c r="O42" s="44"/>
      <c r="P42" s="42"/>
    </row>
    <row r="43" spans="1:16" ht="13.2">
      <c r="A43" s="82" t="s">
        <v>152</v>
      </c>
      <c r="B43" s="82" t="s">
        <v>151</v>
      </c>
      <c r="C43" s="82" t="s">
        <v>155</v>
      </c>
      <c r="D43" s="83">
        <v>1</v>
      </c>
      <c r="E43" s="42"/>
      <c r="G43" s="88" t="s">
        <v>756</v>
      </c>
      <c r="H43" s="89"/>
      <c r="I43" s="90">
        <v>107</v>
      </c>
      <c r="J43" s="43"/>
      <c r="L43" s="8"/>
      <c r="M43" s="44"/>
      <c r="P43" s="42"/>
    </row>
    <row r="44" spans="1:16" ht="13.2">
      <c r="A44" s="82" t="s">
        <v>290</v>
      </c>
      <c r="B44" s="82" t="s">
        <v>288</v>
      </c>
      <c r="C44" s="82" t="s">
        <v>289</v>
      </c>
      <c r="D44" s="83">
        <v>1</v>
      </c>
      <c r="E44" s="42"/>
      <c r="I44" s="79"/>
      <c r="J44" s="43"/>
      <c r="L44" s="8"/>
      <c r="M44" s="44"/>
      <c r="P44" s="42"/>
    </row>
    <row r="45" spans="1:16" ht="13.2">
      <c r="A45" s="82" t="s">
        <v>377</v>
      </c>
      <c r="B45" s="82" t="s">
        <v>375</v>
      </c>
      <c r="C45" s="82" t="s">
        <v>267</v>
      </c>
      <c r="D45" s="83">
        <v>1</v>
      </c>
      <c r="E45" s="42"/>
      <c r="I45" s="79"/>
      <c r="J45" s="43"/>
      <c r="L45" s="8"/>
      <c r="M45" s="44"/>
      <c r="P45" s="42"/>
    </row>
    <row r="46" spans="1:16" ht="13.2">
      <c r="A46" s="82" t="s">
        <v>309</v>
      </c>
      <c r="B46" s="82" t="s">
        <v>306</v>
      </c>
      <c r="C46" s="82" t="s">
        <v>307</v>
      </c>
      <c r="D46" s="83">
        <v>1</v>
      </c>
      <c r="E46" s="42"/>
      <c r="I46" s="79"/>
      <c r="J46" s="43"/>
      <c r="L46" s="8"/>
      <c r="M46" s="44"/>
      <c r="P46" s="42"/>
    </row>
    <row r="47" spans="1:16" ht="13.2">
      <c r="A47" s="82" t="s">
        <v>262</v>
      </c>
      <c r="B47" s="82" t="s">
        <v>259</v>
      </c>
      <c r="C47" s="82" t="s">
        <v>260</v>
      </c>
      <c r="D47" s="83">
        <v>1</v>
      </c>
      <c r="E47" s="42"/>
      <c r="I47" s="79"/>
      <c r="J47" s="43"/>
      <c r="L47" s="8"/>
      <c r="M47" s="44"/>
      <c r="P47" s="42"/>
    </row>
    <row r="48" spans="1:16" ht="13.2">
      <c r="A48" s="82" t="s">
        <v>485</v>
      </c>
      <c r="B48" s="82" t="s">
        <v>484</v>
      </c>
      <c r="C48" s="82" t="s">
        <v>238</v>
      </c>
      <c r="D48" s="83">
        <v>1</v>
      </c>
      <c r="E48" s="42"/>
      <c r="I48" s="43"/>
      <c r="J48" s="43"/>
      <c r="L48" s="8"/>
      <c r="M48" s="44"/>
      <c r="P48" s="42"/>
    </row>
    <row r="49" spans="1:16" ht="13.2">
      <c r="A49" s="82" t="s">
        <v>207</v>
      </c>
      <c r="B49" s="82" t="s">
        <v>204</v>
      </c>
      <c r="C49" s="82" t="s">
        <v>206</v>
      </c>
      <c r="D49" s="83">
        <v>1</v>
      </c>
      <c r="E49" s="42"/>
      <c r="I49" s="43"/>
      <c r="J49" s="43"/>
      <c r="L49" s="8"/>
      <c r="M49" s="44"/>
      <c r="P49" s="42"/>
    </row>
    <row r="50" spans="1:16" ht="13.2">
      <c r="A50" s="82" t="s">
        <v>474</v>
      </c>
      <c r="B50" s="82" t="s">
        <v>474</v>
      </c>
      <c r="C50" s="82" t="s">
        <v>475</v>
      </c>
      <c r="D50" s="83">
        <v>1</v>
      </c>
      <c r="E50" s="42"/>
      <c r="I50" s="43"/>
      <c r="J50" s="43"/>
      <c r="L50" s="8"/>
      <c r="M50" s="44"/>
      <c r="P50" s="42"/>
    </row>
    <row r="51" spans="1:16" ht="13.2">
      <c r="A51" s="82" t="s">
        <v>342</v>
      </c>
      <c r="B51" s="82" t="s">
        <v>339</v>
      </c>
      <c r="C51" s="82" t="s">
        <v>340</v>
      </c>
      <c r="D51" s="83">
        <v>1</v>
      </c>
      <c r="E51" s="42"/>
      <c r="I51" s="43"/>
      <c r="J51" s="43"/>
      <c r="L51" s="8"/>
      <c r="M51" s="44"/>
      <c r="P51" s="42"/>
    </row>
    <row r="52" spans="1:16" ht="13.2">
      <c r="A52" s="82" t="s">
        <v>720</v>
      </c>
      <c r="B52" s="82" t="s">
        <v>719</v>
      </c>
      <c r="C52" s="82" t="s">
        <v>125</v>
      </c>
      <c r="D52" s="83">
        <v>1</v>
      </c>
      <c r="E52" s="42"/>
      <c r="I52" s="43"/>
      <c r="J52" s="43"/>
      <c r="L52" s="8"/>
      <c r="M52" s="44"/>
      <c r="P52" s="42"/>
    </row>
    <row r="53" spans="1:16" ht="13.2">
      <c r="A53" s="82" t="s">
        <v>194</v>
      </c>
      <c r="B53" s="82" t="s">
        <v>189</v>
      </c>
      <c r="C53" s="82" t="s">
        <v>192</v>
      </c>
      <c r="D53" s="83">
        <v>1</v>
      </c>
      <c r="E53" s="42"/>
      <c r="I53" s="43"/>
      <c r="J53" s="43"/>
      <c r="L53" s="8"/>
      <c r="M53" s="44"/>
      <c r="P53" s="42"/>
    </row>
    <row r="54" spans="1:16" ht="13.2">
      <c r="A54" s="82" t="s">
        <v>714</v>
      </c>
      <c r="B54" s="82" t="s">
        <v>713</v>
      </c>
      <c r="C54" s="82" t="s">
        <v>482</v>
      </c>
      <c r="D54" s="83">
        <v>1</v>
      </c>
      <c r="E54" s="42"/>
      <c r="I54" s="43"/>
      <c r="J54" s="43"/>
      <c r="L54" s="8"/>
      <c r="M54" s="44"/>
      <c r="P54" s="42"/>
    </row>
    <row r="55" spans="1:16" ht="13.2">
      <c r="A55" s="82" t="s">
        <v>406</v>
      </c>
      <c r="B55" s="82" t="s">
        <v>402</v>
      </c>
      <c r="C55" s="82" t="s">
        <v>224</v>
      </c>
      <c r="D55" s="83">
        <v>1</v>
      </c>
      <c r="E55" s="42"/>
      <c r="I55" s="43"/>
      <c r="J55" s="43"/>
      <c r="L55" s="8"/>
      <c r="M55" s="44"/>
      <c r="P55" s="42"/>
    </row>
    <row r="56" spans="1:16" ht="13.2">
      <c r="A56" s="82" t="s">
        <v>635</v>
      </c>
      <c r="B56" s="82" t="s">
        <v>634</v>
      </c>
      <c r="C56" s="82" t="s">
        <v>482</v>
      </c>
      <c r="D56" s="83">
        <v>1</v>
      </c>
      <c r="E56" s="42"/>
      <c r="I56" s="43"/>
      <c r="J56" s="43"/>
      <c r="L56" s="8"/>
      <c r="M56" s="44"/>
      <c r="P56" s="42"/>
    </row>
    <row r="57" spans="1:16" ht="13.2">
      <c r="A57" s="82" t="s">
        <v>368</v>
      </c>
      <c r="B57" s="84"/>
      <c r="C57" s="84"/>
      <c r="D57" s="83">
        <v>1</v>
      </c>
      <c r="E57" s="42"/>
      <c r="I57" s="43"/>
      <c r="J57" s="43"/>
      <c r="L57" s="8"/>
      <c r="M57" s="44"/>
      <c r="P57" s="42"/>
    </row>
    <row r="58" spans="1:16" ht="13.2">
      <c r="A58" s="82" t="s">
        <v>633</v>
      </c>
      <c r="B58" s="82" t="s">
        <v>639</v>
      </c>
      <c r="C58" s="82" t="s">
        <v>632</v>
      </c>
      <c r="D58" s="83">
        <v>1</v>
      </c>
      <c r="E58" s="42"/>
      <c r="I58" s="43"/>
      <c r="J58" s="43"/>
      <c r="L58" s="8"/>
      <c r="M58" s="44"/>
      <c r="P58" s="42"/>
    </row>
    <row r="59" spans="1:16" ht="13.2">
      <c r="A59" s="82" t="s">
        <v>131</v>
      </c>
      <c r="B59" s="82" t="s">
        <v>119</v>
      </c>
      <c r="C59" s="82" t="s">
        <v>124</v>
      </c>
      <c r="D59" s="83">
        <v>1</v>
      </c>
      <c r="E59" s="42"/>
      <c r="I59" s="43"/>
      <c r="J59" s="43"/>
      <c r="L59" s="8"/>
      <c r="M59" s="44"/>
      <c r="P59" s="42"/>
    </row>
    <row r="60" spans="1:16" ht="13.2">
      <c r="A60" s="82" t="s">
        <v>489</v>
      </c>
      <c r="B60" s="82" t="s">
        <v>488</v>
      </c>
      <c r="C60" s="82" t="s">
        <v>482</v>
      </c>
      <c r="D60" s="83">
        <v>1</v>
      </c>
      <c r="E60" s="42"/>
      <c r="I60" s="43"/>
      <c r="J60" s="43"/>
      <c r="L60" s="8"/>
      <c r="M60" s="44"/>
      <c r="P60" s="42"/>
    </row>
    <row r="61" spans="1:16" ht="13.2">
      <c r="A61" s="82" t="s">
        <v>348</v>
      </c>
      <c r="B61" s="82" t="s">
        <v>347</v>
      </c>
      <c r="C61" s="82" t="s">
        <v>317</v>
      </c>
      <c r="D61" s="83">
        <v>1</v>
      </c>
      <c r="E61" s="42"/>
      <c r="I61" s="43"/>
      <c r="J61" s="43"/>
      <c r="L61" s="8"/>
      <c r="M61" s="44"/>
      <c r="P61" s="42"/>
    </row>
    <row r="62" spans="1:16" ht="13.2">
      <c r="A62" s="82" t="s">
        <v>397</v>
      </c>
      <c r="B62" s="82" t="s">
        <v>395</v>
      </c>
      <c r="C62" s="82" t="s">
        <v>125</v>
      </c>
      <c r="D62" s="83">
        <v>1</v>
      </c>
      <c r="E62" s="42"/>
      <c r="I62" s="43"/>
      <c r="J62" s="43"/>
      <c r="L62" s="8"/>
      <c r="M62" s="44"/>
      <c r="P62" s="42"/>
    </row>
    <row r="63" spans="1:16" ht="13.2">
      <c r="A63" s="82" t="s">
        <v>425</v>
      </c>
      <c r="B63" s="82" t="s">
        <v>422</v>
      </c>
      <c r="C63" s="82" t="s">
        <v>423</v>
      </c>
      <c r="D63" s="83">
        <v>1</v>
      </c>
      <c r="E63" s="42"/>
      <c r="I63" s="43"/>
      <c r="J63" s="43"/>
      <c r="L63" s="8"/>
      <c r="M63" s="44"/>
      <c r="P63" s="42"/>
    </row>
    <row r="64" spans="1:16" ht="13.2">
      <c r="A64" s="82" t="s">
        <v>667</v>
      </c>
      <c r="B64" s="84"/>
      <c r="C64" s="84"/>
      <c r="D64" s="83">
        <v>1</v>
      </c>
      <c r="E64" s="42"/>
      <c r="I64" s="43"/>
      <c r="J64" s="43"/>
      <c r="L64" s="8"/>
      <c r="M64" s="44"/>
      <c r="P64" s="42"/>
    </row>
    <row r="65" spans="1:16" ht="13.2">
      <c r="A65" s="82" t="s">
        <v>181</v>
      </c>
      <c r="B65" s="82" t="s">
        <v>177</v>
      </c>
      <c r="C65" s="82" t="s">
        <v>180</v>
      </c>
      <c r="D65" s="83">
        <v>1</v>
      </c>
      <c r="E65" s="42"/>
      <c r="I65" s="43"/>
      <c r="J65" s="43"/>
      <c r="L65" s="8"/>
      <c r="M65" s="44"/>
      <c r="P65" s="42"/>
    </row>
    <row r="66" spans="1:16" ht="13.2">
      <c r="A66" s="82" t="s">
        <v>478</v>
      </c>
      <c r="B66" s="82" t="s">
        <v>476</v>
      </c>
      <c r="C66" s="82" t="s">
        <v>477</v>
      </c>
      <c r="D66" s="83">
        <v>1</v>
      </c>
      <c r="E66" s="42"/>
      <c r="I66" s="43"/>
      <c r="J66" s="43"/>
      <c r="L66" s="8"/>
      <c r="M66" s="44"/>
      <c r="P66" s="42"/>
    </row>
    <row r="67" spans="1:16" ht="13.2">
      <c r="A67" s="82" t="s">
        <v>356</v>
      </c>
      <c r="B67" s="82" t="s">
        <v>353</v>
      </c>
      <c r="C67" s="82" t="s">
        <v>354</v>
      </c>
      <c r="D67" s="83">
        <v>1</v>
      </c>
      <c r="E67" s="42"/>
      <c r="I67" s="43"/>
      <c r="J67" s="43"/>
      <c r="L67" s="8"/>
      <c r="M67" s="44"/>
      <c r="P67" s="42"/>
    </row>
    <row r="68" spans="1:16" ht="13.2">
      <c r="A68" s="82" t="s">
        <v>473</v>
      </c>
      <c r="B68" s="82" t="s">
        <v>470</v>
      </c>
      <c r="C68" s="82" t="s">
        <v>472</v>
      </c>
      <c r="D68" s="83">
        <v>1</v>
      </c>
      <c r="E68" s="42"/>
      <c r="I68" s="43"/>
      <c r="J68" s="43"/>
      <c r="L68" s="8"/>
      <c r="M68" s="44"/>
      <c r="P68" s="42"/>
    </row>
    <row r="69" spans="1:16" ht="13.2">
      <c r="A69" s="82" t="s">
        <v>435</v>
      </c>
      <c r="B69" s="82" t="s">
        <v>433</v>
      </c>
      <c r="C69" s="82" t="s">
        <v>434</v>
      </c>
      <c r="D69" s="83">
        <v>1</v>
      </c>
      <c r="E69" s="42"/>
      <c r="I69" s="43"/>
      <c r="J69" s="43"/>
      <c r="L69" s="8"/>
      <c r="M69" s="44"/>
      <c r="P69" s="42"/>
    </row>
    <row r="70" spans="1:16" ht="13.2">
      <c r="A70" s="82" t="s">
        <v>461</v>
      </c>
      <c r="B70" s="82" t="s">
        <v>459</v>
      </c>
      <c r="C70" s="82" t="s">
        <v>460</v>
      </c>
      <c r="D70" s="83">
        <v>1</v>
      </c>
      <c r="E70" s="42"/>
      <c r="I70" s="43"/>
      <c r="J70" s="43"/>
      <c r="L70" s="8"/>
      <c r="M70" s="44"/>
      <c r="P70" s="42"/>
    </row>
    <row r="71" spans="1:16" ht="13.2">
      <c r="A71" s="82" t="s">
        <v>265</v>
      </c>
      <c r="B71" s="82" t="s">
        <v>264</v>
      </c>
      <c r="C71" s="82" t="s">
        <v>125</v>
      </c>
      <c r="D71" s="83">
        <v>1</v>
      </c>
      <c r="E71" s="42"/>
      <c r="I71" s="43"/>
      <c r="J71" s="43"/>
      <c r="L71" s="8"/>
      <c r="M71" s="44"/>
      <c r="P71" s="42"/>
    </row>
    <row r="72" spans="1:16" ht="13.2">
      <c r="A72" s="82" t="s">
        <v>448</v>
      </c>
      <c r="B72" s="82" t="s">
        <v>446</v>
      </c>
      <c r="C72" s="82" t="s">
        <v>447</v>
      </c>
      <c r="D72" s="83">
        <v>1</v>
      </c>
      <c r="E72" s="42"/>
      <c r="I72" s="43"/>
      <c r="J72" s="43"/>
      <c r="L72" s="8"/>
      <c r="M72" s="44"/>
      <c r="P72" s="42"/>
    </row>
    <row r="73" spans="1:16" ht="13.2">
      <c r="A73" s="82" t="s">
        <v>247</v>
      </c>
      <c r="B73" s="82" t="s">
        <v>245</v>
      </c>
      <c r="C73" s="82" t="s">
        <v>246</v>
      </c>
      <c r="D73" s="83">
        <v>1</v>
      </c>
      <c r="E73" s="42"/>
      <c r="I73" s="43"/>
      <c r="J73" s="43"/>
      <c r="L73" s="8"/>
      <c r="M73" s="44"/>
      <c r="P73" s="42"/>
    </row>
    <row r="74" spans="1:16" ht="13.2">
      <c r="A74" s="82" t="s">
        <v>675</v>
      </c>
      <c r="B74" s="82" t="s">
        <v>402</v>
      </c>
      <c r="C74" s="82" t="s">
        <v>674</v>
      </c>
      <c r="D74" s="83">
        <v>1</v>
      </c>
      <c r="E74" s="42"/>
      <c r="I74" s="43"/>
      <c r="J74" s="43"/>
      <c r="L74" s="8"/>
      <c r="M74" s="44"/>
      <c r="P74" s="42"/>
    </row>
    <row r="75" spans="1:16" ht="13.2">
      <c r="A75" s="82" t="s">
        <v>278</v>
      </c>
      <c r="B75" s="84"/>
      <c r="C75" s="84"/>
      <c r="D75" s="83">
        <v>1</v>
      </c>
      <c r="E75" s="42"/>
      <c r="I75" s="43"/>
      <c r="J75" s="43"/>
      <c r="L75" s="8"/>
      <c r="M75" s="44"/>
      <c r="P75" s="42"/>
    </row>
    <row r="76" spans="1:16" ht="13.2">
      <c r="A76" s="82" t="s">
        <v>660</v>
      </c>
      <c r="B76" s="82" t="s">
        <v>659</v>
      </c>
      <c r="C76" s="82" t="s">
        <v>615</v>
      </c>
      <c r="D76" s="83">
        <v>1</v>
      </c>
      <c r="E76" s="42"/>
      <c r="I76" s="43"/>
      <c r="J76" s="43"/>
      <c r="L76" s="8"/>
      <c r="M76" s="44"/>
      <c r="P76" s="42"/>
    </row>
    <row r="77" spans="1:16" ht="13.2">
      <c r="A77" s="82" t="s">
        <v>685</v>
      </c>
      <c r="B77" s="82" t="s">
        <v>684</v>
      </c>
      <c r="C77" s="82" t="s">
        <v>545</v>
      </c>
      <c r="D77" s="83">
        <v>1</v>
      </c>
      <c r="E77" s="42"/>
      <c r="I77" s="43"/>
      <c r="J77" s="43"/>
      <c r="L77" s="8"/>
      <c r="M77" s="44"/>
      <c r="P77" s="42"/>
    </row>
    <row r="78" spans="1:16" ht="13.2">
      <c r="A78" s="82" t="s">
        <v>627</v>
      </c>
      <c r="B78" s="82" t="s">
        <v>625</v>
      </c>
      <c r="C78" s="82" t="s">
        <v>626</v>
      </c>
      <c r="D78" s="83">
        <v>1</v>
      </c>
      <c r="E78" s="42"/>
      <c r="I78" s="43"/>
      <c r="J78" s="43"/>
      <c r="L78" s="8"/>
      <c r="M78" s="44"/>
      <c r="P78" s="42"/>
    </row>
    <row r="79" spans="1:16" ht="13.2">
      <c r="A79" s="82" t="s">
        <v>687</v>
      </c>
      <c r="B79" s="84"/>
      <c r="C79" s="84"/>
      <c r="D79" s="83">
        <v>1</v>
      </c>
      <c r="E79" s="42"/>
      <c r="I79" s="43"/>
      <c r="J79" s="43"/>
      <c r="L79" s="8"/>
      <c r="M79" s="44"/>
      <c r="P79" s="42"/>
    </row>
    <row r="80" spans="1:16" ht="13.2">
      <c r="A80" s="82" t="s">
        <v>654</v>
      </c>
      <c r="B80" s="82" t="s">
        <v>663</v>
      </c>
      <c r="C80" s="82" t="s">
        <v>664</v>
      </c>
      <c r="D80" s="83">
        <v>1</v>
      </c>
      <c r="E80" s="42"/>
      <c r="I80" s="43"/>
      <c r="J80" s="43"/>
      <c r="L80" s="8"/>
      <c r="M80" s="44"/>
      <c r="P80" s="42"/>
    </row>
    <row r="81" spans="1:16" ht="13.2">
      <c r="A81" s="82" t="s">
        <v>693</v>
      </c>
      <c r="B81" s="82" t="s">
        <v>692</v>
      </c>
      <c r="C81" s="82" t="s">
        <v>432</v>
      </c>
      <c r="D81" s="83">
        <v>1</v>
      </c>
      <c r="E81" s="42"/>
      <c r="I81" s="43"/>
      <c r="J81" s="43"/>
      <c r="L81" s="8"/>
      <c r="M81" s="44"/>
      <c r="P81" s="42"/>
    </row>
    <row r="82" spans="1:16" ht="13.2">
      <c r="A82" s="82" t="s">
        <v>724</v>
      </c>
      <c r="B82" s="82" t="s">
        <v>722</v>
      </c>
      <c r="C82" s="82" t="s">
        <v>387</v>
      </c>
      <c r="D82" s="83">
        <v>1</v>
      </c>
      <c r="E82" s="42"/>
      <c r="I82" s="43"/>
      <c r="J82" s="43"/>
      <c r="L82" s="8"/>
      <c r="M82" s="44"/>
      <c r="P82" s="42"/>
    </row>
    <row r="83" spans="1:16" ht="13.2">
      <c r="A83" s="82" t="s">
        <v>331</v>
      </c>
      <c r="B83" s="82" t="s">
        <v>328</v>
      </c>
      <c r="C83" s="82" t="s">
        <v>125</v>
      </c>
      <c r="D83" s="83">
        <v>1</v>
      </c>
      <c r="E83" s="42"/>
      <c r="I83" s="43"/>
      <c r="J83" s="43"/>
      <c r="L83" s="8"/>
      <c r="M83" s="44"/>
      <c r="P83" s="42"/>
    </row>
    <row r="84" spans="1:16" ht="13.2">
      <c r="A84" s="82" t="s">
        <v>494</v>
      </c>
      <c r="B84" s="82" t="s">
        <v>493</v>
      </c>
      <c r="C84" s="82" t="s">
        <v>452</v>
      </c>
      <c r="D84" s="83">
        <v>1</v>
      </c>
      <c r="E84" s="42"/>
      <c r="I84" s="43"/>
      <c r="J84" s="43"/>
      <c r="L84" s="8"/>
      <c r="M84" s="44"/>
      <c r="P84" s="42"/>
    </row>
    <row r="85" spans="1:16" ht="13.2">
      <c r="A85" s="82" t="s">
        <v>283</v>
      </c>
      <c r="B85" s="82" t="s">
        <v>281</v>
      </c>
      <c r="C85" s="82" t="s">
        <v>180</v>
      </c>
      <c r="D85" s="83">
        <v>1</v>
      </c>
      <c r="E85" s="42"/>
      <c r="I85" s="43"/>
      <c r="J85" s="43"/>
      <c r="L85" s="8"/>
      <c r="M85" s="44"/>
      <c r="P85" s="42"/>
    </row>
    <row r="86" spans="1:16" ht="13.2">
      <c r="A86" s="88" t="s">
        <v>758</v>
      </c>
      <c r="B86" s="89"/>
      <c r="C86" s="89"/>
      <c r="D86" s="90"/>
      <c r="E86" s="42"/>
      <c r="I86" s="43"/>
      <c r="J86" s="43"/>
      <c r="L86" s="8"/>
      <c r="M86" s="44"/>
      <c r="P86" s="42"/>
    </row>
    <row r="87" spans="1:16" ht="13.2">
      <c r="D87" s="41"/>
      <c r="E87" s="42"/>
      <c r="I87" s="43"/>
      <c r="J87" s="43"/>
      <c r="L87" s="8"/>
      <c r="M87" s="44"/>
      <c r="P87" s="42"/>
    </row>
    <row r="88" spans="1:16" ht="13.2">
      <c r="D88" s="41"/>
      <c r="E88" s="42"/>
      <c r="I88" s="43"/>
      <c r="J88" s="43"/>
      <c r="L88" s="8"/>
      <c r="M88" s="44"/>
      <c r="P88" s="42"/>
    </row>
    <row r="89" spans="1:16" ht="13.2">
      <c r="D89" s="41"/>
      <c r="E89" s="42"/>
      <c r="I89" s="43"/>
      <c r="J89" s="43"/>
      <c r="L89" s="8"/>
      <c r="M89" s="44"/>
      <c r="P89" s="42"/>
    </row>
    <row r="90" spans="1:16" ht="13.2">
      <c r="D90" s="41"/>
      <c r="E90" s="42"/>
      <c r="I90" s="43"/>
      <c r="J90" s="43"/>
      <c r="L90" s="8"/>
      <c r="M90" s="44"/>
      <c r="P90" s="42"/>
    </row>
    <row r="91" spans="1:16" ht="13.2">
      <c r="D91" s="41"/>
      <c r="E91" s="42"/>
      <c r="I91" s="43"/>
      <c r="J91" s="43"/>
      <c r="L91" s="8"/>
      <c r="M91" s="44"/>
      <c r="P91" s="42"/>
    </row>
    <row r="92" spans="1:16" ht="13.2">
      <c r="D92" s="41"/>
      <c r="E92" s="42"/>
      <c r="I92" s="43"/>
      <c r="J92" s="43"/>
      <c r="L92" s="8"/>
      <c r="M92" s="44"/>
      <c r="P92" s="42"/>
    </row>
    <row r="93" spans="1:16" ht="13.2">
      <c r="D93" s="41"/>
      <c r="E93" s="42"/>
      <c r="I93" s="43"/>
      <c r="J93" s="43"/>
      <c r="L93" s="8"/>
      <c r="M93" s="44"/>
      <c r="P93" s="42"/>
    </row>
    <row r="94" spans="1:16" ht="13.2">
      <c r="D94" s="41"/>
      <c r="E94" s="42"/>
      <c r="I94" s="43"/>
      <c r="J94" s="43"/>
      <c r="L94" s="8"/>
      <c r="M94" s="44"/>
      <c r="P94" s="42"/>
    </row>
    <row r="95" spans="1:16" ht="13.2">
      <c r="D95" s="41"/>
      <c r="E95" s="42"/>
      <c r="I95" s="43"/>
      <c r="J95" s="43"/>
      <c r="L95" s="8"/>
      <c r="M95" s="44"/>
      <c r="P95" s="42"/>
    </row>
    <row r="96" spans="1:16" ht="13.2">
      <c r="D96" s="41"/>
      <c r="E96" s="42"/>
      <c r="I96" s="43"/>
      <c r="J96" s="43"/>
      <c r="L96" s="8"/>
      <c r="M96" s="44"/>
      <c r="P96" s="42"/>
    </row>
    <row r="97" spans="4:16" ht="13.2">
      <c r="D97" s="41"/>
      <c r="E97" s="42"/>
      <c r="I97" s="43"/>
      <c r="J97" s="43"/>
      <c r="L97" s="8"/>
      <c r="M97" s="44"/>
      <c r="P97" s="42"/>
    </row>
    <row r="98" spans="4:16" ht="13.2">
      <c r="D98" s="41"/>
      <c r="E98" s="42"/>
      <c r="I98" s="43"/>
      <c r="J98" s="43"/>
      <c r="L98" s="8"/>
      <c r="M98" s="44"/>
      <c r="P98" s="42"/>
    </row>
    <row r="99" spans="4:16" ht="13.2">
      <c r="D99" s="41"/>
      <c r="E99" s="42"/>
      <c r="I99" s="43"/>
      <c r="J99" s="43"/>
      <c r="L99" s="8"/>
      <c r="M99" s="44"/>
      <c r="P99" s="42"/>
    </row>
    <row r="100" spans="4:16" ht="13.2">
      <c r="D100" s="41"/>
      <c r="E100" s="42"/>
      <c r="I100" s="43"/>
      <c r="J100" s="43"/>
      <c r="L100" s="8"/>
      <c r="M100" s="44"/>
      <c r="P100" s="42"/>
    </row>
    <row r="101" spans="4:16" ht="13.2">
      <c r="D101" s="41"/>
      <c r="E101" s="42"/>
      <c r="I101" s="43"/>
      <c r="J101" s="43"/>
      <c r="L101" s="8"/>
      <c r="M101" s="44"/>
      <c r="P101" s="42"/>
    </row>
    <row r="102" spans="4:16" ht="13.2">
      <c r="D102" s="41"/>
      <c r="E102" s="42"/>
      <c r="I102" s="43"/>
      <c r="J102" s="43"/>
      <c r="L102" s="8"/>
      <c r="M102" s="44"/>
      <c r="P102" s="42"/>
    </row>
    <row r="103" spans="4:16" ht="13.2">
      <c r="D103" s="41"/>
      <c r="E103" s="42"/>
      <c r="I103" s="43"/>
      <c r="J103" s="43"/>
      <c r="L103" s="8"/>
      <c r="M103" s="44"/>
      <c r="P103" s="42"/>
    </row>
    <row r="104" spans="4:16" ht="13.2">
      <c r="D104" s="41"/>
      <c r="E104" s="42"/>
      <c r="I104" s="43"/>
      <c r="J104" s="43"/>
      <c r="L104" s="8"/>
      <c r="M104" s="44"/>
      <c r="P104" s="42"/>
    </row>
    <row r="105" spans="4:16" ht="13.2">
      <c r="D105" s="41"/>
      <c r="E105" s="42"/>
      <c r="I105" s="43"/>
      <c r="J105" s="43"/>
      <c r="L105" s="8"/>
      <c r="M105" s="44"/>
      <c r="P105" s="42"/>
    </row>
    <row r="106" spans="4:16" ht="13.2">
      <c r="D106" s="41"/>
      <c r="E106" s="42"/>
      <c r="I106" s="43"/>
      <c r="J106" s="43"/>
      <c r="L106" s="8"/>
      <c r="M106" s="44"/>
      <c r="P106" s="42"/>
    </row>
    <row r="107" spans="4:16" ht="13.2">
      <c r="D107" s="41"/>
      <c r="E107" s="42"/>
      <c r="I107" s="43"/>
      <c r="J107" s="43"/>
      <c r="L107" s="8"/>
      <c r="M107" s="44"/>
      <c r="P107" s="42"/>
    </row>
    <row r="108" spans="4:16" ht="13.2">
      <c r="D108" s="41"/>
      <c r="E108" s="42"/>
      <c r="I108" s="43"/>
      <c r="J108" s="43"/>
      <c r="L108" s="8"/>
      <c r="M108" s="44"/>
      <c r="P108" s="42"/>
    </row>
    <row r="109" spans="4:16" ht="13.2">
      <c r="D109" s="41"/>
      <c r="E109" s="42"/>
      <c r="I109" s="43"/>
      <c r="J109" s="43"/>
      <c r="L109" s="8"/>
      <c r="M109" s="44"/>
      <c r="P109" s="42"/>
    </row>
    <row r="110" spans="4:16" ht="13.2">
      <c r="D110" s="41"/>
      <c r="E110" s="42"/>
      <c r="I110" s="43"/>
      <c r="J110" s="43"/>
      <c r="L110" s="8"/>
      <c r="M110" s="44"/>
      <c r="P110" s="42"/>
    </row>
    <row r="111" spans="4:16" ht="13.2">
      <c r="D111" s="41"/>
      <c r="E111" s="42"/>
      <c r="I111" s="43"/>
      <c r="J111" s="43"/>
      <c r="L111" s="8"/>
      <c r="M111" s="44"/>
      <c r="P111" s="42"/>
    </row>
    <row r="112" spans="4:16" ht="13.2">
      <c r="D112" s="41"/>
      <c r="E112" s="42"/>
      <c r="I112" s="43"/>
      <c r="J112" s="43"/>
      <c r="L112" s="8"/>
      <c r="M112" s="44"/>
      <c r="P112" s="42"/>
    </row>
    <row r="113" spans="4:16" ht="13.2">
      <c r="D113" s="41"/>
      <c r="E113" s="42"/>
      <c r="I113" s="43"/>
      <c r="J113" s="43"/>
      <c r="L113" s="8"/>
      <c r="M113" s="44"/>
      <c r="P113" s="42"/>
    </row>
    <row r="114" spans="4:16" ht="13.2">
      <c r="D114" s="41"/>
      <c r="E114" s="42"/>
      <c r="I114" s="43"/>
      <c r="J114" s="43"/>
      <c r="L114" s="8"/>
      <c r="M114" s="44"/>
      <c r="P114" s="42"/>
    </row>
    <row r="115" spans="4:16" ht="13.2">
      <c r="D115" s="41"/>
      <c r="E115" s="42"/>
      <c r="I115" s="43"/>
      <c r="J115" s="43"/>
      <c r="L115" s="8"/>
      <c r="M115" s="44"/>
      <c r="P115" s="42"/>
    </row>
    <row r="116" spans="4:16" ht="13.2">
      <c r="D116" s="41"/>
      <c r="E116" s="42"/>
      <c r="I116" s="43"/>
      <c r="J116" s="43"/>
      <c r="L116" s="8"/>
      <c r="M116" s="44"/>
      <c r="P116" s="42"/>
    </row>
    <row r="117" spans="4:16" ht="13.2">
      <c r="D117" s="41"/>
      <c r="E117" s="42"/>
      <c r="I117" s="43"/>
      <c r="J117" s="43"/>
      <c r="L117" s="8"/>
      <c r="M117" s="44"/>
      <c r="P117" s="42"/>
    </row>
    <row r="118" spans="4:16" ht="13.2">
      <c r="D118" s="41"/>
      <c r="E118" s="42"/>
      <c r="I118" s="43"/>
      <c r="J118" s="43"/>
      <c r="L118" s="8"/>
      <c r="M118" s="44"/>
      <c r="P118" s="42"/>
    </row>
    <row r="119" spans="4:16" ht="13.2">
      <c r="D119" s="41"/>
      <c r="E119" s="42"/>
      <c r="I119" s="43"/>
      <c r="J119" s="43"/>
      <c r="L119" s="8"/>
      <c r="M119" s="44"/>
      <c r="P119" s="42"/>
    </row>
    <row r="120" spans="4:16" ht="13.2">
      <c r="D120" s="41"/>
      <c r="E120" s="42"/>
      <c r="I120" s="43"/>
      <c r="J120" s="43"/>
      <c r="L120" s="8"/>
      <c r="M120" s="44"/>
      <c r="P120" s="42"/>
    </row>
    <row r="121" spans="4:16" ht="13.2">
      <c r="D121" s="41"/>
      <c r="E121" s="42"/>
      <c r="I121" s="43"/>
      <c r="J121" s="43"/>
      <c r="L121" s="8"/>
      <c r="M121" s="44"/>
      <c r="P121" s="42"/>
    </row>
    <row r="122" spans="4:16" ht="13.2">
      <c r="D122" s="41"/>
      <c r="E122" s="42"/>
      <c r="I122" s="43"/>
      <c r="J122" s="43"/>
      <c r="L122" s="8"/>
      <c r="M122" s="44"/>
      <c r="P122" s="42"/>
    </row>
    <row r="123" spans="4:16" ht="13.2">
      <c r="D123" s="41"/>
      <c r="E123" s="42"/>
      <c r="I123" s="43"/>
      <c r="J123" s="43"/>
      <c r="L123" s="8"/>
      <c r="M123" s="44"/>
      <c r="P123" s="42"/>
    </row>
    <row r="124" spans="4:16" ht="13.2">
      <c r="D124" s="41"/>
      <c r="E124" s="42"/>
      <c r="I124" s="43"/>
      <c r="J124" s="43"/>
      <c r="L124" s="8"/>
      <c r="M124" s="44"/>
      <c r="P124" s="42"/>
    </row>
    <row r="125" spans="4:16" ht="13.2">
      <c r="D125" s="41"/>
      <c r="E125" s="42"/>
      <c r="I125" s="43"/>
      <c r="J125" s="43"/>
      <c r="L125" s="8"/>
      <c r="M125" s="44"/>
      <c r="P125" s="42"/>
    </row>
    <row r="126" spans="4:16" ht="13.2">
      <c r="D126" s="41"/>
      <c r="E126" s="42"/>
      <c r="I126" s="43"/>
      <c r="J126" s="43"/>
      <c r="L126" s="8"/>
      <c r="M126" s="44"/>
      <c r="P126" s="42"/>
    </row>
    <row r="127" spans="4:16" ht="13.2">
      <c r="D127" s="41"/>
      <c r="E127" s="42"/>
      <c r="I127" s="43"/>
      <c r="J127" s="43"/>
      <c r="L127" s="8"/>
      <c r="M127" s="44"/>
      <c r="P127" s="42"/>
    </row>
    <row r="128" spans="4:16" ht="13.2">
      <c r="D128" s="41"/>
      <c r="E128" s="42"/>
      <c r="I128" s="43"/>
      <c r="J128" s="43"/>
      <c r="L128" s="8"/>
      <c r="M128" s="44"/>
      <c r="P128" s="42"/>
    </row>
    <row r="129" spans="4:16" ht="13.2">
      <c r="D129" s="41"/>
      <c r="E129" s="42"/>
      <c r="I129" s="43"/>
      <c r="J129" s="43"/>
      <c r="L129" s="8"/>
      <c r="M129" s="44"/>
      <c r="P129" s="42"/>
    </row>
    <row r="130" spans="4:16" ht="13.2">
      <c r="D130" s="41"/>
      <c r="E130" s="42"/>
      <c r="I130" s="43"/>
      <c r="J130" s="43"/>
      <c r="L130" s="8"/>
      <c r="M130" s="44"/>
      <c r="P130" s="42"/>
    </row>
    <row r="131" spans="4:16" ht="13.2">
      <c r="D131" s="41"/>
      <c r="E131" s="42"/>
      <c r="I131" s="43"/>
      <c r="J131" s="43"/>
      <c r="L131" s="8"/>
      <c r="M131" s="44"/>
      <c r="P131" s="42"/>
    </row>
    <row r="132" spans="4:16" ht="13.2">
      <c r="D132" s="41"/>
      <c r="E132" s="42"/>
      <c r="I132" s="43"/>
      <c r="J132" s="43"/>
      <c r="L132" s="8"/>
      <c r="M132" s="44"/>
      <c r="P132" s="42"/>
    </row>
    <row r="133" spans="4:16" ht="13.2">
      <c r="D133" s="41"/>
      <c r="E133" s="42"/>
      <c r="I133" s="43"/>
      <c r="J133" s="43"/>
      <c r="L133" s="8"/>
      <c r="M133" s="44"/>
      <c r="P133" s="42"/>
    </row>
    <row r="134" spans="4:16" ht="13.2">
      <c r="D134" s="41"/>
      <c r="E134" s="42"/>
      <c r="I134" s="43"/>
      <c r="J134" s="43"/>
      <c r="L134" s="8"/>
      <c r="M134" s="44"/>
      <c r="P134" s="42"/>
    </row>
    <row r="135" spans="4:16" ht="13.2">
      <c r="D135" s="41"/>
      <c r="E135" s="42"/>
      <c r="I135" s="43"/>
      <c r="J135" s="43"/>
      <c r="L135" s="8"/>
      <c r="M135" s="44"/>
      <c r="P135" s="42"/>
    </row>
    <row r="136" spans="4:16" ht="13.2">
      <c r="D136" s="41"/>
      <c r="E136" s="42"/>
      <c r="I136" s="43"/>
      <c r="J136" s="43"/>
      <c r="L136" s="8"/>
      <c r="M136" s="44"/>
      <c r="P136" s="42"/>
    </row>
    <row r="137" spans="4:16" ht="13.2">
      <c r="D137" s="41"/>
      <c r="E137" s="42"/>
      <c r="I137" s="43"/>
      <c r="J137" s="43"/>
      <c r="L137" s="8"/>
      <c r="M137" s="44"/>
      <c r="P137" s="42"/>
    </row>
    <row r="138" spans="4:16" ht="13.2">
      <c r="D138" s="41"/>
      <c r="E138" s="42"/>
      <c r="I138" s="43"/>
      <c r="J138" s="43"/>
      <c r="L138" s="8"/>
      <c r="M138" s="44"/>
      <c r="P138" s="42"/>
    </row>
    <row r="139" spans="4:16" ht="13.2">
      <c r="D139" s="41"/>
      <c r="E139" s="42"/>
      <c r="I139" s="43"/>
      <c r="J139" s="43"/>
      <c r="L139" s="8"/>
      <c r="M139" s="44"/>
      <c r="P139" s="42"/>
    </row>
    <row r="140" spans="4:16" ht="13.2">
      <c r="D140" s="41"/>
      <c r="E140" s="42"/>
      <c r="I140" s="43"/>
      <c r="J140" s="43"/>
      <c r="L140" s="8"/>
      <c r="M140" s="44"/>
      <c r="P140" s="42"/>
    </row>
    <row r="141" spans="4:16" ht="13.2">
      <c r="D141" s="41"/>
      <c r="E141" s="42"/>
      <c r="I141" s="43"/>
      <c r="J141" s="43"/>
      <c r="L141" s="8"/>
      <c r="M141" s="44"/>
      <c r="P141" s="42"/>
    </row>
    <row r="142" spans="4:16" ht="13.2">
      <c r="D142" s="41"/>
      <c r="E142" s="42"/>
      <c r="I142" s="43"/>
      <c r="J142" s="43"/>
      <c r="L142" s="8"/>
      <c r="M142" s="44"/>
      <c r="P142" s="42"/>
    </row>
    <row r="143" spans="4:16" ht="13.2">
      <c r="D143" s="41"/>
      <c r="E143" s="42"/>
      <c r="I143" s="43"/>
      <c r="J143" s="43"/>
      <c r="L143" s="8"/>
      <c r="M143" s="44"/>
      <c r="P143" s="42"/>
    </row>
    <row r="144" spans="4:16" ht="13.2">
      <c r="D144" s="41"/>
      <c r="E144" s="42"/>
      <c r="I144" s="43"/>
      <c r="J144" s="43"/>
      <c r="L144" s="8"/>
      <c r="M144" s="44"/>
      <c r="P144" s="42"/>
    </row>
    <row r="145" spans="4:16" ht="13.2">
      <c r="D145" s="41"/>
      <c r="E145" s="42"/>
      <c r="I145" s="43"/>
      <c r="J145" s="43"/>
      <c r="L145" s="8"/>
      <c r="M145" s="44"/>
      <c r="P145" s="42"/>
    </row>
    <row r="146" spans="4:16" ht="13.2">
      <c r="D146" s="41"/>
      <c r="E146" s="42"/>
      <c r="I146" s="43"/>
      <c r="J146" s="43"/>
      <c r="L146" s="8"/>
      <c r="M146" s="44"/>
      <c r="P146" s="42"/>
    </row>
    <row r="147" spans="4:16" ht="13.2">
      <c r="D147" s="41"/>
      <c r="E147" s="42"/>
      <c r="I147" s="43"/>
      <c r="J147" s="43"/>
      <c r="L147" s="8"/>
      <c r="M147" s="44"/>
      <c r="P147" s="42"/>
    </row>
    <row r="148" spans="4:16" ht="13.2">
      <c r="D148" s="41"/>
      <c r="E148" s="42"/>
      <c r="I148" s="43"/>
      <c r="J148" s="43"/>
      <c r="L148" s="8"/>
      <c r="M148" s="44"/>
      <c r="P148" s="42"/>
    </row>
    <row r="149" spans="4:16" ht="13.2">
      <c r="D149" s="41"/>
      <c r="E149" s="42"/>
      <c r="I149" s="43"/>
      <c r="J149" s="43"/>
      <c r="L149" s="8"/>
      <c r="M149" s="44"/>
      <c r="P149" s="42"/>
    </row>
    <row r="150" spans="4:16" ht="13.2">
      <c r="D150" s="41"/>
      <c r="E150" s="42"/>
      <c r="I150" s="43"/>
      <c r="J150" s="43"/>
      <c r="L150" s="8"/>
      <c r="M150" s="44"/>
      <c r="P150" s="42"/>
    </row>
    <row r="151" spans="4:16" ht="13.2">
      <c r="D151" s="41"/>
      <c r="E151" s="42"/>
      <c r="I151" s="43"/>
      <c r="J151" s="43"/>
      <c r="L151" s="8"/>
      <c r="M151" s="44"/>
      <c r="P151" s="42"/>
    </row>
    <row r="152" spans="4:16" ht="13.2">
      <c r="D152" s="41"/>
      <c r="E152" s="42"/>
      <c r="I152" s="43"/>
      <c r="J152" s="43"/>
      <c r="L152" s="8"/>
      <c r="M152" s="44"/>
      <c r="P152" s="42"/>
    </row>
    <row r="153" spans="4:16" ht="13.2">
      <c r="D153" s="41"/>
      <c r="E153" s="42"/>
      <c r="I153" s="43"/>
      <c r="J153" s="43"/>
      <c r="L153" s="8"/>
      <c r="M153" s="44"/>
      <c r="P153" s="42"/>
    </row>
    <row r="154" spans="4:16" ht="13.2">
      <c r="D154" s="41"/>
      <c r="E154" s="42"/>
      <c r="I154" s="43"/>
      <c r="J154" s="43"/>
      <c r="L154" s="8"/>
      <c r="M154" s="44"/>
      <c r="P154" s="42"/>
    </row>
    <row r="155" spans="4:16" ht="13.2">
      <c r="D155" s="41"/>
      <c r="E155" s="42"/>
      <c r="I155" s="43"/>
      <c r="J155" s="43"/>
      <c r="L155" s="8"/>
      <c r="M155" s="44"/>
      <c r="P155" s="42"/>
    </row>
    <row r="156" spans="4:16" ht="13.2">
      <c r="D156" s="41"/>
      <c r="E156" s="42"/>
      <c r="I156" s="43"/>
      <c r="J156" s="43"/>
      <c r="L156" s="8"/>
      <c r="M156" s="44"/>
      <c r="P156" s="42"/>
    </row>
    <row r="157" spans="4:16" ht="13.2">
      <c r="D157" s="41"/>
      <c r="E157" s="42"/>
      <c r="I157" s="43"/>
      <c r="J157" s="43"/>
      <c r="L157" s="8"/>
      <c r="M157" s="44"/>
      <c r="P157" s="42"/>
    </row>
    <row r="158" spans="4:16" ht="13.2">
      <c r="D158" s="41"/>
      <c r="E158" s="42"/>
      <c r="I158" s="43"/>
      <c r="J158" s="43"/>
      <c r="L158" s="8"/>
      <c r="M158" s="44"/>
      <c r="P158" s="42"/>
    </row>
    <row r="159" spans="4:16" ht="13.2">
      <c r="D159" s="41"/>
      <c r="E159" s="42"/>
      <c r="I159" s="43"/>
      <c r="J159" s="43"/>
      <c r="L159" s="8"/>
      <c r="M159" s="44"/>
      <c r="P159" s="42"/>
    </row>
    <row r="160" spans="4:16" ht="13.2">
      <c r="D160" s="41"/>
      <c r="E160" s="42"/>
      <c r="I160" s="43"/>
      <c r="J160" s="43"/>
      <c r="L160" s="8"/>
      <c r="M160" s="44"/>
      <c r="P160" s="42"/>
    </row>
    <row r="161" spans="4:16" ht="13.2">
      <c r="D161" s="41"/>
      <c r="E161" s="42"/>
      <c r="I161" s="43"/>
      <c r="J161" s="43"/>
      <c r="L161" s="8"/>
      <c r="M161" s="44"/>
      <c r="P161" s="42"/>
    </row>
    <row r="162" spans="4:16" ht="13.2">
      <c r="D162" s="41"/>
      <c r="E162" s="42"/>
      <c r="I162" s="43"/>
      <c r="J162" s="43"/>
      <c r="L162" s="8"/>
      <c r="M162" s="44"/>
      <c r="P162" s="42"/>
    </row>
    <row r="163" spans="4:16" ht="13.2">
      <c r="D163" s="41"/>
      <c r="E163" s="42"/>
      <c r="I163" s="43"/>
      <c r="J163" s="43"/>
      <c r="L163" s="8"/>
      <c r="M163" s="44"/>
      <c r="P163" s="42"/>
    </row>
    <row r="164" spans="4:16" ht="13.2">
      <c r="D164" s="41"/>
      <c r="E164" s="42"/>
      <c r="I164" s="43"/>
      <c r="J164" s="43"/>
      <c r="L164" s="8"/>
      <c r="M164" s="44"/>
      <c r="P164" s="42"/>
    </row>
    <row r="165" spans="4:16" ht="13.2">
      <c r="D165" s="41"/>
      <c r="E165" s="42"/>
      <c r="I165" s="43"/>
      <c r="J165" s="43"/>
      <c r="L165" s="8"/>
      <c r="M165" s="44"/>
      <c r="P165" s="42"/>
    </row>
    <row r="166" spans="4:16" ht="13.2">
      <c r="D166" s="41"/>
      <c r="E166" s="42"/>
      <c r="I166" s="43"/>
      <c r="J166" s="43"/>
      <c r="L166" s="8"/>
      <c r="M166" s="44"/>
      <c r="P166" s="42"/>
    </row>
    <row r="167" spans="4:16" ht="13.2">
      <c r="D167" s="41"/>
      <c r="E167" s="42"/>
      <c r="I167" s="43"/>
      <c r="J167" s="43"/>
      <c r="L167" s="8"/>
      <c r="M167" s="44"/>
      <c r="P167" s="42"/>
    </row>
    <row r="168" spans="4:16" ht="13.2">
      <c r="D168" s="41"/>
      <c r="E168" s="42"/>
      <c r="I168" s="43"/>
      <c r="J168" s="43"/>
      <c r="L168" s="8"/>
      <c r="M168" s="44"/>
      <c r="P168" s="42"/>
    </row>
    <row r="169" spans="4:16" ht="13.2">
      <c r="D169" s="41"/>
      <c r="E169" s="42"/>
      <c r="I169" s="43"/>
      <c r="J169" s="43"/>
      <c r="L169" s="8"/>
      <c r="M169" s="44"/>
      <c r="P169" s="42"/>
    </row>
    <row r="170" spans="4:16" ht="13.2">
      <c r="D170" s="41"/>
      <c r="E170" s="42"/>
      <c r="I170" s="43"/>
      <c r="J170" s="43"/>
      <c r="L170" s="8"/>
      <c r="M170" s="44"/>
      <c r="P170" s="42"/>
    </row>
    <row r="171" spans="4:16" ht="13.2">
      <c r="D171" s="41"/>
      <c r="E171" s="42"/>
      <c r="I171" s="43"/>
      <c r="J171" s="43"/>
      <c r="L171" s="8"/>
      <c r="M171" s="44"/>
      <c r="P171" s="42"/>
    </row>
    <row r="172" spans="4:16" ht="13.2">
      <c r="D172" s="41"/>
      <c r="E172" s="42"/>
      <c r="I172" s="43"/>
      <c r="J172" s="43"/>
      <c r="L172" s="8"/>
      <c r="M172" s="44"/>
      <c r="P172" s="42"/>
    </row>
    <row r="173" spans="4:16" ht="13.2">
      <c r="D173" s="41"/>
      <c r="E173" s="42"/>
      <c r="I173" s="43"/>
      <c r="J173" s="43"/>
      <c r="L173" s="8"/>
      <c r="M173" s="44"/>
      <c r="P173" s="42"/>
    </row>
    <row r="174" spans="4:16" ht="13.2">
      <c r="D174" s="41"/>
      <c r="E174" s="42"/>
      <c r="I174" s="43"/>
      <c r="J174" s="43"/>
      <c r="L174" s="8"/>
      <c r="M174" s="44"/>
      <c r="P174" s="42"/>
    </row>
    <row r="175" spans="4:16" ht="13.2">
      <c r="D175" s="41"/>
      <c r="E175" s="42"/>
      <c r="I175" s="43"/>
      <c r="J175" s="43"/>
      <c r="L175" s="8"/>
      <c r="M175" s="44"/>
      <c r="P175" s="42"/>
    </row>
    <row r="176" spans="4:16" ht="13.2">
      <c r="D176" s="41"/>
      <c r="E176" s="42"/>
      <c r="I176" s="43"/>
      <c r="J176" s="43"/>
      <c r="L176" s="8"/>
      <c r="M176" s="44"/>
      <c r="P176" s="42"/>
    </row>
    <row r="177" spans="4:16" ht="13.2">
      <c r="D177" s="41"/>
      <c r="E177" s="42"/>
      <c r="I177" s="43"/>
      <c r="J177" s="43"/>
      <c r="L177" s="8"/>
      <c r="M177" s="44"/>
      <c r="P177" s="42"/>
    </row>
    <row r="178" spans="4:16" ht="13.2">
      <c r="D178" s="41"/>
      <c r="E178" s="42"/>
      <c r="I178" s="43"/>
      <c r="J178" s="43"/>
      <c r="L178" s="8"/>
      <c r="M178" s="44"/>
      <c r="P178" s="42"/>
    </row>
    <row r="179" spans="4:16" ht="13.2">
      <c r="D179" s="41"/>
      <c r="E179" s="42"/>
      <c r="I179" s="43"/>
      <c r="J179" s="43"/>
      <c r="L179" s="8"/>
      <c r="M179" s="44"/>
      <c r="P179" s="42"/>
    </row>
    <row r="180" spans="4:16" ht="13.2">
      <c r="D180" s="41"/>
      <c r="E180" s="42"/>
      <c r="I180" s="43"/>
      <c r="J180" s="43"/>
      <c r="L180" s="8"/>
      <c r="M180" s="44"/>
      <c r="P180" s="42"/>
    </row>
    <row r="181" spans="4:16" ht="13.2">
      <c r="D181" s="41"/>
      <c r="E181" s="42"/>
      <c r="I181" s="43"/>
      <c r="J181" s="43"/>
      <c r="L181" s="8"/>
      <c r="M181" s="44"/>
      <c r="P181" s="42"/>
    </row>
    <row r="182" spans="4:16" ht="13.2">
      <c r="D182" s="41"/>
      <c r="E182" s="42"/>
      <c r="I182" s="43"/>
      <c r="J182" s="43"/>
      <c r="L182" s="8"/>
      <c r="M182" s="44"/>
      <c r="P182" s="42"/>
    </row>
    <row r="183" spans="4:16" ht="13.2">
      <c r="D183" s="41"/>
      <c r="E183" s="42"/>
      <c r="I183" s="43"/>
      <c r="J183" s="43"/>
      <c r="L183" s="8"/>
      <c r="M183" s="44"/>
      <c r="P183" s="42"/>
    </row>
    <row r="184" spans="4:16" ht="13.2">
      <c r="D184" s="41"/>
      <c r="E184" s="42"/>
      <c r="I184" s="43"/>
      <c r="J184" s="43"/>
      <c r="L184" s="8"/>
      <c r="M184" s="44"/>
      <c r="P184" s="42"/>
    </row>
    <row r="185" spans="4:16" ht="13.2">
      <c r="D185" s="41"/>
      <c r="E185" s="42"/>
      <c r="I185" s="43"/>
      <c r="J185" s="43"/>
      <c r="L185" s="8"/>
      <c r="M185" s="44"/>
      <c r="P185" s="42"/>
    </row>
    <row r="186" spans="4:16" ht="13.2">
      <c r="D186" s="41"/>
      <c r="E186" s="42"/>
      <c r="I186" s="43"/>
      <c r="J186" s="43"/>
      <c r="L186" s="8"/>
      <c r="M186" s="44"/>
      <c r="P186" s="42"/>
    </row>
    <row r="187" spans="4:16" ht="13.2">
      <c r="D187" s="41"/>
      <c r="E187" s="42"/>
      <c r="I187" s="43"/>
      <c r="J187" s="43"/>
      <c r="L187" s="8"/>
      <c r="M187" s="44"/>
      <c r="P187" s="42"/>
    </row>
    <row r="188" spans="4:16" ht="13.2">
      <c r="D188" s="41"/>
      <c r="E188" s="42"/>
      <c r="I188" s="43"/>
      <c r="J188" s="43"/>
      <c r="L188" s="8"/>
      <c r="M188" s="44"/>
      <c r="P188" s="42"/>
    </row>
    <row r="189" spans="4:16" ht="13.2">
      <c r="D189" s="41"/>
      <c r="E189" s="42"/>
      <c r="I189" s="43"/>
      <c r="J189" s="43"/>
      <c r="L189" s="8"/>
      <c r="M189" s="44"/>
      <c r="P189" s="42"/>
    </row>
    <row r="190" spans="4:16" ht="13.2">
      <c r="D190" s="41"/>
      <c r="E190" s="42"/>
      <c r="I190" s="43"/>
      <c r="J190" s="43"/>
      <c r="L190" s="8"/>
      <c r="M190" s="44"/>
      <c r="P190" s="42"/>
    </row>
    <row r="191" spans="4:16" ht="13.2">
      <c r="D191" s="41"/>
      <c r="E191" s="42"/>
      <c r="I191" s="43"/>
      <c r="J191" s="43"/>
      <c r="L191" s="8"/>
      <c r="M191" s="44"/>
      <c r="P191" s="42"/>
    </row>
    <row r="192" spans="4:16" ht="13.2">
      <c r="D192" s="41"/>
      <c r="E192" s="42"/>
      <c r="I192" s="43"/>
      <c r="J192" s="43"/>
      <c r="L192" s="8"/>
      <c r="M192" s="44"/>
      <c r="P192" s="42"/>
    </row>
    <row r="193" spans="4:16" ht="13.2">
      <c r="D193" s="41"/>
      <c r="E193" s="42"/>
      <c r="I193" s="43"/>
      <c r="J193" s="43"/>
      <c r="L193" s="8"/>
      <c r="M193" s="44"/>
      <c r="P193" s="42"/>
    </row>
    <row r="194" spans="4:16" ht="13.2">
      <c r="D194" s="41"/>
      <c r="E194" s="42"/>
      <c r="I194" s="43"/>
      <c r="J194" s="43"/>
      <c r="L194" s="8"/>
      <c r="M194" s="44"/>
      <c r="P194" s="42"/>
    </row>
    <row r="195" spans="4:16" ht="13.2">
      <c r="D195" s="41"/>
      <c r="E195" s="42"/>
      <c r="I195" s="43"/>
      <c r="J195" s="43"/>
      <c r="L195" s="8"/>
      <c r="M195" s="44"/>
      <c r="P195" s="42"/>
    </row>
    <row r="196" spans="4:16" ht="13.2">
      <c r="D196" s="41"/>
      <c r="E196" s="42"/>
      <c r="I196" s="43"/>
      <c r="J196" s="43"/>
      <c r="L196" s="8"/>
      <c r="M196" s="44"/>
      <c r="P196" s="42"/>
    </row>
    <row r="197" spans="4:16" ht="13.2">
      <c r="D197" s="41"/>
      <c r="E197" s="42"/>
      <c r="I197" s="43"/>
      <c r="J197" s="43"/>
      <c r="L197" s="8"/>
      <c r="M197" s="44"/>
      <c r="P197" s="42"/>
    </row>
    <row r="198" spans="4:16" ht="13.2">
      <c r="D198" s="41"/>
      <c r="E198" s="42"/>
      <c r="I198" s="43"/>
      <c r="J198" s="43"/>
      <c r="L198" s="8"/>
      <c r="M198" s="44"/>
      <c r="P198" s="42"/>
    </row>
    <row r="199" spans="4:16" ht="13.2">
      <c r="D199" s="41"/>
      <c r="E199" s="42"/>
      <c r="I199" s="43"/>
      <c r="J199" s="43"/>
      <c r="L199" s="8"/>
      <c r="M199" s="44"/>
      <c r="P199" s="42"/>
    </row>
    <row r="200" spans="4:16" ht="13.2">
      <c r="D200" s="41"/>
      <c r="E200" s="42"/>
      <c r="I200" s="43"/>
      <c r="J200" s="43"/>
      <c r="L200" s="8"/>
      <c r="M200" s="44"/>
      <c r="P200" s="42"/>
    </row>
    <row r="201" spans="4:16" ht="13.2">
      <c r="D201" s="41"/>
      <c r="E201" s="42"/>
      <c r="I201" s="43"/>
      <c r="J201" s="43"/>
      <c r="L201" s="8"/>
      <c r="M201" s="44"/>
      <c r="P201" s="42"/>
    </row>
    <row r="202" spans="4:16" ht="13.2">
      <c r="D202" s="41"/>
      <c r="E202" s="42"/>
      <c r="I202" s="43"/>
      <c r="J202" s="43"/>
      <c r="L202" s="8"/>
      <c r="M202" s="44"/>
      <c r="P202" s="42"/>
    </row>
    <row r="203" spans="4:16" ht="13.2">
      <c r="D203" s="41"/>
      <c r="E203" s="42"/>
      <c r="I203" s="43"/>
      <c r="J203" s="43"/>
      <c r="L203" s="8"/>
      <c r="M203" s="44"/>
      <c r="P203" s="42"/>
    </row>
    <row r="204" spans="4:16" ht="13.2">
      <c r="D204" s="41"/>
      <c r="E204" s="42"/>
      <c r="I204" s="43"/>
      <c r="J204" s="43"/>
      <c r="L204" s="8"/>
      <c r="M204" s="44"/>
      <c r="P204" s="42"/>
    </row>
    <row r="205" spans="4:16" ht="13.2">
      <c r="D205" s="41"/>
      <c r="E205" s="42"/>
      <c r="I205" s="43"/>
      <c r="J205" s="43"/>
      <c r="L205" s="8"/>
      <c r="M205" s="44"/>
      <c r="P205" s="42"/>
    </row>
    <row r="206" spans="4:16" ht="13.2">
      <c r="D206" s="41"/>
      <c r="E206" s="42"/>
      <c r="I206" s="43"/>
      <c r="J206" s="43"/>
      <c r="L206" s="8"/>
      <c r="M206" s="44"/>
      <c r="P206" s="42"/>
    </row>
    <row r="207" spans="4:16" ht="13.2">
      <c r="D207" s="41"/>
      <c r="E207" s="42"/>
      <c r="I207" s="43"/>
      <c r="J207" s="43"/>
      <c r="L207" s="8"/>
      <c r="M207" s="44"/>
      <c r="P207" s="42"/>
    </row>
    <row r="208" spans="4:16" ht="13.2">
      <c r="D208" s="41"/>
      <c r="E208" s="42"/>
      <c r="I208" s="43"/>
      <c r="J208" s="43"/>
      <c r="L208" s="8"/>
      <c r="M208" s="44"/>
      <c r="P208" s="42"/>
    </row>
    <row r="209" spans="4:16" ht="13.2">
      <c r="D209" s="41"/>
      <c r="E209" s="42"/>
      <c r="I209" s="43"/>
      <c r="J209" s="43"/>
      <c r="L209" s="8"/>
      <c r="M209" s="44"/>
      <c r="P209" s="42"/>
    </row>
    <row r="210" spans="4:16" ht="13.2">
      <c r="D210" s="41"/>
      <c r="E210" s="42"/>
      <c r="I210" s="43"/>
      <c r="J210" s="43"/>
      <c r="L210" s="8"/>
      <c r="M210" s="44"/>
      <c r="P210" s="42"/>
    </row>
    <row r="211" spans="4:16" ht="13.2">
      <c r="D211" s="41"/>
      <c r="E211" s="42"/>
      <c r="I211" s="43"/>
      <c r="J211" s="43"/>
      <c r="L211" s="8"/>
      <c r="M211" s="44"/>
      <c r="P211" s="42"/>
    </row>
    <row r="212" spans="4:16" ht="13.2">
      <c r="D212" s="41"/>
      <c r="E212" s="42"/>
      <c r="I212" s="43"/>
      <c r="J212" s="43"/>
      <c r="L212" s="8"/>
      <c r="M212" s="44"/>
      <c r="P212" s="42"/>
    </row>
    <row r="213" spans="4:16" ht="13.2">
      <c r="D213" s="41"/>
      <c r="E213" s="42"/>
      <c r="I213" s="43"/>
      <c r="J213" s="43"/>
      <c r="L213" s="8"/>
      <c r="M213" s="44"/>
      <c r="P213" s="42"/>
    </row>
    <row r="214" spans="4:16" ht="13.2">
      <c r="D214" s="41"/>
      <c r="E214" s="42"/>
      <c r="I214" s="43"/>
      <c r="J214" s="43"/>
      <c r="L214" s="8"/>
      <c r="M214" s="44"/>
      <c r="P214" s="42"/>
    </row>
    <row r="215" spans="4:16" ht="13.2">
      <c r="D215" s="41"/>
      <c r="E215" s="42"/>
      <c r="I215" s="43"/>
      <c r="J215" s="43"/>
      <c r="L215" s="8"/>
      <c r="M215" s="44"/>
      <c r="P215" s="42"/>
    </row>
    <row r="216" spans="4:16" ht="13.2">
      <c r="D216" s="41"/>
      <c r="E216" s="42"/>
      <c r="I216" s="43"/>
      <c r="J216" s="43"/>
      <c r="L216" s="8"/>
      <c r="M216" s="44"/>
      <c r="P216" s="42"/>
    </row>
    <row r="217" spans="4:16" ht="13.2">
      <c r="D217" s="41"/>
      <c r="E217" s="42"/>
      <c r="I217" s="43"/>
      <c r="J217" s="43"/>
      <c r="L217" s="8"/>
      <c r="M217" s="44"/>
      <c r="P217" s="42"/>
    </row>
    <row r="218" spans="4:16" ht="13.2">
      <c r="D218" s="41"/>
      <c r="E218" s="42"/>
      <c r="I218" s="43"/>
      <c r="J218" s="43"/>
      <c r="L218" s="8"/>
      <c r="M218" s="44"/>
      <c r="P218" s="42"/>
    </row>
    <row r="219" spans="4:16" ht="13.2">
      <c r="D219" s="41"/>
      <c r="E219" s="42"/>
      <c r="I219" s="43"/>
      <c r="J219" s="43"/>
      <c r="L219" s="8"/>
      <c r="M219" s="44"/>
      <c r="P219" s="42"/>
    </row>
    <row r="220" spans="4:16" ht="13.2">
      <c r="D220" s="41"/>
      <c r="E220" s="42"/>
      <c r="I220" s="43"/>
      <c r="J220" s="43"/>
      <c r="L220" s="8"/>
      <c r="M220" s="44"/>
      <c r="P220" s="42"/>
    </row>
    <row r="221" spans="4:16" ht="13.2">
      <c r="D221" s="41"/>
      <c r="E221" s="42"/>
      <c r="I221" s="43"/>
      <c r="J221" s="43"/>
      <c r="L221" s="8"/>
      <c r="M221" s="44"/>
      <c r="P221" s="42"/>
    </row>
    <row r="222" spans="4:16" ht="13.2">
      <c r="D222" s="41"/>
      <c r="E222" s="42"/>
      <c r="I222" s="43"/>
      <c r="J222" s="43"/>
      <c r="L222" s="8"/>
      <c r="M222" s="44"/>
      <c r="P222" s="42"/>
    </row>
    <row r="223" spans="4:16" ht="13.2">
      <c r="D223" s="41"/>
      <c r="E223" s="42"/>
      <c r="I223" s="43"/>
      <c r="J223" s="43"/>
      <c r="L223" s="8"/>
      <c r="M223" s="44"/>
      <c r="P223" s="42"/>
    </row>
    <row r="224" spans="4:16" ht="13.2">
      <c r="D224" s="41"/>
      <c r="E224" s="42"/>
      <c r="I224" s="43"/>
      <c r="J224" s="43"/>
      <c r="L224" s="8"/>
      <c r="M224" s="44"/>
      <c r="P224" s="42"/>
    </row>
    <row r="225" spans="4:16" ht="13.2">
      <c r="D225" s="41"/>
      <c r="E225" s="42"/>
      <c r="I225" s="43"/>
      <c r="J225" s="43"/>
      <c r="L225" s="8"/>
      <c r="M225" s="44"/>
      <c r="P225" s="42"/>
    </row>
    <row r="226" spans="4:16" ht="13.2">
      <c r="D226" s="41"/>
      <c r="E226" s="42"/>
      <c r="I226" s="43"/>
      <c r="J226" s="43"/>
      <c r="L226" s="8"/>
      <c r="M226" s="44"/>
      <c r="P226" s="42"/>
    </row>
    <row r="227" spans="4:16" ht="13.2">
      <c r="D227" s="41"/>
      <c r="E227" s="42"/>
      <c r="I227" s="43"/>
      <c r="J227" s="43"/>
      <c r="L227" s="8"/>
      <c r="M227" s="44"/>
      <c r="P227" s="42"/>
    </row>
    <row r="228" spans="4:16" ht="13.2">
      <c r="D228" s="41"/>
      <c r="E228" s="42"/>
      <c r="I228" s="43"/>
      <c r="J228" s="43"/>
      <c r="L228" s="8"/>
      <c r="M228" s="44"/>
      <c r="P228" s="42"/>
    </row>
    <row r="229" spans="4:16" ht="13.2">
      <c r="D229" s="41"/>
      <c r="E229" s="42"/>
      <c r="I229" s="43"/>
      <c r="J229" s="43"/>
      <c r="L229" s="8"/>
      <c r="M229" s="44"/>
      <c r="P229" s="42"/>
    </row>
    <row r="230" spans="4:16" ht="13.2">
      <c r="D230" s="41"/>
      <c r="E230" s="42"/>
      <c r="I230" s="43"/>
      <c r="J230" s="43"/>
      <c r="L230" s="8"/>
      <c r="M230" s="44"/>
      <c r="P230" s="42"/>
    </row>
    <row r="231" spans="4:16" ht="13.2">
      <c r="D231" s="41"/>
      <c r="E231" s="42"/>
      <c r="I231" s="43"/>
      <c r="J231" s="43"/>
      <c r="L231" s="8"/>
      <c r="M231" s="44"/>
      <c r="P231" s="42"/>
    </row>
    <row r="232" spans="4:16" ht="13.2">
      <c r="D232" s="41"/>
      <c r="E232" s="42"/>
      <c r="I232" s="43"/>
      <c r="J232" s="43"/>
      <c r="L232" s="8"/>
      <c r="M232" s="44"/>
      <c r="P232" s="42"/>
    </row>
    <row r="233" spans="4:16" ht="13.2">
      <c r="D233" s="41"/>
      <c r="E233" s="42"/>
      <c r="I233" s="43"/>
      <c r="J233" s="43"/>
      <c r="L233" s="8"/>
      <c r="M233" s="44"/>
      <c r="P233" s="42"/>
    </row>
    <row r="234" spans="4:16" ht="13.2">
      <c r="D234" s="41"/>
      <c r="E234" s="42"/>
      <c r="I234" s="43"/>
      <c r="J234" s="43"/>
      <c r="L234" s="8"/>
      <c r="M234" s="44"/>
      <c r="P234" s="42"/>
    </row>
    <row r="235" spans="4:16" ht="13.2">
      <c r="D235" s="41"/>
      <c r="E235" s="42"/>
      <c r="I235" s="43"/>
      <c r="J235" s="43"/>
      <c r="L235" s="8"/>
      <c r="M235" s="44"/>
      <c r="P235" s="42"/>
    </row>
    <row r="236" spans="4:16" ht="13.2">
      <c r="D236" s="41"/>
      <c r="E236" s="42"/>
      <c r="I236" s="43"/>
      <c r="J236" s="43"/>
      <c r="L236" s="8"/>
      <c r="M236" s="44"/>
      <c r="P236" s="42"/>
    </row>
    <row r="237" spans="4:16" ht="13.2">
      <c r="D237" s="41"/>
      <c r="E237" s="42"/>
      <c r="I237" s="43"/>
      <c r="J237" s="43"/>
      <c r="L237" s="8"/>
      <c r="M237" s="44"/>
      <c r="P237" s="42"/>
    </row>
    <row r="238" spans="4:16" ht="13.2">
      <c r="D238" s="41"/>
      <c r="E238" s="42"/>
      <c r="I238" s="43"/>
      <c r="J238" s="43"/>
      <c r="L238" s="8"/>
      <c r="M238" s="44"/>
      <c r="P238" s="42"/>
    </row>
    <row r="239" spans="4:16" ht="13.2">
      <c r="D239" s="41"/>
      <c r="E239" s="42"/>
      <c r="I239" s="43"/>
      <c r="J239" s="43"/>
      <c r="L239" s="8"/>
      <c r="M239" s="44"/>
      <c r="P239" s="42"/>
    </row>
    <row r="240" spans="4:16" ht="13.2">
      <c r="D240" s="41"/>
      <c r="E240" s="42"/>
      <c r="I240" s="43"/>
      <c r="J240" s="43"/>
      <c r="L240" s="8"/>
      <c r="M240" s="44"/>
      <c r="P240" s="42"/>
    </row>
    <row r="241" spans="4:16" ht="13.2">
      <c r="D241" s="41"/>
      <c r="E241" s="42"/>
      <c r="I241" s="43"/>
      <c r="J241" s="43"/>
      <c r="L241" s="8"/>
      <c r="M241" s="44"/>
      <c r="P241" s="42"/>
    </row>
    <row r="242" spans="4:16" ht="13.2">
      <c r="D242" s="41"/>
      <c r="E242" s="42"/>
      <c r="I242" s="43"/>
      <c r="J242" s="43"/>
      <c r="L242" s="8"/>
      <c r="M242" s="44"/>
      <c r="P242" s="42"/>
    </row>
    <row r="243" spans="4:16" ht="13.2">
      <c r="D243" s="41"/>
      <c r="E243" s="42"/>
      <c r="I243" s="43"/>
      <c r="J243" s="43"/>
      <c r="L243" s="8"/>
      <c r="M243" s="44"/>
      <c r="P243" s="42"/>
    </row>
    <row r="244" spans="4:16" ht="13.2">
      <c r="D244" s="41"/>
      <c r="E244" s="42"/>
      <c r="I244" s="43"/>
      <c r="J244" s="43"/>
      <c r="L244" s="8"/>
      <c r="M244" s="44"/>
      <c r="P244" s="42"/>
    </row>
    <row r="245" spans="4:16" ht="13.2">
      <c r="D245" s="41"/>
      <c r="E245" s="42"/>
      <c r="I245" s="43"/>
      <c r="J245" s="43"/>
      <c r="L245" s="8"/>
      <c r="M245" s="44"/>
      <c r="P245" s="42"/>
    </row>
    <row r="246" spans="4:16" ht="13.2">
      <c r="D246" s="41"/>
      <c r="E246" s="42"/>
      <c r="I246" s="43"/>
      <c r="J246" s="43"/>
      <c r="L246" s="8"/>
      <c r="M246" s="44"/>
      <c r="P246" s="42"/>
    </row>
    <row r="247" spans="4:16" ht="13.2">
      <c r="D247" s="41"/>
      <c r="E247" s="42"/>
      <c r="I247" s="43"/>
      <c r="J247" s="43"/>
      <c r="L247" s="8"/>
      <c r="M247" s="44"/>
      <c r="P247" s="42"/>
    </row>
    <row r="248" spans="4:16" ht="13.2">
      <c r="D248" s="41"/>
      <c r="E248" s="42"/>
      <c r="I248" s="43"/>
      <c r="J248" s="43"/>
      <c r="L248" s="8"/>
      <c r="M248" s="44"/>
      <c r="P248" s="42"/>
    </row>
    <row r="249" spans="4:16" ht="13.2">
      <c r="D249" s="41"/>
      <c r="E249" s="42"/>
      <c r="I249" s="43"/>
      <c r="J249" s="43"/>
      <c r="L249" s="8"/>
      <c r="M249" s="44"/>
      <c r="P249" s="42"/>
    </row>
    <row r="250" spans="4:16" ht="13.2">
      <c r="D250" s="41"/>
      <c r="E250" s="42"/>
      <c r="I250" s="43"/>
      <c r="J250" s="43"/>
      <c r="L250" s="8"/>
      <c r="M250" s="44"/>
      <c r="P250" s="42"/>
    </row>
    <row r="251" spans="4:16" ht="13.2">
      <c r="D251" s="41"/>
      <c r="E251" s="42"/>
      <c r="I251" s="43"/>
      <c r="J251" s="43"/>
      <c r="L251" s="8"/>
      <c r="M251" s="44"/>
      <c r="P251" s="42"/>
    </row>
    <row r="252" spans="4:16" ht="13.2">
      <c r="D252" s="41"/>
      <c r="E252" s="42"/>
      <c r="I252" s="43"/>
      <c r="J252" s="43"/>
      <c r="L252" s="8"/>
      <c r="M252" s="44"/>
      <c r="P252" s="42"/>
    </row>
    <row r="253" spans="4:16" ht="13.2">
      <c r="D253" s="41"/>
      <c r="E253" s="42"/>
      <c r="I253" s="43"/>
      <c r="J253" s="43"/>
      <c r="L253" s="8"/>
      <c r="M253" s="44"/>
      <c r="P253" s="42"/>
    </row>
    <row r="254" spans="4:16" ht="13.2">
      <c r="D254" s="41"/>
      <c r="E254" s="42"/>
      <c r="I254" s="43"/>
      <c r="J254" s="43"/>
      <c r="L254" s="8"/>
      <c r="M254" s="44"/>
      <c r="P254" s="42"/>
    </row>
    <row r="255" spans="4:16" ht="13.2">
      <c r="D255" s="41"/>
      <c r="E255" s="42"/>
      <c r="I255" s="43"/>
      <c r="J255" s="43"/>
      <c r="L255" s="8"/>
      <c r="M255" s="44"/>
      <c r="P255" s="42"/>
    </row>
    <row r="256" spans="4:16" ht="13.2">
      <c r="D256" s="41"/>
      <c r="E256" s="42"/>
      <c r="I256" s="43"/>
      <c r="J256" s="43"/>
      <c r="L256" s="8"/>
      <c r="M256" s="44"/>
      <c r="P256" s="42"/>
    </row>
    <row r="257" spans="4:16" ht="13.2">
      <c r="D257" s="41"/>
      <c r="E257" s="42"/>
      <c r="I257" s="43"/>
      <c r="J257" s="43"/>
      <c r="L257" s="8"/>
      <c r="M257" s="44"/>
      <c r="P257" s="42"/>
    </row>
    <row r="258" spans="4:16" ht="13.2">
      <c r="D258" s="41"/>
      <c r="E258" s="42"/>
      <c r="I258" s="43"/>
      <c r="J258" s="43"/>
      <c r="L258" s="8"/>
      <c r="M258" s="44"/>
      <c r="P258" s="42"/>
    </row>
    <row r="259" spans="4:16" ht="13.2">
      <c r="D259" s="41"/>
      <c r="E259" s="42"/>
      <c r="I259" s="43"/>
      <c r="J259" s="43"/>
      <c r="L259" s="8"/>
      <c r="M259" s="44"/>
      <c r="P259" s="42"/>
    </row>
    <row r="260" spans="4:16" ht="13.2">
      <c r="D260" s="41"/>
      <c r="E260" s="42"/>
      <c r="I260" s="43"/>
      <c r="J260" s="43"/>
      <c r="L260" s="8"/>
      <c r="M260" s="44"/>
      <c r="P260" s="42"/>
    </row>
    <row r="261" spans="4:16" ht="13.2">
      <c r="D261" s="41"/>
      <c r="E261" s="42"/>
      <c r="I261" s="43"/>
      <c r="J261" s="43"/>
      <c r="L261" s="8"/>
      <c r="M261" s="44"/>
      <c r="P261" s="42"/>
    </row>
    <row r="262" spans="4:16" ht="13.2">
      <c r="D262" s="41"/>
      <c r="E262" s="42"/>
      <c r="I262" s="43"/>
      <c r="J262" s="43"/>
      <c r="L262" s="8"/>
      <c r="M262" s="44"/>
      <c r="P262" s="42"/>
    </row>
    <row r="263" spans="4:16" ht="13.2">
      <c r="D263" s="41"/>
      <c r="E263" s="42"/>
      <c r="I263" s="43"/>
      <c r="J263" s="43"/>
      <c r="L263" s="8"/>
      <c r="M263" s="44"/>
      <c r="P263" s="42"/>
    </row>
    <row r="264" spans="4:16" ht="13.2">
      <c r="D264" s="41"/>
      <c r="E264" s="42"/>
      <c r="I264" s="43"/>
      <c r="J264" s="43"/>
      <c r="L264" s="8"/>
      <c r="M264" s="44"/>
      <c r="P264" s="42"/>
    </row>
    <row r="265" spans="4:16" ht="13.2">
      <c r="D265" s="41"/>
      <c r="E265" s="42"/>
      <c r="I265" s="43"/>
      <c r="J265" s="43"/>
      <c r="L265" s="8"/>
      <c r="M265" s="44"/>
      <c r="P265" s="42"/>
    </row>
    <row r="266" spans="4:16" ht="13.2">
      <c r="D266" s="41"/>
      <c r="E266" s="42"/>
      <c r="I266" s="43"/>
      <c r="J266" s="43"/>
      <c r="L266" s="8"/>
      <c r="M266" s="44"/>
      <c r="P266" s="42"/>
    </row>
    <row r="267" spans="4:16" ht="13.2">
      <c r="D267" s="41"/>
      <c r="E267" s="42"/>
      <c r="I267" s="43"/>
      <c r="J267" s="43"/>
      <c r="L267" s="8"/>
      <c r="M267" s="44"/>
      <c r="P267" s="42"/>
    </row>
    <row r="268" spans="4:16" ht="13.2">
      <c r="D268" s="41"/>
      <c r="E268" s="42"/>
      <c r="I268" s="43"/>
      <c r="J268" s="43"/>
      <c r="L268" s="8"/>
      <c r="M268" s="44"/>
      <c r="P268" s="42"/>
    </row>
    <row r="269" spans="4:16" ht="13.2">
      <c r="D269" s="41"/>
      <c r="E269" s="42"/>
      <c r="I269" s="43"/>
      <c r="J269" s="43"/>
      <c r="L269" s="8"/>
      <c r="M269" s="44"/>
      <c r="P269" s="42"/>
    </row>
    <row r="270" spans="4:16" ht="13.2">
      <c r="D270" s="41"/>
      <c r="E270" s="42"/>
      <c r="I270" s="43"/>
      <c r="J270" s="43"/>
      <c r="L270" s="8"/>
      <c r="M270" s="44"/>
      <c r="P270" s="42"/>
    </row>
    <row r="271" spans="4:16" ht="13.2">
      <c r="D271" s="41"/>
      <c r="E271" s="42"/>
      <c r="I271" s="43"/>
      <c r="J271" s="43"/>
      <c r="L271" s="8"/>
      <c r="M271" s="44"/>
      <c r="P271" s="42"/>
    </row>
    <row r="272" spans="4:16" ht="13.2">
      <c r="D272" s="41"/>
      <c r="E272" s="42"/>
      <c r="I272" s="43"/>
      <c r="J272" s="43"/>
      <c r="L272" s="8"/>
      <c r="M272" s="44"/>
      <c r="P272" s="42"/>
    </row>
    <row r="273" spans="4:16" ht="13.2">
      <c r="D273" s="41"/>
      <c r="E273" s="42"/>
      <c r="I273" s="43"/>
      <c r="J273" s="43"/>
      <c r="L273" s="8"/>
      <c r="M273" s="44"/>
      <c r="P273" s="42"/>
    </row>
    <row r="274" spans="4:16" ht="13.2">
      <c r="D274" s="41"/>
      <c r="E274" s="42"/>
      <c r="I274" s="43"/>
      <c r="J274" s="43"/>
      <c r="L274" s="8"/>
      <c r="M274" s="44"/>
      <c r="P274" s="42"/>
    </row>
    <row r="275" spans="4:16" ht="13.2">
      <c r="D275" s="41"/>
      <c r="E275" s="42"/>
      <c r="I275" s="43"/>
      <c r="J275" s="43"/>
      <c r="L275" s="8"/>
      <c r="M275" s="44"/>
      <c r="P275" s="42"/>
    </row>
    <row r="276" spans="4:16" ht="13.2">
      <c r="D276" s="41"/>
      <c r="E276" s="42"/>
      <c r="I276" s="43"/>
      <c r="J276" s="43"/>
      <c r="L276" s="8"/>
      <c r="M276" s="44"/>
      <c r="P276" s="42"/>
    </row>
    <row r="277" spans="4:16" ht="13.2">
      <c r="D277" s="41"/>
      <c r="E277" s="42"/>
      <c r="I277" s="43"/>
      <c r="J277" s="43"/>
      <c r="L277" s="8"/>
      <c r="M277" s="44"/>
      <c r="P277" s="42"/>
    </row>
    <row r="278" spans="4:16" ht="13.2">
      <c r="D278" s="41"/>
      <c r="E278" s="42"/>
      <c r="I278" s="43"/>
      <c r="J278" s="43"/>
      <c r="L278" s="8"/>
      <c r="M278" s="44"/>
      <c r="P278" s="42"/>
    </row>
    <row r="279" spans="4:16" ht="13.2">
      <c r="D279" s="41"/>
      <c r="E279" s="42"/>
      <c r="I279" s="43"/>
      <c r="J279" s="43"/>
      <c r="L279" s="8"/>
      <c r="M279" s="44"/>
      <c r="P279" s="42"/>
    </row>
    <row r="280" spans="4:16" ht="13.2">
      <c r="D280" s="41"/>
      <c r="E280" s="42"/>
      <c r="I280" s="43"/>
      <c r="J280" s="43"/>
      <c r="L280" s="8"/>
      <c r="M280" s="44"/>
      <c r="P280" s="42"/>
    </row>
    <row r="281" spans="4:16" ht="13.2">
      <c r="D281" s="41"/>
      <c r="E281" s="42"/>
      <c r="I281" s="43"/>
      <c r="J281" s="43"/>
      <c r="L281" s="8"/>
      <c r="M281" s="44"/>
      <c r="P281" s="42"/>
    </row>
    <row r="282" spans="4:16" ht="13.2">
      <c r="D282" s="41"/>
      <c r="E282" s="42"/>
      <c r="I282" s="43"/>
      <c r="J282" s="43"/>
      <c r="L282" s="8"/>
      <c r="M282" s="44"/>
      <c r="P282" s="42"/>
    </row>
    <row r="283" spans="4:16" ht="13.2">
      <c r="D283" s="41"/>
      <c r="E283" s="42"/>
      <c r="I283" s="43"/>
      <c r="J283" s="43"/>
      <c r="L283" s="8"/>
      <c r="M283" s="44"/>
      <c r="P283" s="42"/>
    </row>
    <row r="284" spans="4:16" ht="13.2">
      <c r="D284" s="41"/>
      <c r="E284" s="42"/>
      <c r="I284" s="43"/>
      <c r="J284" s="43"/>
      <c r="L284" s="8"/>
      <c r="M284" s="44"/>
      <c r="P284" s="42"/>
    </row>
    <row r="285" spans="4:16" ht="13.2">
      <c r="D285" s="41"/>
      <c r="E285" s="42"/>
      <c r="I285" s="43"/>
      <c r="J285" s="43"/>
      <c r="L285" s="8"/>
      <c r="M285" s="44"/>
      <c r="P285" s="42"/>
    </row>
    <row r="286" spans="4:16" ht="13.2">
      <c r="D286" s="41"/>
      <c r="E286" s="42"/>
      <c r="I286" s="43"/>
      <c r="J286" s="43"/>
      <c r="L286" s="8"/>
      <c r="M286" s="44"/>
      <c r="P286" s="42"/>
    </row>
    <row r="287" spans="4:16" ht="13.2">
      <c r="D287" s="41"/>
      <c r="E287" s="42"/>
      <c r="I287" s="43"/>
      <c r="J287" s="43"/>
      <c r="L287" s="8"/>
      <c r="M287" s="44"/>
      <c r="P287" s="42"/>
    </row>
    <row r="288" spans="4:16" ht="13.2">
      <c r="D288" s="41"/>
      <c r="E288" s="42"/>
      <c r="I288" s="43"/>
      <c r="J288" s="43"/>
      <c r="L288" s="8"/>
      <c r="M288" s="44"/>
      <c r="P288" s="42"/>
    </row>
    <row r="289" spans="4:16" ht="13.2">
      <c r="D289" s="41"/>
      <c r="E289" s="42"/>
      <c r="I289" s="43"/>
      <c r="J289" s="43"/>
      <c r="L289" s="8"/>
      <c r="M289" s="44"/>
      <c r="P289" s="42"/>
    </row>
    <row r="290" spans="4:16" ht="13.2">
      <c r="D290" s="41"/>
      <c r="E290" s="42"/>
      <c r="I290" s="43"/>
      <c r="J290" s="43"/>
      <c r="L290" s="8"/>
      <c r="M290" s="44"/>
      <c r="P290" s="42"/>
    </row>
    <row r="291" spans="4:16" ht="13.2">
      <c r="D291" s="41"/>
      <c r="E291" s="42"/>
      <c r="I291" s="43"/>
      <c r="J291" s="43"/>
      <c r="L291" s="8"/>
      <c r="M291" s="44"/>
      <c r="P291" s="42"/>
    </row>
    <row r="292" spans="4:16" ht="13.2">
      <c r="D292" s="41"/>
      <c r="E292" s="42"/>
      <c r="I292" s="43"/>
      <c r="J292" s="43"/>
      <c r="L292" s="8"/>
      <c r="M292" s="44"/>
      <c r="P292" s="42"/>
    </row>
    <row r="293" spans="4:16" ht="13.2">
      <c r="D293" s="41"/>
      <c r="E293" s="42"/>
      <c r="I293" s="43"/>
      <c r="J293" s="43"/>
      <c r="L293" s="8"/>
      <c r="M293" s="44"/>
      <c r="P293" s="42"/>
    </row>
    <row r="294" spans="4:16" ht="13.2">
      <c r="D294" s="41"/>
      <c r="E294" s="42"/>
      <c r="I294" s="43"/>
      <c r="J294" s="43"/>
      <c r="L294" s="8"/>
      <c r="M294" s="44"/>
      <c r="P294" s="42"/>
    </row>
    <row r="295" spans="4:16" ht="13.2">
      <c r="D295" s="41"/>
      <c r="E295" s="42"/>
      <c r="I295" s="43"/>
      <c r="J295" s="43"/>
      <c r="L295" s="8"/>
      <c r="M295" s="44"/>
      <c r="P295" s="42"/>
    </row>
    <row r="296" spans="4:16" ht="13.2">
      <c r="D296" s="41"/>
      <c r="E296" s="42"/>
      <c r="I296" s="43"/>
      <c r="J296" s="43"/>
      <c r="L296" s="8"/>
      <c r="M296" s="44"/>
      <c r="P296" s="42"/>
    </row>
    <row r="297" spans="4:16" ht="13.2">
      <c r="D297" s="41"/>
      <c r="E297" s="42"/>
      <c r="I297" s="43"/>
      <c r="J297" s="43"/>
      <c r="L297" s="8"/>
      <c r="M297" s="44"/>
      <c r="P297" s="42"/>
    </row>
    <row r="298" spans="4:16" ht="13.2">
      <c r="D298" s="41"/>
      <c r="E298" s="42"/>
      <c r="I298" s="43"/>
      <c r="J298" s="43"/>
      <c r="L298" s="8"/>
      <c r="M298" s="44"/>
      <c r="P298" s="42"/>
    </row>
    <row r="299" spans="4:16" ht="13.2">
      <c r="D299" s="41"/>
      <c r="E299" s="42"/>
      <c r="I299" s="43"/>
      <c r="J299" s="43"/>
      <c r="L299" s="8"/>
      <c r="M299" s="44"/>
      <c r="P299" s="42"/>
    </row>
    <row r="300" spans="4:16" ht="13.2">
      <c r="D300" s="41"/>
      <c r="E300" s="42"/>
      <c r="I300" s="43"/>
      <c r="J300" s="43"/>
      <c r="L300" s="8"/>
      <c r="M300" s="44"/>
      <c r="P300" s="42"/>
    </row>
    <row r="301" spans="4:16" ht="13.2">
      <c r="D301" s="41"/>
      <c r="E301" s="42"/>
      <c r="I301" s="43"/>
      <c r="J301" s="43"/>
      <c r="L301" s="8"/>
      <c r="M301" s="44"/>
      <c r="P301" s="42"/>
    </row>
    <row r="302" spans="4:16" ht="13.2">
      <c r="D302" s="41"/>
      <c r="E302" s="42"/>
      <c r="I302" s="43"/>
      <c r="J302" s="43"/>
      <c r="L302" s="8"/>
      <c r="M302" s="44"/>
      <c r="P302" s="42"/>
    </row>
    <row r="303" spans="4:16" ht="13.2">
      <c r="D303" s="41"/>
      <c r="E303" s="42"/>
      <c r="I303" s="43"/>
      <c r="J303" s="43"/>
      <c r="L303" s="8"/>
      <c r="M303" s="44"/>
      <c r="P303" s="42"/>
    </row>
    <row r="304" spans="4:16" ht="13.2">
      <c r="D304" s="41"/>
      <c r="E304" s="42"/>
      <c r="I304" s="43"/>
      <c r="J304" s="43"/>
      <c r="L304" s="8"/>
      <c r="M304" s="44"/>
      <c r="P304" s="42"/>
    </row>
    <row r="305" spans="4:16" ht="13.2">
      <c r="D305" s="41"/>
      <c r="E305" s="42"/>
      <c r="I305" s="43"/>
      <c r="J305" s="43"/>
      <c r="L305" s="8"/>
      <c r="M305" s="44"/>
      <c r="P305" s="42"/>
    </row>
    <row r="306" spans="4:16" ht="13.2">
      <c r="D306" s="41"/>
      <c r="E306" s="42"/>
      <c r="I306" s="43"/>
      <c r="J306" s="43"/>
      <c r="L306" s="8"/>
      <c r="M306" s="44"/>
      <c r="P306" s="42"/>
    </row>
    <row r="307" spans="4:16" ht="13.2">
      <c r="D307" s="41"/>
      <c r="E307" s="42"/>
      <c r="I307" s="43"/>
      <c r="J307" s="43"/>
      <c r="L307" s="8"/>
      <c r="M307" s="44"/>
      <c r="P307" s="42"/>
    </row>
    <row r="308" spans="4:16" ht="13.2">
      <c r="D308" s="41"/>
      <c r="E308" s="42"/>
      <c r="I308" s="43"/>
      <c r="J308" s="43"/>
      <c r="L308" s="8"/>
      <c r="M308" s="44"/>
      <c r="P308" s="42"/>
    </row>
    <row r="309" spans="4:16" ht="13.2">
      <c r="D309" s="41"/>
      <c r="E309" s="42"/>
      <c r="I309" s="43"/>
      <c r="J309" s="43"/>
      <c r="L309" s="8"/>
      <c r="M309" s="44"/>
      <c r="P309" s="42"/>
    </row>
    <row r="310" spans="4:16" ht="13.2">
      <c r="D310" s="41"/>
      <c r="E310" s="42"/>
      <c r="I310" s="43"/>
      <c r="J310" s="43"/>
      <c r="L310" s="8"/>
      <c r="M310" s="44"/>
      <c r="P310" s="42"/>
    </row>
    <row r="311" spans="4:16" ht="13.2">
      <c r="D311" s="41"/>
      <c r="E311" s="42"/>
      <c r="I311" s="43"/>
      <c r="J311" s="43"/>
      <c r="L311" s="8"/>
      <c r="M311" s="44"/>
      <c r="P311" s="42"/>
    </row>
    <row r="312" spans="4:16" ht="13.2">
      <c r="D312" s="41"/>
      <c r="E312" s="42"/>
      <c r="I312" s="43"/>
      <c r="J312" s="43"/>
      <c r="L312" s="8"/>
      <c r="M312" s="44"/>
      <c r="P312" s="42"/>
    </row>
    <row r="313" spans="4:16" ht="13.2">
      <c r="D313" s="41"/>
      <c r="E313" s="42"/>
      <c r="I313" s="43"/>
      <c r="J313" s="43"/>
      <c r="L313" s="8"/>
      <c r="M313" s="44"/>
      <c r="P313" s="42"/>
    </row>
    <row r="314" spans="4:16" ht="13.2">
      <c r="D314" s="41"/>
      <c r="E314" s="42"/>
      <c r="I314" s="43"/>
      <c r="J314" s="43"/>
      <c r="L314" s="8"/>
      <c r="M314" s="44"/>
      <c r="P314" s="42"/>
    </row>
    <row r="315" spans="4:16" ht="13.2">
      <c r="D315" s="41"/>
      <c r="E315" s="42"/>
      <c r="I315" s="43"/>
      <c r="J315" s="43"/>
      <c r="L315" s="8"/>
      <c r="M315" s="44"/>
      <c r="P315" s="42"/>
    </row>
    <row r="316" spans="4:16" ht="13.2">
      <c r="D316" s="41"/>
      <c r="E316" s="42"/>
      <c r="I316" s="43"/>
      <c r="J316" s="43"/>
      <c r="L316" s="8"/>
      <c r="M316" s="44"/>
      <c r="P316" s="42"/>
    </row>
    <row r="317" spans="4:16" ht="13.2">
      <c r="D317" s="41"/>
      <c r="E317" s="42"/>
      <c r="I317" s="43"/>
      <c r="J317" s="43"/>
      <c r="L317" s="8"/>
      <c r="M317" s="44"/>
      <c r="P317" s="42"/>
    </row>
    <row r="318" spans="4:16" ht="13.2">
      <c r="D318" s="41"/>
      <c r="E318" s="42"/>
      <c r="I318" s="43"/>
      <c r="J318" s="43"/>
      <c r="L318" s="8"/>
      <c r="M318" s="44"/>
      <c r="P318" s="42"/>
    </row>
    <row r="319" spans="4:16" ht="13.2">
      <c r="D319" s="41"/>
      <c r="E319" s="42"/>
      <c r="I319" s="43"/>
      <c r="J319" s="43"/>
      <c r="L319" s="8"/>
      <c r="M319" s="44"/>
      <c r="P319" s="42"/>
    </row>
    <row r="320" spans="4:16" ht="13.2">
      <c r="D320" s="41"/>
      <c r="E320" s="42"/>
      <c r="I320" s="43"/>
      <c r="J320" s="43"/>
      <c r="L320" s="8"/>
      <c r="M320" s="44"/>
      <c r="P320" s="42"/>
    </row>
    <row r="321" spans="4:16" ht="13.2">
      <c r="D321" s="41"/>
      <c r="E321" s="42"/>
      <c r="I321" s="43"/>
      <c r="J321" s="43"/>
      <c r="L321" s="8"/>
      <c r="M321" s="44"/>
      <c r="P321" s="42"/>
    </row>
    <row r="322" spans="4:16" ht="13.2">
      <c r="D322" s="41"/>
      <c r="E322" s="42"/>
      <c r="I322" s="43"/>
      <c r="J322" s="43"/>
      <c r="L322" s="8"/>
      <c r="M322" s="44"/>
      <c r="P322" s="42"/>
    </row>
    <row r="323" spans="4:16" ht="13.2">
      <c r="D323" s="41"/>
      <c r="E323" s="42"/>
      <c r="I323" s="43"/>
      <c r="J323" s="43"/>
      <c r="L323" s="8"/>
      <c r="M323" s="44"/>
      <c r="P323" s="42"/>
    </row>
    <row r="324" spans="4:16" ht="13.2">
      <c r="D324" s="41"/>
      <c r="E324" s="42"/>
      <c r="I324" s="43"/>
      <c r="J324" s="43"/>
      <c r="L324" s="8"/>
      <c r="M324" s="44"/>
      <c r="P324" s="42"/>
    </row>
    <row r="325" spans="4:16" ht="13.2">
      <c r="D325" s="41"/>
      <c r="E325" s="42"/>
      <c r="I325" s="43"/>
      <c r="J325" s="43"/>
      <c r="L325" s="8"/>
      <c r="M325" s="44"/>
      <c r="P325" s="42"/>
    </row>
    <row r="326" spans="4:16" ht="13.2">
      <c r="D326" s="41"/>
      <c r="E326" s="42"/>
      <c r="I326" s="43"/>
      <c r="J326" s="43"/>
      <c r="L326" s="8"/>
      <c r="M326" s="44"/>
      <c r="P326" s="42"/>
    </row>
    <row r="327" spans="4:16" ht="13.2">
      <c r="D327" s="41"/>
      <c r="E327" s="42"/>
      <c r="I327" s="43"/>
      <c r="J327" s="43"/>
      <c r="L327" s="8"/>
      <c r="M327" s="44"/>
      <c r="P327" s="42"/>
    </row>
    <row r="328" spans="4:16" ht="13.2">
      <c r="D328" s="41"/>
      <c r="E328" s="42"/>
      <c r="I328" s="43"/>
      <c r="J328" s="43"/>
      <c r="L328" s="8"/>
      <c r="M328" s="44"/>
      <c r="P328" s="42"/>
    </row>
    <row r="329" spans="4:16" ht="13.2">
      <c r="D329" s="41"/>
      <c r="E329" s="42"/>
      <c r="I329" s="43"/>
      <c r="J329" s="43"/>
      <c r="L329" s="8"/>
      <c r="M329" s="44"/>
      <c r="P329" s="42"/>
    </row>
    <row r="330" spans="4:16" ht="13.2">
      <c r="D330" s="41"/>
      <c r="E330" s="42"/>
      <c r="I330" s="43"/>
      <c r="J330" s="43"/>
      <c r="L330" s="8"/>
      <c r="M330" s="44"/>
      <c r="P330" s="42"/>
    </row>
    <row r="331" spans="4:16" ht="13.2">
      <c r="D331" s="41"/>
      <c r="E331" s="42"/>
      <c r="I331" s="43"/>
      <c r="J331" s="43"/>
      <c r="L331" s="8"/>
      <c r="M331" s="44"/>
      <c r="P331" s="42"/>
    </row>
    <row r="332" spans="4:16" ht="13.2">
      <c r="D332" s="41"/>
      <c r="E332" s="42"/>
      <c r="I332" s="43"/>
      <c r="J332" s="43"/>
      <c r="L332" s="8"/>
      <c r="M332" s="44"/>
      <c r="P332" s="42"/>
    </row>
    <row r="333" spans="4:16" ht="13.2">
      <c r="D333" s="41"/>
      <c r="E333" s="42"/>
      <c r="I333" s="43"/>
      <c r="J333" s="43"/>
      <c r="L333" s="8"/>
      <c r="M333" s="44"/>
      <c r="P333" s="42"/>
    </row>
    <row r="334" spans="4:16" ht="13.2">
      <c r="D334" s="41"/>
      <c r="E334" s="42"/>
      <c r="I334" s="43"/>
      <c r="J334" s="43"/>
      <c r="L334" s="8"/>
      <c r="M334" s="44"/>
      <c r="P334" s="42"/>
    </row>
    <row r="335" spans="4:16" ht="13.2">
      <c r="D335" s="41"/>
      <c r="E335" s="42"/>
      <c r="I335" s="43"/>
      <c r="J335" s="43"/>
      <c r="L335" s="8"/>
      <c r="M335" s="44"/>
      <c r="P335" s="42"/>
    </row>
    <row r="336" spans="4:16" ht="13.2">
      <c r="D336" s="41"/>
      <c r="E336" s="42"/>
      <c r="I336" s="43"/>
      <c r="J336" s="43"/>
      <c r="L336" s="8"/>
      <c r="M336" s="44"/>
      <c r="P336" s="42"/>
    </row>
    <row r="337" spans="4:16" ht="13.2">
      <c r="D337" s="41"/>
      <c r="E337" s="42"/>
      <c r="I337" s="43"/>
      <c r="J337" s="43"/>
      <c r="L337" s="8"/>
      <c r="M337" s="44"/>
      <c r="P337" s="42"/>
    </row>
    <row r="338" spans="4:16" ht="13.2">
      <c r="D338" s="41"/>
      <c r="E338" s="42"/>
      <c r="I338" s="43"/>
      <c r="J338" s="43"/>
      <c r="L338" s="8"/>
      <c r="M338" s="44"/>
      <c r="P338" s="42"/>
    </row>
    <row r="339" spans="4:16" ht="13.2">
      <c r="D339" s="41"/>
      <c r="E339" s="42"/>
      <c r="I339" s="43"/>
      <c r="J339" s="43"/>
      <c r="L339" s="8"/>
      <c r="M339" s="44"/>
      <c r="P339" s="42"/>
    </row>
    <row r="340" spans="4:16" ht="13.2">
      <c r="D340" s="41"/>
      <c r="E340" s="42"/>
      <c r="I340" s="43"/>
      <c r="J340" s="43"/>
      <c r="L340" s="8"/>
      <c r="M340" s="44"/>
      <c r="P340" s="42"/>
    </row>
    <row r="341" spans="4:16" ht="13.2">
      <c r="D341" s="41"/>
      <c r="E341" s="42"/>
      <c r="I341" s="43"/>
      <c r="J341" s="43"/>
      <c r="L341" s="8"/>
      <c r="M341" s="44"/>
      <c r="P341" s="42"/>
    </row>
    <row r="342" spans="4:16" ht="13.2">
      <c r="D342" s="41"/>
      <c r="E342" s="42"/>
      <c r="I342" s="43"/>
      <c r="J342" s="43"/>
      <c r="L342" s="8"/>
      <c r="M342" s="44"/>
      <c r="P342" s="42"/>
    </row>
    <row r="343" spans="4:16" ht="13.2">
      <c r="D343" s="41"/>
      <c r="E343" s="42"/>
      <c r="I343" s="43"/>
      <c r="J343" s="43"/>
      <c r="L343" s="8"/>
      <c r="M343" s="44"/>
      <c r="P343" s="42"/>
    </row>
    <row r="344" spans="4:16" ht="13.2">
      <c r="D344" s="41"/>
      <c r="E344" s="42"/>
      <c r="I344" s="43"/>
      <c r="J344" s="43"/>
      <c r="L344" s="8"/>
      <c r="M344" s="44"/>
      <c r="P344" s="42"/>
    </row>
    <row r="345" spans="4:16" ht="13.2">
      <c r="D345" s="41"/>
      <c r="E345" s="42"/>
      <c r="I345" s="43"/>
      <c r="J345" s="43"/>
      <c r="L345" s="8"/>
      <c r="M345" s="44"/>
      <c r="P345" s="42"/>
    </row>
    <row r="346" spans="4:16" ht="13.2">
      <c r="D346" s="41"/>
      <c r="E346" s="42"/>
      <c r="I346" s="43"/>
      <c r="J346" s="43"/>
      <c r="L346" s="8"/>
      <c r="M346" s="44"/>
      <c r="P346" s="42"/>
    </row>
    <row r="347" spans="4:16" ht="13.2">
      <c r="D347" s="41"/>
      <c r="E347" s="42"/>
      <c r="I347" s="43"/>
      <c r="J347" s="43"/>
      <c r="L347" s="8"/>
      <c r="M347" s="44"/>
      <c r="P347" s="42"/>
    </row>
    <row r="348" spans="4:16" ht="13.2">
      <c r="D348" s="41"/>
      <c r="E348" s="42"/>
      <c r="I348" s="43"/>
      <c r="J348" s="43"/>
      <c r="L348" s="8"/>
      <c r="M348" s="44"/>
      <c r="P348" s="42"/>
    </row>
    <row r="349" spans="4:16" ht="13.2">
      <c r="D349" s="41"/>
      <c r="E349" s="42"/>
      <c r="I349" s="43"/>
      <c r="J349" s="43"/>
      <c r="L349" s="8"/>
      <c r="M349" s="44"/>
      <c r="P349" s="42"/>
    </row>
    <row r="350" spans="4:16" ht="13.2">
      <c r="D350" s="41"/>
      <c r="E350" s="42"/>
      <c r="I350" s="43"/>
      <c r="J350" s="43"/>
      <c r="L350" s="8"/>
      <c r="M350" s="44"/>
      <c r="P350" s="42"/>
    </row>
    <row r="351" spans="4:16" ht="13.2">
      <c r="D351" s="41"/>
      <c r="E351" s="42"/>
      <c r="I351" s="43"/>
      <c r="J351" s="43"/>
      <c r="L351" s="8"/>
      <c r="M351" s="44"/>
      <c r="P351" s="42"/>
    </row>
    <row r="352" spans="4:16" ht="13.2">
      <c r="D352" s="41"/>
      <c r="E352" s="42"/>
      <c r="I352" s="43"/>
      <c r="J352" s="43"/>
      <c r="L352" s="8"/>
      <c r="M352" s="44"/>
      <c r="P352" s="42"/>
    </row>
    <row r="353" spans="4:16" ht="13.2">
      <c r="D353" s="41"/>
      <c r="E353" s="42"/>
      <c r="I353" s="43"/>
      <c r="J353" s="43"/>
      <c r="L353" s="8"/>
      <c r="M353" s="44"/>
      <c r="P353" s="42"/>
    </row>
    <row r="354" spans="4:16" ht="13.2">
      <c r="D354" s="41"/>
      <c r="E354" s="42"/>
      <c r="I354" s="43"/>
      <c r="J354" s="43"/>
      <c r="L354" s="8"/>
      <c r="M354" s="44"/>
      <c r="P354" s="42"/>
    </row>
    <row r="355" spans="4:16" ht="13.2">
      <c r="D355" s="41"/>
      <c r="E355" s="42"/>
      <c r="I355" s="43"/>
      <c r="J355" s="43"/>
      <c r="L355" s="8"/>
      <c r="M355" s="44"/>
      <c r="P355" s="42"/>
    </row>
    <row r="356" spans="4:16" ht="13.2">
      <c r="D356" s="41"/>
      <c r="E356" s="42"/>
      <c r="I356" s="43"/>
      <c r="J356" s="43"/>
      <c r="L356" s="8"/>
      <c r="M356" s="44"/>
      <c r="P356" s="42"/>
    </row>
    <row r="357" spans="4:16" ht="13.2">
      <c r="D357" s="41"/>
      <c r="E357" s="42"/>
      <c r="I357" s="43"/>
      <c r="J357" s="43"/>
      <c r="L357" s="8"/>
      <c r="M357" s="44"/>
      <c r="P357" s="42"/>
    </row>
    <row r="358" spans="4:16" ht="13.2">
      <c r="D358" s="41"/>
      <c r="E358" s="42"/>
      <c r="I358" s="43"/>
      <c r="J358" s="43"/>
      <c r="L358" s="8"/>
      <c r="M358" s="44"/>
      <c r="P358" s="42"/>
    </row>
    <row r="359" spans="4:16" ht="13.2">
      <c r="D359" s="41"/>
      <c r="E359" s="42"/>
      <c r="I359" s="43"/>
      <c r="J359" s="43"/>
      <c r="L359" s="8"/>
      <c r="M359" s="44"/>
      <c r="P359" s="42"/>
    </row>
    <row r="360" spans="4:16" ht="13.2">
      <c r="D360" s="41"/>
      <c r="E360" s="42"/>
      <c r="I360" s="43"/>
      <c r="J360" s="43"/>
      <c r="L360" s="8"/>
      <c r="M360" s="44"/>
      <c r="P360" s="42"/>
    </row>
    <row r="361" spans="4:16" ht="13.2">
      <c r="D361" s="41"/>
      <c r="E361" s="42"/>
      <c r="I361" s="43"/>
      <c r="J361" s="43"/>
      <c r="L361" s="8"/>
      <c r="M361" s="44"/>
      <c r="P361" s="42"/>
    </row>
    <row r="362" spans="4:16" ht="13.2">
      <c r="D362" s="41"/>
      <c r="E362" s="42"/>
      <c r="I362" s="43"/>
      <c r="J362" s="43"/>
      <c r="L362" s="8"/>
      <c r="M362" s="44"/>
      <c r="P362" s="42"/>
    </row>
    <row r="363" spans="4:16" ht="13.2">
      <c r="D363" s="41"/>
      <c r="E363" s="42"/>
      <c r="I363" s="43"/>
      <c r="J363" s="43"/>
      <c r="L363" s="8"/>
      <c r="M363" s="44"/>
      <c r="P363" s="42"/>
    </row>
    <row r="364" spans="4:16" ht="13.2">
      <c r="D364" s="41"/>
      <c r="E364" s="42"/>
      <c r="I364" s="43"/>
      <c r="J364" s="43"/>
      <c r="L364" s="8"/>
      <c r="M364" s="44"/>
      <c r="P364" s="42"/>
    </row>
    <row r="365" spans="4:16" ht="13.2">
      <c r="D365" s="41"/>
      <c r="E365" s="42"/>
      <c r="I365" s="43"/>
      <c r="J365" s="43"/>
      <c r="L365" s="8"/>
      <c r="M365" s="44"/>
      <c r="P365" s="42"/>
    </row>
    <row r="366" spans="4:16" ht="13.2">
      <c r="D366" s="41"/>
      <c r="E366" s="42"/>
      <c r="I366" s="43"/>
      <c r="J366" s="43"/>
      <c r="L366" s="8"/>
      <c r="M366" s="44"/>
      <c r="P366" s="42"/>
    </row>
    <row r="367" spans="4:16" ht="13.2">
      <c r="D367" s="41"/>
      <c r="E367" s="42"/>
      <c r="I367" s="43"/>
      <c r="J367" s="43"/>
      <c r="L367" s="8"/>
      <c r="M367" s="44"/>
      <c r="P367" s="42"/>
    </row>
    <row r="368" spans="4:16" ht="13.2">
      <c r="D368" s="41"/>
      <c r="E368" s="42"/>
      <c r="I368" s="43"/>
      <c r="J368" s="43"/>
      <c r="L368" s="8"/>
      <c r="M368" s="44"/>
      <c r="P368" s="42"/>
    </row>
    <row r="369" spans="4:16" ht="13.2">
      <c r="D369" s="41"/>
      <c r="E369" s="42"/>
      <c r="I369" s="43"/>
      <c r="J369" s="43"/>
      <c r="L369" s="8"/>
      <c r="M369" s="44"/>
      <c r="P369" s="42"/>
    </row>
    <row r="370" spans="4:16" ht="13.2">
      <c r="D370" s="41"/>
      <c r="E370" s="42"/>
      <c r="I370" s="43"/>
      <c r="J370" s="43"/>
      <c r="L370" s="8"/>
      <c r="M370" s="44"/>
      <c r="P370" s="42"/>
    </row>
    <row r="371" spans="4:16" ht="13.2">
      <c r="D371" s="41"/>
      <c r="E371" s="42"/>
      <c r="I371" s="43"/>
      <c r="J371" s="43"/>
      <c r="L371" s="8"/>
      <c r="M371" s="44"/>
      <c r="P371" s="42"/>
    </row>
    <row r="372" spans="4:16" ht="13.2">
      <c r="D372" s="41"/>
      <c r="E372" s="42"/>
      <c r="I372" s="43"/>
      <c r="J372" s="43"/>
      <c r="L372" s="8"/>
      <c r="M372" s="44"/>
      <c r="P372" s="42"/>
    </row>
    <row r="373" spans="4:16" ht="13.2">
      <c r="D373" s="41"/>
      <c r="E373" s="42"/>
      <c r="I373" s="43"/>
      <c r="J373" s="43"/>
      <c r="L373" s="8"/>
      <c r="M373" s="44"/>
      <c r="P373" s="42"/>
    </row>
    <row r="374" spans="4:16" ht="13.2">
      <c r="D374" s="41"/>
      <c r="E374" s="42"/>
      <c r="I374" s="43"/>
      <c r="J374" s="43"/>
      <c r="L374" s="8"/>
      <c r="M374" s="44"/>
      <c r="P374" s="42"/>
    </row>
    <row r="375" spans="4:16" ht="13.2">
      <c r="D375" s="41"/>
      <c r="E375" s="42"/>
      <c r="I375" s="43"/>
      <c r="J375" s="43"/>
      <c r="L375" s="8"/>
      <c r="M375" s="44"/>
      <c r="P375" s="42"/>
    </row>
    <row r="376" spans="4:16" ht="13.2">
      <c r="D376" s="41"/>
      <c r="E376" s="42"/>
      <c r="I376" s="43"/>
      <c r="J376" s="43"/>
      <c r="L376" s="8"/>
      <c r="M376" s="44"/>
      <c r="P376" s="42"/>
    </row>
    <row r="377" spans="4:16" ht="13.2">
      <c r="D377" s="41"/>
      <c r="E377" s="42"/>
      <c r="I377" s="43"/>
      <c r="J377" s="43"/>
      <c r="L377" s="8"/>
      <c r="M377" s="44"/>
      <c r="P377" s="42"/>
    </row>
    <row r="378" spans="4:16" ht="13.2">
      <c r="D378" s="41"/>
      <c r="E378" s="42"/>
      <c r="I378" s="43"/>
      <c r="J378" s="43"/>
      <c r="L378" s="8"/>
      <c r="M378" s="44"/>
      <c r="P378" s="42"/>
    </row>
    <row r="379" spans="4:16" ht="13.2">
      <c r="D379" s="41"/>
      <c r="E379" s="42"/>
      <c r="I379" s="43"/>
      <c r="J379" s="43"/>
      <c r="L379" s="8"/>
      <c r="M379" s="44"/>
      <c r="P379" s="42"/>
    </row>
    <row r="380" spans="4:16" ht="13.2">
      <c r="D380" s="41"/>
      <c r="E380" s="42"/>
      <c r="I380" s="43"/>
      <c r="J380" s="43"/>
      <c r="L380" s="8"/>
      <c r="M380" s="44"/>
      <c r="P380" s="42"/>
    </row>
    <row r="381" spans="4:16" ht="13.2">
      <c r="D381" s="41"/>
      <c r="E381" s="42"/>
      <c r="I381" s="43"/>
      <c r="J381" s="43"/>
      <c r="L381" s="8"/>
      <c r="M381" s="44"/>
      <c r="P381" s="42"/>
    </row>
    <row r="382" spans="4:16" ht="13.2">
      <c r="D382" s="41"/>
      <c r="E382" s="42"/>
      <c r="I382" s="43"/>
      <c r="J382" s="43"/>
      <c r="L382" s="8"/>
      <c r="M382" s="44"/>
      <c r="P382" s="42"/>
    </row>
    <row r="383" spans="4:16" ht="13.2">
      <c r="D383" s="41"/>
      <c r="E383" s="42"/>
      <c r="I383" s="43"/>
      <c r="J383" s="43"/>
      <c r="L383" s="8"/>
      <c r="M383" s="44"/>
      <c r="P383" s="42"/>
    </row>
    <row r="384" spans="4:16" ht="13.2">
      <c r="D384" s="41"/>
      <c r="E384" s="42"/>
      <c r="I384" s="43"/>
      <c r="J384" s="43"/>
      <c r="L384" s="8"/>
      <c r="M384" s="44"/>
      <c r="P384" s="42"/>
    </row>
    <row r="385" spans="4:16" ht="13.2">
      <c r="D385" s="41"/>
      <c r="E385" s="42"/>
      <c r="I385" s="43"/>
      <c r="J385" s="43"/>
      <c r="L385" s="8"/>
      <c r="M385" s="44"/>
      <c r="P385" s="42"/>
    </row>
    <row r="386" spans="4:16" ht="13.2">
      <c r="D386" s="41"/>
      <c r="E386" s="42"/>
      <c r="I386" s="43"/>
      <c r="J386" s="43"/>
      <c r="L386" s="8"/>
      <c r="M386" s="44"/>
      <c r="P386" s="42"/>
    </row>
    <row r="387" spans="4:16" ht="13.2">
      <c r="D387" s="41"/>
      <c r="E387" s="42"/>
      <c r="I387" s="43"/>
      <c r="J387" s="43"/>
      <c r="L387" s="8"/>
      <c r="M387" s="44"/>
      <c r="P387" s="42"/>
    </row>
    <row r="388" spans="4:16" ht="13.2">
      <c r="D388" s="41"/>
      <c r="E388" s="42"/>
      <c r="I388" s="43"/>
      <c r="J388" s="43"/>
      <c r="L388" s="8"/>
      <c r="M388" s="44"/>
      <c r="P388" s="42"/>
    </row>
    <row r="389" spans="4:16" ht="13.2">
      <c r="D389" s="41"/>
      <c r="E389" s="42"/>
      <c r="I389" s="43"/>
      <c r="J389" s="43"/>
      <c r="L389" s="8"/>
      <c r="M389" s="44"/>
      <c r="P389" s="42"/>
    </row>
    <row r="390" spans="4:16" ht="13.2">
      <c r="D390" s="41"/>
      <c r="E390" s="42"/>
      <c r="I390" s="43"/>
      <c r="J390" s="43"/>
      <c r="L390" s="8"/>
      <c r="M390" s="44"/>
      <c r="P390" s="42"/>
    </row>
    <row r="391" spans="4:16" ht="13.2">
      <c r="D391" s="41"/>
      <c r="E391" s="42"/>
      <c r="I391" s="43"/>
      <c r="J391" s="43"/>
      <c r="L391" s="8"/>
      <c r="M391" s="44"/>
      <c r="P391" s="42"/>
    </row>
    <row r="392" spans="4:16" ht="13.2">
      <c r="D392" s="41"/>
      <c r="E392" s="42"/>
      <c r="I392" s="43"/>
      <c r="J392" s="43"/>
      <c r="L392" s="8"/>
      <c r="M392" s="44"/>
      <c r="P392" s="42"/>
    </row>
    <row r="393" spans="4:16" ht="13.2">
      <c r="D393" s="41"/>
      <c r="E393" s="42"/>
      <c r="I393" s="43"/>
      <c r="J393" s="43"/>
      <c r="L393" s="8"/>
      <c r="M393" s="44"/>
      <c r="P393" s="42"/>
    </row>
    <row r="394" spans="4:16" ht="13.2">
      <c r="D394" s="41"/>
      <c r="E394" s="42"/>
      <c r="I394" s="43"/>
      <c r="J394" s="43"/>
      <c r="L394" s="8"/>
      <c r="M394" s="44"/>
      <c r="P394" s="42"/>
    </row>
    <row r="395" spans="4:16" ht="13.2">
      <c r="D395" s="41"/>
      <c r="E395" s="42"/>
      <c r="I395" s="43"/>
      <c r="J395" s="43"/>
      <c r="L395" s="8"/>
      <c r="M395" s="44"/>
      <c r="P395" s="42"/>
    </row>
    <row r="396" spans="4:16" ht="13.2">
      <c r="D396" s="41"/>
      <c r="E396" s="42"/>
      <c r="I396" s="43"/>
      <c r="J396" s="43"/>
      <c r="L396" s="8"/>
      <c r="M396" s="44"/>
      <c r="P396" s="42"/>
    </row>
    <row r="397" spans="4:16" ht="13.2">
      <c r="D397" s="41"/>
      <c r="E397" s="42"/>
      <c r="I397" s="43"/>
      <c r="J397" s="43"/>
      <c r="L397" s="8"/>
      <c r="M397" s="44"/>
      <c r="P397" s="42"/>
    </row>
    <row r="398" spans="4:16" ht="13.2">
      <c r="D398" s="41"/>
      <c r="E398" s="42"/>
      <c r="I398" s="43"/>
      <c r="J398" s="43"/>
      <c r="L398" s="8"/>
      <c r="M398" s="44"/>
      <c r="P398" s="42"/>
    </row>
    <row r="399" spans="4:16" ht="13.2">
      <c r="D399" s="41"/>
      <c r="E399" s="42"/>
      <c r="I399" s="43"/>
      <c r="J399" s="43"/>
      <c r="L399" s="8"/>
      <c r="M399" s="44"/>
      <c r="P399" s="42"/>
    </row>
    <row r="400" spans="4:16" ht="13.2">
      <c r="D400" s="41"/>
      <c r="E400" s="42"/>
      <c r="I400" s="43"/>
      <c r="J400" s="43"/>
      <c r="L400" s="8"/>
      <c r="M400" s="44"/>
      <c r="P400" s="42"/>
    </row>
    <row r="401" spans="4:16" ht="13.2">
      <c r="D401" s="41"/>
      <c r="E401" s="42"/>
      <c r="I401" s="43"/>
      <c r="J401" s="43"/>
      <c r="L401" s="8"/>
      <c r="M401" s="44"/>
      <c r="P401" s="42"/>
    </row>
    <row r="402" spans="4:16" ht="13.2">
      <c r="D402" s="41"/>
      <c r="E402" s="42"/>
      <c r="I402" s="43"/>
      <c r="J402" s="43"/>
      <c r="L402" s="8"/>
      <c r="M402" s="44"/>
      <c r="P402" s="42"/>
    </row>
    <row r="403" spans="4:16" ht="13.2">
      <c r="D403" s="41"/>
      <c r="E403" s="42"/>
      <c r="I403" s="43"/>
      <c r="J403" s="43"/>
      <c r="L403" s="8"/>
      <c r="M403" s="44"/>
      <c r="P403" s="42"/>
    </row>
    <row r="404" spans="4:16" ht="13.2">
      <c r="D404" s="41"/>
      <c r="E404" s="42"/>
      <c r="I404" s="43"/>
      <c r="J404" s="43"/>
      <c r="L404" s="8"/>
      <c r="M404" s="44"/>
      <c r="P404" s="42"/>
    </row>
    <row r="405" spans="4:16" ht="13.2">
      <c r="D405" s="41"/>
      <c r="E405" s="42"/>
      <c r="I405" s="43"/>
      <c r="J405" s="43"/>
      <c r="L405" s="8"/>
      <c r="M405" s="44"/>
      <c r="P405" s="42"/>
    </row>
    <row r="406" spans="4:16" ht="13.2">
      <c r="D406" s="41"/>
      <c r="E406" s="42"/>
      <c r="I406" s="43"/>
      <c r="J406" s="43"/>
      <c r="L406" s="8"/>
      <c r="M406" s="44"/>
      <c r="P406" s="42"/>
    </row>
    <row r="407" spans="4:16" ht="13.2">
      <c r="D407" s="41"/>
      <c r="E407" s="42"/>
      <c r="I407" s="43"/>
      <c r="J407" s="43"/>
      <c r="L407" s="8"/>
      <c r="M407" s="44"/>
      <c r="P407" s="42"/>
    </row>
    <row r="408" spans="4:16" ht="13.2">
      <c r="D408" s="41"/>
      <c r="E408" s="42"/>
      <c r="I408" s="43"/>
      <c r="J408" s="43"/>
      <c r="L408" s="8"/>
      <c r="M408" s="44"/>
      <c r="P408" s="42"/>
    </row>
    <row r="409" spans="4:16" ht="13.2">
      <c r="D409" s="41"/>
      <c r="E409" s="42"/>
      <c r="I409" s="43"/>
      <c r="J409" s="43"/>
      <c r="L409" s="8"/>
      <c r="M409" s="44"/>
      <c r="P409" s="42"/>
    </row>
    <row r="410" spans="4:16" ht="13.2">
      <c r="D410" s="41"/>
      <c r="E410" s="42"/>
      <c r="I410" s="43"/>
      <c r="J410" s="43"/>
      <c r="L410" s="8"/>
      <c r="M410" s="44"/>
      <c r="P410" s="42"/>
    </row>
    <row r="411" spans="4:16" ht="13.2">
      <c r="D411" s="41"/>
      <c r="E411" s="42"/>
      <c r="I411" s="43"/>
      <c r="J411" s="43"/>
      <c r="L411" s="8"/>
      <c r="M411" s="44"/>
      <c r="P411" s="42"/>
    </row>
    <row r="412" spans="4:16" ht="13.2">
      <c r="D412" s="41"/>
      <c r="E412" s="42"/>
      <c r="I412" s="43"/>
      <c r="J412" s="43"/>
      <c r="L412" s="8"/>
      <c r="M412" s="44"/>
      <c r="P412" s="42"/>
    </row>
    <row r="413" spans="4:16" ht="13.2">
      <c r="D413" s="41"/>
      <c r="E413" s="42"/>
      <c r="I413" s="43"/>
      <c r="J413" s="43"/>
      <c r="L413" s="8"/>
      <c r="M413" s="44"/>
      <c r="P413" s="42"/>
    </row>
    <row r="414" spans="4:16" ht="13.2">
      <c r="D414" s="41"/>
      <c r="E414" s="42"/>
      <c r="I414" s="43"/>
      <c r="J414" s="43"/>
      <c r="L414" s="8"/>
      <c r="M414" s="44"/>
      <c r="P414" s="42"/>
    </row>
    <row r="415" spans="4:16" ht="13.2">
      <c r="D415" s="41"/>
      <c r="E415" s="42"/>
      <c r="I415" s="43"/>
      <c r="J415" s="43"/>
      <c r="L415" s="8"/>
      <c r="M415" s="44"/>
      <c r="P415" s="42"/>
    </row>
    <row r="416" spans="4:16" ht="13.2">
      <c r="D416" s="41"/>
      <c r="E416" s="42"/>
      <c r="I416" s="43"/>
      <c r="J416" s="43"/>
      <c r="L416" s="8"/>
      <c r="M416" s="44"/>
      <c r="P416" s="42"/>
    </row>
    <row r="417" spans="4:16" ht="13.2">
      <c r="D417" s="41"/>
      <c r="E417" s="42"/>
      <c r="I417" s="43"/>
      <c r="J417" s="43"/>
      <c r="L417" s="8"/>
      <c r="M417" s="44"/>
      <c r="P417" s="42"/>
    </row>
    <row r="418" spans="4:16" ht="13.2">
      <c r="D418" s="41"/>
      <c r="E418" s="42"/>
      <c r="I418" s="43"/>
      <c r="J418" s="43"/>
      <c r="L418" s="8"/>
      <c r="M418" s="44"/>
      <c r="P418" s="42"/>
    </row>
    <row r="419" spans="4:16" ht="13.2">
      <c r="D419" s="41"/>
      <c r="E419" s="42"/>
      <c r="I419" s="43"/>
      <c r="J419" s="43"/>
      <c r="L419" s="8"/>
      <c r="M419" s="44"/>
      <c r="P419" s="42"/>
    </row>
    <row r="420" spans="4:16" ht="13.2">
      <c r="D420" s="41"/>
      <c r="E420" s="42"/>
      <c r="I420" s="43"/>
      <c r="J420" s="43"/>
      <c r="L420" s="8"/>
      <c r="M420" s="44"/>
      <c r="P420" s="42"/>
    </row>
    <row r="421" spans="4:16" ht="13.2">
      <c r="D421" s="41"/>
      <c r="E421" s="42"/>
      <c r="I421" s="43"/>
      <c r="J421" s="43"/>
      <c r="L421" s="8"/>
      <c r="M421" s="44"/>
      <c r="P421" s="42"/>
    </row>
    <row r="422" spans="4:16" ht="13.2">
      <c r="D422" s="41"/>
      <c r="E422" s="42"/>
      <c r="I422" s="43"/>
      <c r="J422" s="43"/>
      <c r="L422" s="8"/>
      <c r="M422" s="44"/>
      <c r="P422" s="42"/>
    </row>
    <row r="423" spans="4:16" ht="13.2">
      <c r="D423" s="41"/>
      <c r="E423" s="42"/>
      <c r="I423" s="43"/>
      <c r="J423" s="43"/>
      <c r="L423" s="8"/>
      <c r="M423" s="44"/>
      <c r="P423" s="42"/>
    </row>
    <row r="424" spans="4:16" ht="13.2">
      <c r="D424" s="41"/>
      <c r="E424" s="42"/>
      <c r="I424" s="43"/>
      <c r="J424" s="43"/>
      <c r="L424" s="8"/>
      <c r="M424" s="44"/>
      <c r="P424" s="42"/>
    </row>
    <row r="425" spans="4:16" ht="13.2">
      <c r="D425" s="41"/>
      <c r="E425" s="42"/>
      <c r="I425" s="43"/>
      <c r="J425" s="43"/>
      <c r="L425" s="8"/>
      <c r="M425" s="44"/>
      <c r="P425" s="42"/>
    </row>
    <row r="426" spans="4:16" ht="13.2">
      <c r="D426" s="41"/>
      <c r="E426" s="42"/>
      <c r="I426" s="43"/>
      <c r="J426" s="43"/>
      <c r="L426" s="8"/>
      <c r="M426" s="44"/>
      <c r="P426" s="42"/>
    </row>
    <row r="427" spans="4:16" ht="13.2">
      <c r="D427" s="41"/>
      <c r="E427" s="42"/>
      <c r="I427" s="43"/>
      <c r="J427" s="43"/>
      <c r="L427" s="8"/>
      <c r="M427" s="44"/>
      <c r="P427" s="42"/>
    </row>
    <row r="428" spans="4:16" ht="13.2">
      <c r="D428" s="41"/>
      <c r="E428" s="42"/>
      <c r="I428" s="43"/>
      <c r="J428" s="43"/>
      <c r="L428" s="8"/>
      <c r="M428" s="44"/>
      <c r="P428" s="42"/>
    </row>
    <row r="429" spans="4:16" ht="13.2">
      <c r="D429" s="41"/>
      <c r="E429" s="42"/>
      <c r="I429" s="43"/>
      <c r="J429" s="43"/>
      <c r="L429" s="8"/>
      <c r="M429" s="44"/>
      <c r="P429" s="42"/>
    </row>
    <row r="430" spans="4:16" ht="13.2">
      <c r="D430" s="41"/>
      <c r="E430" s="42"/>
      <c r="I430" s="43"/>
      <c r="J430" s="43"/>
      <c r="L430" s="8"/>
      <c r="M430" s="44"/>
      <c r="P430" s="42"/>
    </row>
    <row r="431" spans="4:16" ht="13.2">
      <c r="D431" s="41"/>
      <c r="E431" s="42"/>
      <c r="I431" s="43"/>
      <c r="J431" s="43"/>
      <c r="L431" s="8"/>
      <c r="M431" s="44"/>
      <c r="P431" s="42"/>
    </row>
    <row r="432" spans="4:16" ht="13.2">
      <c r="D432" s="41"/>
      <c r="E432" s="42"/>
      <c r="I432" s="43"/>
      <c r="J432" s="43"/>
      <c r="L432" s="8"/>
      <c r="M432" s="44"/>
      <c r="P432" s="42"/>
    </row>
    <row r="433" spans="4:16" ht="13.2">
      <c r="D433" s="41"/>
      <c r="E433" s="42"/>
      <c r="I433" s="43"/>
      <c r="J433" s="43"/>
      <c r="L433" s="8"/>
      <c r="M433" s="44"/>
      <c r="P433" s="42"/>
    </row>
    <row r="434" spans="4:16" ht="13.2">
      <c r="D434" s="41"/>
      <c r="E434" s="42"/>
      <c r="I434" s="43"/>
      <c r="J434" s="43"/>
      <c r="L434" s="8"/>
      <c r="M434" s="44"/>
      <c r="P434" s="42"/>
    </row>
    <row r="435" spans="4:16" ht="13.2">
      <c r="D435" s="41"/>
      <c r="E435" s="42"/>
      <c r="I435" s="43"/>
      <c r="J435" s="43"/>
      <c r="L435" s="8"/>
      <c r="M435" s="44"/>
      <c r="P435" s="42"/>
    </row>
    <row r="436" spans="4:16" ht="13.2">
      <c r="D436" s="41"/>
      <c r="E436" s="42"/>
      <c r="I436" s="43"/>
      <c r="J436" s="43"/>
      <c r="L436" s="8"/>
      <c r="M436" s="44"/>
      <c r="P436" s="42"/>
    </row>
    <row r="437" spans="4:16" ht="13.2">
      <c r="D437" s="41"/>
      <c r="E437" s="42"/>
      <c r="I437" s="43"/>
      <c r="J437" s="43"/>
      <c r="L437" s="8"/>
      <c r="M437" s="44"/>
      <c r="P437" s="42"/>
    </row>
    <row r="438" spans="4:16" ht="13.2">
      <c r="D438" s="41"/>
      <c r="E438" s="42"/>
      <c r="I438" s="43"/>
      <c r="J438" s="43"/>
      <c r="L438" s="8"/>
      <c r="M438" s="44"/>
      <c r="P438" s="42"/>
    </row>
    <row r="439" spans="4:16" ht="13.2">
      <c r="D439" s="41"/>
      <c r="E439" s="42"/>
      <c r="I439" s="43"/>
      <c r="J439" s="43"/>
      <c r="L439" s="8"/>
      <c r="M439" s="44"/>
      <c r="P439" s="42"/>
    </row>
    <row r="440" spans="4:16" ht="13.2">
      <c r="D440" s="41"/>
      <c r="E440" s="42"/>
      <c r="I440" s="43"/>
      <c r="J440" s="43"/>
      <c r="L440" s="8"/>
      <c r="M440" s="44"/>
      <c r="P440" s="42"/>
    </row>
    <row r="441" spans="4:16" ht="13.2">
      <c r="D441" s="41"/>
      <c r="E441" s="42"/>
      <c r="I441" s="43"/>
      <c r="J441" s="43"/>
      <c r="L441" s="8"/>
      <c r="M441" s="44"/>
      <c r="P441" s="42"/>
    </row>
    <row r="442" spans="4:16" ht="13.2">
      <c r="D442" s="41"/>
      <c r="E442" s="42"/>
      <c r="I442" s="43"/>
      <c r="J442" s="43"/>
      <c r="L442" s="8"/>
      <c r="M442" s="44"/>
      <c r="P442" s="42"/>
    </row>
    <row r="443" spans="4:16" ht="13.2">
      <c r="D443" s="41"/>
      <c r="E443" s="42"/>
      <c r="I443" s="43"/>
      <c r="J443" s="43"/>
      <c r="L443" s="8"/>
      <c r="M443" s="44"/>
      <c r="P443" s="42"/>
    </row>
    <row r="444" spans="4:16" ht="13.2">
      <c r="D444" s="41"/>
      <c r="E444" s="42"/>
      <c r="I444" s="43"/>
      <c r="J444" s="43"/>
      <c r="L444" s="8"/>
      <c r="M444" s="44"/>
      <c r="P444" s="42"/>
    </row>
    <row r="445" spans="4:16" ht="13.2">
      <c r="D445" s="41"/>
      <c r="E445" s="42"/>
      <c r="I445" s="43"/>
      <c r="J445" s="43"/>
      <c r="L445" s="8"/>
      <c r="M445" s="44"/>
      <c r="P445" s="42"/>
    </row>
    <row r="446" spans="4:16" ht="13.2">
      <c r="D446" s="41"/>
      <c r="E446" s="42"/>
      <c r="I446" s="43"/>
      <c r="J446" s="43"/>
      <c r="L446" s="8"/>
      <c r="M446" s="44"/>
      <c r="P446" s="42"/>
    </row>
    <row r="447" spans="4:16" ht="13.2">
      <c r="D447" s="41"/>
      <c r="E447" s="42"/>
      <c r="I447" s="43"/>
      <c r="J447" s="43"/>
      <c r="L447" s="8"/>
      <c r="M447" s="44"/>
      <c r="P447" s="42"/>
    </row>
    <row r="448" spans="4:16" ht="13.2">
      <c r="D448" s="41"/>
      <c r="E448" s="42"/>
      <c r="I448" s="43"/>
      <c r="J448" s="43"/>
      <c r="L448" s="8"/>
      <c r="M448" s="44"/>
      <c r="P448" s="42"/>
    </row>
    <row r="449" spans="4:16" ht="13.2">
      <c r="D449" s="41"/>
      <c r="E449" s="42"/>
      <c r="I449" s="43"/>
      <c r="J449" s="43"/>
      <c r="L449" s="8"/>
      <c r="M449" s="44"/>
      <c r="P449" s="42"/>
    </row>
    <row r="450" spans="4:16" ht="13.2">
      <c r="D450" s="41"/>
      <c r="E450" s="42"/>
      <c r="I450" s="43"/>
      <c r="J450" s="43"/>
      <c r="L450" s="8"/>
      <c r="M450" s="44"/>
      <c r="P450" s="42"/>
    </row>
    <row r="451" spans="4:16" ht="13.2">
      <c r="D451" s="41"/>
      <c r="E451" s="42"/>
      <c r="I451" s="43"/>
      <c r="J451" s="43"/>
      <c r="L451" s="8"/>
      <c r="M451" s="44"/>
      <c r="P451" s="42"/>
    </row>
    <row r="452" spans="4:16" ht="13.2">
      <c r="D452" s="41"/>
      <c r="E452" s="42"/>
      <c r="I452" s="43"/>
      <c r="J452" s="43"/>
      <c r="L452" s="8"/>
      <c r="M452" s="44"/>
      <c r="P452" s="42"/>
    </row>
    <row r="453" spans="4:16" ht="13.2">
      <c r="D453" s="41"/>
      <c r="E453" s="42"/>
      <c r="I453" s="43"/>
      <c r="J453" s="43"/>
      <c r="L453" s="8"/>
      <c r="M453" s="44"/>
      <c r="P453" s="42"/>
    </row>
    <row r="454" spans="4:16" ht="13.2">
      <c r="D454" s="41"/>
      <c r="E454" s="42"/>
      <c r="I454" s="43"/>
      <c r="J454" s="43"/>
      <c r="L454" s="8"/>
      <c r="M454" s="44"/>
      <c r="P454" s="42"/>
    </row>
    <row r="455" spans="4:16" ht="13.2">
      <c r="D455" s="41"/>
      <c r="E455" s="42"/>
      <c r="I455" s="43"/>
      <c r="J455" s="43"/>
      <c r="L455" s="8"/>
      <c r="M455" s="44"/>
      <c r="P455" s="42"/>
    </row>
    <row r="456" spans="4:16" ht="13.2">
      <c r="D456" s="41"/>
      <c r="E456" s="42"/>
      <c r="I456" s="43"/>
      <c r="J456" s="43"/>
      <c r="L456" s="8"/>
      <c r="M456" s="44"/>
      <c r="P456" s="42"/>
    </row>
    <row r="457" spans="4:16" ht="13.2">
      <c r="D457" s="41"/>
      <c r="E457" s="42"/>
      <c r="I457" s="43"/>
      <c r="J457" s="43"/>
      <c r="L457" s="8"/>
      <c r="M457" s="44"/>
      <c r="P457" s="42"/>
    </row>
    <row r="458" spans="4:16" ht="13.2">
      <c r="D458" s="41"/>
      <c r="E458" s="42"/>
      <c r="I458" s="43"/>
      <c r="J458" s="43"/>
      <c r="L458" s="8"/>
      <c r="M458" s="44"/>
      <c r="P458" s="42"/>
    </row>
    <row r="459" spans="4:16" ht="13.2">
      <c r="D459" s="41"/>
      <c r="E459" s="42"/>
      <c r="I459" s="43"/>
      <c r="J459" s="43"/>
      <c r="L459" s="8"/>
      <c r="M459" s="44"/>
      <c r="P459" s="42"/>
    </row>
    <row r="460" spans="4:16" ht="13.2">
      <c r="D460" s="41"/>
      <c r="E460" s="42"/>
      <c r="I460" s="43"/>
      <c r="J460" s="43"/>
      <c r="L460" s="8"/>
      <c r="M460" s="44"/>
      <c r="P460" s="42"/>
    </row>
    <row r="461" spans="4:16" ht="13.2">
      <c r="D461" s="41"/>
      <c r="E461" s="42"/>
      <c r="I461" s="43"/>
      <c r="J461" s="43"/>
      <c r="L461" s="8"/>
      <c r="M461" s="44"/>
      <c r="P461" s="42"/>
    </row>
    <row r="462" spans="4:16" ht="13.2">
      <c r="D462" s="41"/>
      <c r="E462" s="42"/>
      <c r="I462" s="43"/>
      <c r="J462" s="43"/>
      <c r="L462" s="8"/>
      <c r="M462" s="44"/>
      <c r="P462" s="42"/>
    </row>
    <row r="463" spans="4:16" ht="13.2">
      <c r="D463" s="41"/>
      <c r="E463" s="42"/>
      <c r="I463" s="43"/>
      <c r="J463" s="43"/>
      <c r="L463" s="8"/>
      <c r="M463" s="44"/>
      <c r="P463" s="42"/>
    </row>
    <row r="464" spans="4:16" ht="13.2">
      <c r="D464" s="41"/>
      <c r="E464" s="42"/>
      <c r="I464" s="43"/>
      <c r="J464" s="43"/>
      <c r="L464" s="8"/>
      <c r="M464" s="44"/>
      <c r="P464" s="42"/>
    </row>
    <row r="465" spans="4:16" ht="13.2">
      <c r="D465" s="41"/>
      <c r="E465" s="42"/>
      <c r="I465" s="43"/>
      <c r="J465" s="43"/>
      <c r="L465" s="8"/>
      <c r="M465" s="44"/>
      <c r="P465" s="42"/>
    </row>
    <row r="466" spans="4:16" ht="13.2">
      <c r="D466" s="41"/>
      <c r="E466" s="42"/>
      <c r="I466" s="43"/>
      <c r="J466" s="43"/>
      <c r="L466" s="8"/>
      <c r="M466" s="44"/>
      <c r="P466" s="42"/>
    </row>
    <row r="467" spans="4:16" ht="13.2">
      <c r="D467" s="41"/>
      <c r="E467" s="42"/>
      <c r="I467" s="43"/>
      <c r="J467" s="43"/>
      <c r="L467" s="8"/>
      <c r="M467" s="44"/>
      <c r="P467" s="42"/>
    </row>
    <row r="468" spans="4:16" ht="13.2">
      <c r="D468" s="41"/>
      <c r="E468" s="42"/>
      <c r="I468" s="43"/>
      <c r="J468" s="43"/>
      <c r="L468" s="8"/>
      <c r="M468" s="44"/>
      <c r="P468" s="42"/>
    </row>
    <row r="469" spans="4:16" ht="13.2">
      <c r="D469" s="41"/>
      <c r="E469" s="42"/>
      <c r="I469" s="43"/>
      <c r="J469" s="43"/>
      <c r="L469" s="8"/>
      <c r="M469" s="44"/>
      <c r="P469" s="42"/>
    </row>
    <row r="470" spans="4:16" ht="13.2">
      <c r="D470" s="41"/>
      <c r="E470" s="42"/>
      <c r="I470" s="43"/>
      <c r="J470" s="43"/>
      <c r="L470" s="8"/>
      <c r="M470" s="44"/>
      <c r="P470" s="42"/>
    </row>
    <row r="471" spans="4:16" ht="13.2">
      <c r="D471" s="41"/>
      <c r="E471" s="42"/>
      <c r="I471" s="43"/>
      <c r="J471" s="43"/>
      <c r="L471" s="8"/>
      <c r="M471" s="44"/>
      <c r="P471" s="42"/>
    </row>
    <row r="472" spans="4:16" ht="13.2">
      <c r="D472" s="41"/>
      <c r="E472" s="42"/>
      <c r="I472" s="43"/>
      <c r="J472" s="43"/>
      <c r="L472" s="8"/>
      <c r="M472" s="44"/>
      <c r="P472" s="42"/>
    </row>
    <row r="473" spans="4:16" ht="13.2">
      <c r="D473" s="41"/>
      <c r="E473" s="42"/>
      <c r="I473" s="43"/>
      <c r="J473" s="43"/>
      <c r="L473" s="8"/>
      <c r="M473" s="44"/>
      <c r="P473" s="42"/>
    </row>
    <row r="474" spans="4:16" ht="13.2">
      <c r="D474" s="41"/>
      <c r="E474" s="42"/>
      <c r="I474" s="43"/>
      <c r="J474" s="43"/>
      <c r="L474" s="8"/>
      <c r="M474" s="44"/>
      <c r="P474" s="42"/>
    </row>
    <row r="475" spans="4:16" ht="13.2">
      <c r="D475" s="41"/>
      <c r="E475" s="42"/>
      <c r="I475" s="43"/>
      <c r="J475" s="43"/>
      <c r="L475" s="8"/>
      <c r="M475" s="44"/>
      <c r="P475" s="42"/>
    </row>
    <row r="476" spans="4:16" ht="13.2">
      <c r="D476" s="41"/>
      <c r="E476" s="42"/>
      <c r="I476" s="43"/>
      <c r="J476" s="43"/>
      <c r="L476" s="8"/>
      <c r="M476" s="44"/>
      <c r="P476" s="42"/>
    </row>
    <row r="477" spans="4:16" ht="13.2">
      <c r="D477" s="41"/>
      <c r="E477" s="42"/>
      <c r="I477" s="43"/>
      <c r="J477" s="43"/>
      <c r="L477" s="8"/>
      <c r="M477" s="44"/>
      <c r="P477" s="42"/>
    </row>
    <row r="478" spans="4:16" ht="13.2">
      <c r="D478" s="41"/>
      <c r="E478" s="42"/>
      <c r="I478" s="43"/>
      <c r="J478" s="43"/>
      <c r="L478" s="8"/>
      <c r="M478" s="44"/>
      <c r="P478" s="42"/>
    </row>
    <row r="479" spans="4:16" ht="13.2">
      <c r="D479" s="41"/>
      <c r="E479" s="42"/>
      <c r="I479" s="43"/>
      <c r="J479" s="43"/>
      <c r="L479" s="8"/>
      <c r="M479" s="44"/>
      <c r="P479" s="42"/>
    </row>
    <row r="480" spans="4:16" ht="13.2">
      <c r="D480" s="41"/>
      <c r="E480" s="42"/>
      <c r="I480" s="43"/>
      <c r="J480" s="43"/>
      <c r="L480" s="8"/>
      <c r="M480" s="44"/>
      <c r="P480" s="42"/>
    </row>
    <row r="481" spans="4:16" ht="13.2">
      <c r="D481" s="41"/>
      <c r="E481" s="42"/>
      <c r="I481" s="43"/>
      <c r="J481" s="43"/>
      <c r="L481" s="8"/>
      <c r="M481" s="44"/>
      <c r="P481" s="42"/>
    </row>
    <row r="482" spans="4:16" ht="13.2">
      <c r="D482" s="41"/>
      <c r="E482" s="42"/>
      <c r="I482" s="43"/>
      <c r="J482" s="43"/>
      <c r="L482" s="8"/>
      <c r="M482" s="44"/>
      <c r="P482" s="42"/>
    </row>
    <row r="483" spans="4:16" ht="13.2">
      <c r="D483" s="41"/>
      <c r="E483" s="42"/>
      <c r="I483" s="43"/>
      <c r="J483" s="43"/>
      <c r="L483" s="8"/>
      <c r="M483" s="44"/>
      <c r="P483" s="42"/>
    </row>
    <row r="484" spans="4:16" ht="13.2">
      <c r="D484" s="41"/>
      <c r="E484" s="42"/>
      <c r="I484" s="43"/>
      <c r="J484" s="43"/>
      <c r="L484" s="8"/>
      <c r="M484" s="44"/>
      <c r="P484" s="42"/>
    </row>
    <row r="485" spans="4:16" ht="13.2">
      <c r="D485" s="41"/>
      <c r="E485" s="42"/>
      <c r="I485" s="43"/>
      <c r="J485" s="43"/>
      <c r="L485" s="8"/>
      <c r="M485" s="44"/>
      <c r="P485" s="42"/>
    </row>
    <row r="486" spans="4:16" ht="13.2">
      <c r="D486" s="41"/>
      <c r="E486" s="42"/>
      <c r="I486" s="43"/>
      <c r="J486" s="43"/>
      <c r="L486" s="8"/>
      <c r="M486" s="44"/>
      <c r="P486" s="42"/>
    </row>
    <row r="487" spans="4:16" ht="13.2">
      <c r="D487" s="41"/>
      <c r="E487" s="42"/>
      <c r="I487" s="43"/>
      <c r="J487" s="43"/>
      <c r="L487" s="8"/>
      <c r="M487" s="44"/>
      <c r="P487" s="42"/>
    </row>
    <row r="488" spans="4:16" ht="13.2">
      <c r="D488" s="41"/>
      <c r="E488" s="42"/>
      <c r="I488" s="43"/>
      <c r="J488" s="43"/>
      <c r="L488" s="8"/>
      <c r="M488" s="44"/>
      <c r="P488" s="42"/>
    </row>
    <row r="489" spans="4:16" ht="13.2">
      <c r="D489" s="41"/>
      <c r="E489" s="42"/>
      <c r="I489" s="43"/>
      <c r="J489" s="43"/>
      <c r="L489" s="8"/>
      <c r="M489" s="44"/>
      <c r="P489" s="42"/>
    </row>
    <row r="490" spans="4:16" ht="13.2">
      <c r="D490" s="41"/>
      <c r="E490" s="42"/>
      <c r="I490" s="43"/>
      <c r="J490" s="43"/>
      <c r="L490" s="8"/>
      <c r="M490" s="44"/>
      <c r="P490" s="42"/>
    </row>
    <row r="491" spans="4:16" ht="13.2">
      <c r="D491" s="41"/>
      <c r="E491" s="42"/>
      <c r="I491" s="43"/>
      <c r="J491" s="43"/>
      <c r="L491" s="8"/>
      <c r="M491" s="44"/>
      <c r="P491" s="42"/>
    </row>
    <row r="492" spans="4:16" ht="13.2">
      <c r="D492" s="41"/>
      <c r="E492" s="42"/>
      <c r="I492" s="43"/>
      <c r="J492" s="43"/>
      <c r="L492" s="8"/>
      <c r="M492" s="44"/>
      <c r="P492" s="42"/>
    </row>
    <row r="493" spans="4:16" ht="13.2">
      <c r="D493" s="41"/>
      <c r="E493" s="42"/>
      <c r="I493" s="43"/>
      <c r="J493" s="43"/>
      <c r="L493" s="8"/>
      <c r="M493" s="44"/>
      <c r="P493" s="42"/>
    </row>
    <row r="494" spans="4:16" ht="13.2">
      <c r="D494" s="41"/>
      <c r="E494" s="42"/>
      <c r="I494" s="43"/>
      <c r="J494" s="43"/>
      <c r="L494" s="8"/>
      <c r="M494" s="44"/>
      <c r="P494" s="42"/>
    </row>
    <row r="495" spans="4:16" ht="13.2">
      <c r="D495" s="41"/>
      <c r="E495" s="42"/>
      <c r="I495" s="43"/>
      <c r="J495" s="43"/>
      <c r="L495" s="8"/>
      <c r="M495" s="44"/>
      <c r="P495" s="42"/>
    </row>
    <row r="496" spans="4:16" ht="13.2">
      <c r="D496" s="41"/>
      <c r="E496" s="42"/>
      <c r="I496" s="43"/>
      <c r="J496" s="43"/>
      <c r="L496" s="8"/>
      <c r="M496" s="44"/>
      <c r="P496" s="42"/>
    </row>
    <row r="497" spans="4:16" ht="13.2">
      <c r="D497" s="41"/>
      <c r="E497" s="42"/>
      <c r="I497" s="43"/>
      <c r="J497" s="43"/>
      <c r="L497" s="8"/>
      <c r="M497" s="44"/>
      <c r="P497" s="42"/>
    </row>
    <row r="498" spans="4:16" ht="13.2">
      <c r="D498" s="41"/>
      <c r="E498" s="42"/>
      <c r="I498" s="43"/>
      <c r="J498" s="43"/>
      <c r="L498" s="8"/>
      <c r="M498" s="44"/>
      <c r="P498" s="42"/>
    </row>
    <row r="499" spans="4:16" ht="13.2">
      <c r="D499" s="41"/>
      <c r="E499" s="42"/>
      <c r="I499" s="43"/>
      <c r="J499" s="43"/>
      <c r="L499" s="8"/>
      <c r="M499" s="44"/>
      <c r="P499" s="42"/>
    </row>
    <row r="500" spans="4:16" ht="13.2">
      <c r="D500" s="41"/>
      <c r="E500" s="42"/>
      <c r="I500" s="43"/>
      <c r="J500" s="43"/>
      <c r="L500" s="8"/>
      <c r="M500" s="44"/>
      <c r="P500" s="42"/>
    </row>
    <row r="501" spans="4:16" ht="13.2">
      <c r="D501" s="41"/>
      <c r="E501" s="42"/>
      <c r="I501" s="43"/>
      <c r="J501" s="43"/>
      <c r="L501" s="8"/>
      <c r="M501" s="44"/>
      <c r="P501" s="42"/>
    </row>
    <row r="502" spans="4:16" ht="13.2">
      <c r="D502" s="41"/>
      <c r="E502" s="42"/>
      <c r="I502" s="43"/>
      <c r="J502" s="43"/>
      <c r="L502" s="8"/>
      <c r="M502" s="44"/>
      <c r="P502" s="42"/>
    </row>
    <row r="503" spans="4:16" ht="13.2">
      <c r="D503" s="41"/>
      <c r="E503" s="42"/>
      <c r="I503" s="43"/>
      <c r="J503" s="43"/>
      <c r="L503" s="8"/>
      <c r="M503" s="44"/>
      <c r="P503" s="42"/>
    </row>
    <row r="504" spans="4:16" ht="13.2">
      <c r="D504" s="41"/>
      <c r="E504" s="42"/>
      <c r="I504" s="43"/>
      <c r="J504" s="43"/>
      <c r="L504" s="8"/>
      <c r="M504" s="44"/>
      <c r="P504" s="42"/>
    </row>
    <row r="505" spans="4:16" ht="13.2">
      <c r="D505" s="41"/>
      <c r="E505" s="42"/>
      <c r="I505" s="43"/>
      <c r="J505" s="43"/>
      <c r="L505" s="8"/>
      <c r="M505" s="44"/>
      <c r="P505" s="42"/>
    </row>
    <row r="506" spans="4:16" ht="13.2">
      <c r="D506" s="41"/>
      <c r="E506" s="42"/>
      <c r="I506" s="43"/>
      <c r="J506" s="43"/>
      <c r="L506" s="8"/>
      <c r="M506" s="44"/>
      <c r="P506" s="42"/>
    </row>
    <row r="507" spans="4:16" ht="13.2">
      <c r="D507" s="41"/>
      <c r="E507" s="42"/>
      <c r="I507" s="43"/>
      <c r="J507" s="43"/>
      <c r="L507" s="8"/>
      <c r="M507" s="44"/>
      <c r="P507" s="42"/>
    </row>
    <row r="508" spans="4:16" ht="13.2">
      <c r="D508" s="41"/>
      <c r="E508" s="42"/>
      <c r="I508" s="43"/>
      <c r="J508" s="43"/>
      <c r="L508" s="8"/>
      <c r="M508" s="44"/>
      <c r="P508" s="42"/>
    </row>
    <row r="509" spans="4:16" ht="13.2">
      <c r="D509" s="41"/>
      <c r="E509" s="42"/>
      <c r="I509" s="43"/>
      <c r="J509" s="43"/>
      <c r="L509" s="8"/>
      <c r="M509" s="44"/>
      <c r="P509" s="42"/>
    </row>
    <row r="510" spans="4:16" ht="13.2">
      <c r="D510" s="41"/>
      <c r="E510" s="42"/>
      <c r="I510" s="43"/>
      <c r="J510" s="43"/>
      <c r="L510" s="8"/>
      <c r="M510" s="44"/>
      <c r="P510" s="42"/>
    </row>
    <row r="511" spans="4:16" ht="13.2">
      <c r="D511" s="41"/>
      <c r="E511" s="42"/>
      <c r="I511" s="43"/>
      <c r="J511" s="43"/>
      <c r="L511" s="8"/>
      <c r="M511" s="44"/>
      <c r="P511" s="42"/>
    </row>
    <row r="512" spans="4:16" ht="13.2">
      <c r="D512" s="41"/>
      <c r="E512" s="42"/>
      <c r="I512" s="43"/>
      <c r="J512" s="43"/>
      <c r="L512" s="8"/>
      <c r="M512" s="44"/>
      <c r="P512" s="42"/>
    </row>
    <row r="513" spans="4:16" ht="13.2">
      <c r="D513" s="41"/>
      <c r="E513" s="42"/>
      <c r="I513" s="43"/>
      <c r="J513" s="43"/>
      <c r="L513" s="8"/>
      <c r="M513" s="44"/>
      <c r="P513" s="42"/>
    </row>
    <row r="514" spans="4:16" ht="13.2">
      <c r="D514" s="41"/>
      <c r="E514" s="42"/>
      <c r="I514" s="43"/>
      <c r="J514" s="43"/>
      <c r="L514" s="8"/>
      <c r="M514" s="44"/>
      <c r="P514" s="42"/>
    </row>
    <row r="515" spans="4:16" ht="13.2">
      <c r="D515" s="41"/>
      <c r="E515" s="42"/>
      <c r="I515" s="43"/>
      <c r="J515" s="43"/>
      <c r="L515" s="8"/>
      <c r="M515" s="44"/>
      <c r="P515" s="42"/>
    </row>
    <row r="516" spans="4:16" ht="13.2">
      <c r="D516" s="41"/>
      <c r="E516" s="42"/>
      <c r="I516" s="43"/>
      <c r="J516" s="43"/>
      <c r="L516" s="8"/>
      <c r="M516" s="44"/>
      <c r="P516" s="42"/>
    </row>
    <row r="517" spans="4:16" ht="13.2">
      <c r="D517" s="41"/>
      <c r="E517" s="42"/>
      <c r="I517" s="43"/>
      <c r="J517" s="43"/>
      <c r="L517" s="8"/>
      <c r="M517" s="44"/>
      <c r="P517" s="42"/>
    </row>
    <row r="518" spans="4:16" ht="13.2">
      <c r="D518" s="41"/>
      <c r="E518" s="42"/>
      <c r="I518" s="43"/>
      <c r="J518" s="43"/>
      <c r="L518" s="8"/>
      <c r="M518" s="44"/>
      <c r="P518" s="42"/>
    </row>
    <row r="519" spans="4:16" ht="13.2">
      <c r="D519" s="41"/>
      <c r="E519" s="42"/>
      <c r="I519" s="43"/>
      <c r="J519" s="43"/>
      <c r="L519" s="8"/>
      <c r="M519" s="44"/>
      <c r="P519" s="42"/>
    </row>
    <row r="520" spans="4:16" ht="13.2">
      <c r="D520" s="41"/>
      <c r="E520" s="42"/>
      <c r="I520" s="43"/>
      <c r="J520" s="43"/>
      <c r="L520" s="8"/>
      <c r="M520" s="44"/>
      <c r="P520" s="42"/>
    </row>
    <row r="521" spans="4:16" ht="13.2">
      <c r="D521" s="41"/>
      <c r="E521" s="42"/>
      <c r="I521" s="43"/>
      <c r="J521" s="43"/>
      <c r="L521" s="8"/>
      <c r="M521" s="44"/>
      <c r="P521" s="42"/>
    </row>
    <row r="522" spans="4:16" ht="13.2">
      <c r="D522" s="41"/>
      <c r="E522" s="42"/>
      <c r="I522" s="43"/>
      <c r="J522" s="43"/>
      <c r="L522" s="8"/>
      <c r="M522" s="44"/>
      <c r="P522" s="42"/>
    </row>
    <row r="523" spans="4:16" ht="13.2">
      <c r="D523" s="41"/>
      <c r="E523" s="42"/>
      <c r="I523" s="43"/>
      <c r="J523" s="43"/>
      <c r="L523" s="8"/>
      <c r="M523" s="44"/>
      <c r="P523" s="42"/>
    </row>
    <row r="524" spans="4:16" ht="13.2">
      <c r="D524" s="41"/>
      <c r="E524" s="42"/>
      <c r="I524" s="43"/>
      <c r="J524" s="43"/>
      <c r="L524" s="8"/>
      <c r="M524" s="44"/>
      <c r="P524" s="42"/>
    </row>
    <row r="525" spans="4:16" ht="13.2">
      <c r="D525" s="41"/>
      <c r="E525" s="42"/>
      <c r="I525" s="43"/>
      <c r="J525" s="43"/>
      <c r="L525" s="8"/>
      <c r="M525" s="44"/>
      <c r="P525" s="42"/>
    </row>
    <row r="526" spans="4:16" ht="13.2">
      <c r="D526" s="41"/>
      <c r="E526" s="42"/>
      <c r="I526" s="43"/>
      <c r="J526" s="43"/>
      <c r="L526" s="8"/>
      <c r="M526" s="44"/>
      <c r="P526" s="42"/>
    </row>
    <row r="527" spans="4:16" ht="13.2">
      <c r="D527" s="41"/>
      <c r="E527" s="42"/>
      <c r="I527" s="43"/>
      <c r="J527" s="43"/>
      <c r="L527" s="8"/>
      <c r="M527" s="44"/>
      <c r="P527" s="42"/>
    </row>
    <row r="528" spans="4:16" ht="13.2">
      <c r="D528" s="41"/>
      <c r="E528" s="42"/>
      <c r="I528" s="43"/>
      <c r="J528" s="43"/>
      <c r="L528" s="8"/>
      <c r="M528" s="44"/>
      <c r="P528" s="42"/>
    </row>
    <row r="529" spans="4:16" ht="13.2">
      <c r="D529" s="41"/>
      <c r="E529" s="42"/>
      <c r="I529" s="43"/>
      <c r="J529" s="43"/>
      <c r="L529" s="8"/>
      <c r="M529" s="44"/>
      <c r="P529" s="42"/>
    </row>
    <row r="530" spans="4:16" ht="13.2">
      <c r="D530" s="41"/>
      <c r="E530" s="42"/>
      <c r="I530" s="43"/>
      <c r="J530" s="43"/>
      <c r="L530" s="8"/>
      <c r="M530" s="44"/>
      <c r="P530" s="42"/>
    </row>
    <row r="531" spans="4:16" ht="13.2">
      <c r="D531" s="41"/>
      <c r="E531" s="42"/>
      <c r="I531" s="43"/>
      <c r="J531" s="43"/>
      <c r="L531" s="8"/>
      <c r="M531" s="44"/>
      <c r="P531" s="42"/>
    </row>
    <row r="532" spans="4:16" ht="13.2">
      <c r="D532" s="41"/>
      <c r="E532" s="42"/>
      <c r="I532" s="43"/>
      <c r="J532" s="43"/>
      <c r="L532" s="8"/>
      <c r="M532" s="44"/>
      <c r="P532" s="42"/>
    </row>
    <row r="533" spans="4:16" ht="13.2">
      <c r="D533" s="41"/>
      <c r="E533" s="42"/>
      <c r="I533" s="43"/>
      <c r="J533" s="43"/>
      <c r="L533" s="8"/>
      <c r="M533" s="44"/>
      <c r="P533" s="42"/>
    </row>
    <row r="534" spans="4:16" ht="13.2">
      <c r="D534" s="41"/>
      <c r="E534" s="42"/>
      <c r="I534" s="43"/>
      <c r="J534" s="43"/>
      <c r="L534" s="8"/>
      <c r="M534" s="44"/>
      <c r="P534" s="42"/>
    </row>
    <row r="535" spans="4:16" ht="13.2">
      <c r="D535" s="41"/>
      <c r="E535" s="42"/>
      <c r="I535" s="43"/>
      <c r="J535" s="43"/>
      <c r="L535" s="8"/>
      <c r="M535" s="44"/>
      <c r="P535" s="42"/>
    </row>
    <row r="536" spans="4:16" ht="13.2">
      <c r="D536" s="41"/>
      <c r="E536" s="42"/>
      <c r="I536" s="43"/>
      <c r="J536" s="43"/>
      <c r="L536" s="8"/>
      <c r="M536" s="44"/>
      <c r="P536" s="42"/>
    </row>
    <row r="537" spans="4:16" ht="13.2">
      <c r="D537" s="41"/>
      <c r="E537" s="42"/>
      <c r="I537" s="43"/>
      <c r="J537" s="43"/>
      <c r="L537" s="8"/>
      <c r="M537" s="44"/>
      <c r="P537" s="42"/>
    </row>
    <row r="538" spans="4:16" ht="13.2">
      <c r="D538" s="41"/>
      <c r="E538" s="42"/>
      <c r="I538" s="43"/>
      <c r="J538" s="43"/>
      <c r="L538" s="8"/>
      <c r="M538" s="44"/>
      <c r="P538" s="42"/>
    </row>
    <row r="539" spans="4:16" ht="13.2">
      <c r="D539" s="41"/>
      <c r="E539" s="42"/>
      <c r="I539" s="43"/>
      <c r="J539" s="43"/>
      <c r="L539" s="8"/>
      <c r="M539" s="44"/>
      <c r="P539" s="42"/>
    </row>
    <row r="540" spans="4:16" ht="13.2">
      <c r="D540" s="41"/>
      <c r="E540" s="42"/>
      <c r="I540" s="43"/>
      <c r="J540" s="43"/>
      <c r="L540" s="8"/>
      <c r="M540" s="44"/>
      <c r="P540" s="42"/>
    </row>
    <row r="541" spans="4:16" ht="13.2">
      <c r="D541" s="41"/>
      <c r="E541" s="42"/>
      <c r="I541" s="43"/>
      <c r="J541" s="43"/>
      <c r="L541" s="8"/>
      <c r="M541" s="44"/>
      <c r="P541" s="42"/>
    </row>
    <row r="542" spans="4:16" ht="13.2">
      <c r="D542" s="41"/>
      <c r="E542" s="42"/>
      <c r="I542" s="43"/>
      <c r="J542" s="43"/>
      <c r="L542" s="8"/>
      <c r="M542" s="44"/>
      <c r="P542" s="42"/>
    </row>
    <row r="543" spans="4:16" ht="13.2">
      <c r="D543" s="41"/>
      <c r="E543" s="42"/>
      <c r="I543" s="43"/>
      <c r="J543" s="43"/>
      <c r="L543" s="8"/>
      <c r="M543" s="44"/>
      <c r="P543" s="42"/>
    </row>
    <row r="544" spans="4:16" ht="13.2">
      <c r="D544" s="41"/>
      <c r="E544" s="42"/>
      <c r="I544" s="43"/>
      <c r="J544" s="43"/>
      <c r="L544" s="8"/>
      <c r="M544" s="44"/>
      <c r="P544" s="42"/>
    </row>
    <row r="545" spans="4:16" ht="13.2">
      <c r="D545" s="41"/>
      <c r="E545" s="42"/>
      <c r="I545" s="43"/>
      <c r="J545" s="43"/>
      <c r="L545" s="8"/>
      <c r="M545" s="44"/>
      <c r="P545" s="42"/>
    </row>
    <row r="546" spans="4:16" ht="13.2">
      <c r="D546" s="41"/>
      <c r="E546" s="42"/>
      <c r="I546" s="43"/>
      <c r="J546" s="43"/>
      <c r="L546" s="8"/>
      <c r="M546" s="44"/>
      <c r="P546" s="42"/>
    </row>
    <row r="547" spans="4:16" ht="13.2">
      <c r="D547" s="41"/>
      <c r="E547" s="42"/>
      <c r="I547" s="43"/>
      <c r="J547" s="43"/>
      <c r="L547" s="8"/>
      <c r="M547" s="44"/>
      <c r="P547" s="42"/>
    </row>
    <row r="548" spans="4:16" ht="13.2">
      <c r="D548" s="41"/>
      <c r="E548" s="42"/>
      <c r="I548" s="43"/>
      <c r="J548" s="43"/>
      <c r="L548" s="8"/>
      <c r="M548" s="44"/>
      <c r="P548" s="42"/>
    </row>
    <row r="549" spans="4:16" ht="13.2">
      <c r="D549" s="41"/>
      <c r="E549" s="42"/>
      <c r="I549" s="43"/>
      <c r="J549" s="43"/>
      <c r="L549" s="8"/>
      <c r="M549" s="44"/>
      <c r="P549" s="42"/>
    </row>
    <row r="550" spans="4:16" ht="13.2">
      <c r="D550" s="41"/>
      <c r="E550" s="42"/>
      <c r="I550" s="43"/>
      <c r="J550" s="43"/>
      <c r="L550" s="8"/>
      <c r="M550" s="44"/>
      <c r="P550" s="42"/>
    </row>
    <row r="551" spans="4:16" ht="13.2">
      <c r="D551" s="41"/>
      <c r="E551" s="42"/>
      <c r="I551" s="43"/>
      <c r="J551" s="43"/>
      <c r="L551" s="8"/>
      <c r="M551" s="44"/>
      <c r="P551" s="42"/>
    </row>
    <row r="552" spans="4:16" ht="13.2">
      <c r="D552" s="41"/>
      <c r="E552" s="42"/>
      <c r="I552" s="43"/>
      <c r="J552" s="43"/>
      <c r="L552" s="8"/>
      <c r="M552" s="44"/>
      <c r="P552" s="42"/>
    </row>
    <row r="553" spans="4:16" ht="13.2">
      <c r="D553" s="41"/>
      <c r="E553" s="42"/>
      <c r="I553" s="43"/>
      <c r="J553" s="43"/>
      <c r="L553" s="8"/>
      <c r="M553" s="44"/>
      <c r="P553" s="42"/>
    </row>
    <row r="554" spans="4:16" ht="13.2">
      <c r="D554" s="41"/>
      <c r="E554" s="42"/>
      <c r="I554" s="43"/>
      <c r="J554" s="43"/>
      <c r="L554" s="8"/>
      <c r="M554" s="44"/>
      <c r="P554" s="42"/>
    </row>
    <row r="555" spans="4:16" ht="13.2">
      <c r="D555" s="41"/>
      <c r="E555" s="42"/>
      <c r="I555" s="43"/>
      <c r="J555" s="43"/>
      <c r="L555" s="8"/>
      <c r="M555" s="44"/>
      <c r="P555" s="42"/>
    </row>
    <row r="556" spans="4:16" ht="13.2">
      <c r="D556" s="41"/>
      <c r="E556" s="42"/>
      <c r="I556" s="43"/>
      <c r="J556" s="43"/>
      <c r="L556" s="8"/>
      <c r="M556" s="44"/>
      <c r="P556" s="42"/>
    </row>
    <row r="557" spans="4:16" ht="13.2">
      <c r="D557" s="41"/>
      <c r="E557" s="42"/>
      <c r="I557" s="43"/>
      <c r="J557" s="43"/>
      <c r="L557" s="8"/>
      <c r="M557" s="44"/>
      <c r="P557" s="42"/>
    </row>
    <row r="558" spans="4:16" ht="13.2">
      <c r="D558" s="41"/>
      <c r="E558" s="42"/>
      <c r="I558" s="43"/>
      <c r="J558" s="43"/>
      <c r="L558" s="8"/>
      <c r="M558" s="44"/>
      <c r="P558" s="42"/>
    </row>
    <row r="559" spans="4:16" ht="13.2">
      <c r="D559" s="41"/>
      <c r="E559" s="42"/>
      <c r="I559" s="43"/>
      <c r="J559" s="43"/>
      <c r="L559" s="8"/>
      <c r="M559" s="44"/>
      <c r="P559" s="42"/>
    </row>
    <row r="560" spans="4:16" ht="13.2">
      <c r="D560" s="41"/>
      <c r="E560" s="42"/>
      <c r="I560" s="43"/>
      <c r="J560" s="43"/>
      <c r="L560" s="8"/>
      <c r="M560" s="44"/>
      <c r="P560" s="42"/>
    </row>
    <row r="561" spans="4:16" ht="13.2">
      <c r="D561" s="41"/>
      <c r="E561" s="42"/>
      <c r="I561" s="43"/>
      <c r="J561" s="43"/>
      <c r="L561" s="8"/>
      <c r="M561" s="44"/>
      <c r="P561" s="42"/>
    </row>
    <row r="562" spans="4:16" ht="13.2">
      <c r="D562" s="41"/>
      <c r="E562" s="42"/>
      <c r="I562" s="43"/>
      <c r="J562" s="43"/>
      <c r="L562" s="8"/>
      <c r="M562" s="44"/>
      <c r="P562" s="42"/>
    </row>
    <row r="563" spans="4:16" ht="13.2">
      <c r="D563" s="41"/>
      <c r="E563" s="42"/>
      <c r="I563" s="43"/>
      <c r="J563" s="43"/>
      <c r="L563" s="8"/>
      <c r="M563" s="44"/>
      <c r="P563" s="42"/>
    </row>
    <row r="564" spans="4:16" ht="13.2">
      <c r="D564" s="41"/>
      <c r="E564" s="42"/>
      <c r="I564" s="43"/>
      <c r="J564" s="43"/>
      <c r="L564" s="8"/>
      <c r="M564" s="44"/>
      <c r="P564" s="42"/>
    </row>
    <row r="565" spans="4:16" ht="13.2">
      <c r="D565" s="41"/>
      <c r="E565" s="42"/>
      <c r="I565" s="43"/>
      <c r="J565" s="43"/>
      <c r="L565" s="8"/>
      <c r="M565" s="44"/>
      <c r="P565" s="42"/>
    </row>
    <row r="566" spans="4:16" ht="13.2">
      <c r="D566" s="41"/>
      <c r="E566" s="42"/>
      <c r="I566" s="43"/>
      <c r="J566" s="43"/>
      <c r="L566" s="8"/>
      <c r="M566" s="44"/>
      <c r="P566" s="42"/>
    </row>
    <row r="567" spans="4:16" ht="13.2">
      <c r="D567" s="41"/>
      <c r="E567" s="42"/>
      <c r="I567" s="43"/>
      <c r="J567" s="43"/>
      <c r="L567" s="8"/>
      <c r="M567" s="44"/>
      <c r="P567" s="42"/>
    </row>
    <row r="568" spans="4:16" ht="13.2">
      <c r="D568" s="41"/>
      <c r="E568" s="42"/>
      <c r="I568" s="43"/>
      <c r="J568" s="43"/>
      <c r="L568" s="8"/>
      <c r="M568" s="44"/>
      <c r="P568" s="42"/>
    </row>
    <row r="569" spans="4:16" ht="13.2">
      <c r="D569" s="41"/>
      <c r="E569" s="42"/>
      <c r="I569" s="43"/>
      <c r="J569" s="43"/>
      <c r="L569" s="8"/>
      <c r="M569" s="44"/>
      <c r="P569" s="42"/>
    </row>
    <row r="570" spans="4:16" ht="13.2">
      <c r="D570" s="41"/>
      <c r="E570" s="42"/>
      <c r="I570" s="43"/>
      <c r="J570" s="43"/>
      <c r="L570" s="8"/>
      <c r="M570" s="44"/>
      <c r="P570" s="42"/>
    </row>
    <row r="571" spans="4:16" ht="13.2">
      <c r="D571" s="41"/>
      <c r="E571" s="42"/>
      <c r="I571" s="43"/>
      <c r="J571" s="43"/>
      <c r="L571" s="8"/>
      <c r="M571" s="44"/>
      <c r="P571" s="42"/>
    </row>
    <row r="572" spans="4:16" ht="13.2">
      <c r="D572" s="41"/>
      <c r="E572" s="42"/>
      <c r="I572" s="43"/>
      <c r="J572" s="43"/>
      <c r="L572" s="8"/>
      <c r="M572" s="44"/>
      <c r="P572" s="42"/>
    </row>
    <row r="573" spans="4:16" ht="13.2">
      <c r="D573" s="41"/>
      <c r="E573" s="42"/>
      <c r="I573" s="43"/>
      <c r="J573" s="43"/>
      <c r="L573" s="8"/>
      <c r="M573" s="44"/>
      <c r="P573" s="42"/>
    </row>
    <row r="574" spans="4:16" ht="13.2">
      <c r="D574" s="41"/>
      <c r="E574" s="42"/>
      <c r="I574" s="43"/>
      <c r="J574" s="43"/>
      <c r="L574" s="8"/>
      <c r="M574" s="44"/>
      <c r="P574" s="42"/>
    </row>
    <row r="575" spans="4:16" ht="13.2">
      <c r="D575" s="41"/>
      <c r="E575" s="42"/>
      <c r="I575" s="43"/>
      <c r="J575" s="43"/>
      <c r="L575" s="8"/>
      <c r="M575" s="44"/>
      <c r="P575" s="42"/>
    </row>
    <row r="576" spans="4:16" ht="13.2">
      <c r="D576" s="41"/>
      <c r="E576" s="42"/>
      <c r="I576" s="43"/>
      <c r="J576" s="43"/>
      <c r="L576" s="8"/>
      <c r="M576" s="44"/>
      <c r="P576" s="42"/>
    </row>
    <row r="577" spans="4:16" ht="13.2">
      <c r="D577" s="41"/>
      <c r="E577" s="42"/>
      <c r="I577" s="43"/>
      <c r="J577" s="43"/>
      <c r="L577" s="8"/>
      <c r="M577" s="44"/>
      <c r="P577" s="42"/>
    </row>
    <row r="578" spans="4:16" ht="13.2">
      <c r="D578" s="41"/>
      <c r="E578" s="42"/>
      <c r="I578" s="43"/>
      <c r="J578" s="43"/>
      <c r="L578" s="8"/>
      <c r="M578" s="44"/>
      <c r="P578" s="42"/>
    </row>
    <row r="579" spans="4:16" ht="13.2">
      <c r="D579" s="41"/>
      <c r="E579" s="42"/>
      <c r="I579" s="43"/>
      <c r="J579" s="43"/>
      <c r="L579" s="8"/>
      <c r="M579" s="44"/>
      <c r="P579" s="42"/>
    </row>
    <row r="580" spans="4:16" ht="13.2">
      <c r="D580" s="41"/>
      <c r="E580" s="42"/>
      <c r="I580" s="43"/>
      <c r="J580" s="43"/>
      <c r="L580" s="8"/>
      <c r="M580" s="44"/>
      <c r="P580" s="42"/>
    </row>
    <row r="581" spans="4:16" ht="13.2">
      <c r="D581" s="41"/>
      <c r="E581" s="42"/>
      <c r="I581" s="43"/>
      <c r="J581" s="43"/>
      <c r="L581" s="8"/>
      <c r="M581" s="44"/>
      <c r="P581" s="42"/>
    </row>
    <row r="582" spans="4:16" ht="13.2">
      <c r="D582" s="41"/>
      <c r="E582" s="42"/>
      <c r="I582" s="43"/>
      <c r="J582" s="43"/>
      <c r="L582" s="8"/>
      <c r="M582" s="44"/>
      <c r="P582" s="42"/>
    </row>
    <row r="583" spans="4:16" ht="13.2">
      <c r="D583" s="41"/>
      <c r="E583" s="42"/>
      <c r="I583" s="43"/>
      <c r="J583" s="43"/>
      <c r="L583" s="8"/>
      <c r="M583" s="44"/>
      <c r="P583" s="42"/>
    </row>
    <row r="584" spans="4:16" ht="13.2">
      <c r="D584" s="41"/>
      <c r="E584" s="42"/>
      <c r="I584" s="43"/>
      <c r="J584" s="43"/>
      <c r="L584" s="8"/>
      <c r="M584" s="44"/>
      <c r="P584" s="42"/>
    </row>
    <row r="585" spans="4:16" ht="13.2">
      <c r="D585" s="41"/>
      <c r="E585" s="42"/>
      <c r="I585" s="43"/>
      <c r="J585" s="43"/>
      <c r="L585" s="8"/>
      <c r="M585" s="44"/>
      <c r="P585" s="42"/>
    </row>
    <row r="586" spans="4:16" ht="13.2">
      <c r="D586" s="41"/>
      <c r="E586" s="42"/>
      <c r="I586" s="43"/>
      <c r="J586" s="43"/>
      <c r="L586" s="8"/>
      <c r="M586" s="44"/>
      <c r="P586" s="42"/>
    </row>
    <row r="587" spans="4:16" ht="13.2">
      <c r="D587" s="41"/>
      <c r="E587" s="42"/>
      <c r="I587" s="43"/>
      <c r="J587" s="43"/>
      <c r="L587" s="8"/>
      <c r="M587" s="44"/>
      <c r="P587" s="42"/>
    </row>
    <row r="588" spans="4:16" ht="13.2">
      <c r="D588" s="41"/>
      <c r="E588" s="42"/>
      <c r="I588" s="43"/>
      <c r="J588" s="43"/>
      <c r="L588" s="8"/>
      <c r="M588" s="44"/>
      <c r="P588" s="42"/>
    </row>
    <row r="589" spans="4:16" ht="13.2">
      <c r="D589" s="41"/>
      <c r="E589" s="42"/>
      <c r="I589" s="43"/>
      <c r="J589" s="43"/>
      <c r="L589" s="8"/>
      <c r="M589" s="44"/>
      <c r="P589" s="42"/>
    </row>
    <row r="590" spans="4:16" ht="13.2">
      <c r="D590" s="41"/>
      <c r="E590" s="42"/>
      <c r="I590" s="43"/>
      <c r="J590" s="43"/>
      <c r="L590" s="8"/>
      <c r="M590" s="44"/>
      <c r="P590" s="42"/>
    </row>
    <row r="591" spans="4:16" ht="13.2">
      <c r="D591" s="41"/>
      <c r="E591" s="42"/>
      <c r="I591" s="43"/>
      <c r="J591" s="43"/>
      <c r="L591" s="8"/>
      <c r="M591" s="44"/>
      <c r="P591" s="42"/>
    </row>
    <row r="592" spans="4:16" ht="13.2">
      <c r="D592" s="41"/>
      <c r="E592" s="42"/>
      <c r="I592" s="43"/>
      <c r="J592" s="43"/>
      <c r="L592" s="8"/>
      <c r="M592" s="44"/>
      <c r="P592" s="42"/>
    </row>
    <row r="593" spans="4:16" ht="13.2">
      <c r="D593" s="41"/>
      <c r="E593" s="42"/>
      <c r="I593" s="43"/>
      <c r="J593" s="43"/>
      <c r="L593" s="8"/>
      <c r="M593" s="44"/>
      <c r="P593" s="42"/>
    </row>
    <row r="594" spans="4:16" ht="13.2">
      <c r="D594" s="41"/>
      <c r="E594" s="42"/>
      <c r="I594" s="43"/>
      <c r="J594" s="43"/>
      <c r="L594" s="8"/>
      <c r="M594" s="44"/>
      <c r="P594" s="42"/>
    </row>
    <row r="595" spans="4:16" ht="13.2">
      <c r="D595" s="41"/>
      <c r="E595" s="42"/>
      <c r="I595" s="43"/>
      <c r="J595" s="43"/>
      <c r="L595" s="8"/>
      <c r="M595" s="44"/>
      <c r="P595" s="42"/>
    </row>
    <row r="596" spans="4:16" ht="13.2">
      <c r="D596" s="41"/>
      <c r="E596" s="42"/>
      <c r="I596" s="43"/>
      <c r="J596" s="43"/>
      <c r="L596" s="8"/>
      <c r="M596" s="44"/>
      <c r="P596" s="42"/>
    </row>
    <row r="597" spans="4:16" ht="13.2">
      <c r="D597" s="41"/>
      <c r="E597" s="42"/>
      <c r="I597" s="43"/>
      <c r="J597" s="43"/>
      <c r="L597" s="8"/>
      <c r="M597" s="44"/>
      <c r="P597" s="42"/>
    </row>
    <row r="598" spans="4:16" ht="13.2">
      <c r="D598" s="41"/>
      <c r="E598" s="42"/>
      <c r="I598" s="43"/>
      <c r="J598" s="43"/>
      <c r="L598" s="8"/>
      <c r="M598" s="44"/>
      <c r="P598" s="42"/>
    </row>
    <row r="599" spans="4:16" ht="13.2">
      <c r="D599" s="41"/>
      <c r="E599" s="42"/>
      <c r="I599" s="43"/>
      <c r="J599" s="43"/>
      <c r="L599" s="8"/>
      <c r="M599" s="44"/>
      <c r="P599" s="42"/>
    </row>
    <row r="600" spans="4:16" ht="13.2">
      <c r="D600" s="41"/>
      <c r="E600" s="42"/>
      <c r="I600" s="43"/>
      <c r="J600" s="43"/>
      <c r="L600" s="8"/>
      <c r="M600" s="44"/>
      <c r="P600" s="42"/>
    </row>
    <row r="601" spans="4:16" ht="13.2">
      <c r="D601" s="41"/>
      <c r="E601" s="42"/>
      <c r="I601" s="43"/>
      <c r="J601" s="43"/>
      <c r="L601" s="8"/>
      <c r="M601" s="44"/>
      <c r="P601" s="42"/>
    </row>
    <row r="602" spans="4:16" ht="13.2">
      <c r="D602" s="41"/>
      <c r="E602" s="42"/>
      <c r="I602" s="43"/>
      <c r="J602" s="43"/>
      <c r="L602" s="8"/>
      <c r="M602" s="44"/>
      <c r="P602" s="42"/>
    </row>
    <row r="603" spans="4:16" ht="13.2">
      <c r="D603" s="41"/>
      <c r="E603" s="42"/>
      <c r="I603" s="43"/>
      <c r="J603" s="43"/>
      <c r="L603" s="8"/>
      <c r="M603" s="44"/>
      <c r="P603" s="42"/>
    </row>
    <row r="604" spans="4:16" ht="13.2">
      <c r="D604" s="41"/>
      <c r="E604" s="42"/>
      <c r="I604" s="43"/>
      <c r="J604" s="43"/>
      <c r="L604" s="8"/>
      <c r="M604" s="44"/>
      <c r="P604" s="42"/>
    </row>
    <row r="605" spans="4:16" ht="13.2">
      <c r="D605" s="41"/>
      <c r="E605" s="42"/>
      <c r="I605" s="43"/>
      <c r="J605" s="43"/>
      <c r="L605" s="8"/>
      <c r="M605" s="44"/>
      <c r="P605" s="42"/>
    </row>
    <row r="606" spans="4:16" ht="13.2">
      <c r="D606" s="41"/>
      <c r="E606" s="42"/>
      <c r="I606" s="43"/>
      <c r="J606" s="43"/>
      <c r="L606" s="8"/>
      <c r="M606" s="44"/>
      <c r="P606" s="42"/>
    </row>
    <row r="607" spans="4:16" ht="13.2">
      <c r="D607" s="41"/>
      <c r="E607" s="42"/>
      <c r="I607" s="43"/>
      <c r="J607" s="43"/>
      <c r="L607" s="8"/>
      <c r="M607" s="44"/>
      <c r="P607" s="42"/>
    </row>
    <row r="608" spans="4:16" ht="13.2">
      <c r="D608" s="41"/>
      <c r="E608" s="42"/>
      <c r="I608" s="43"/>
      <c r="J608" s="43"/>
      <c r="L608" s="8"/>
      <c r="M608" s="44"/>
      <c r="P608" s="42"/>
    </row>
    <row r="609" spans="4:16" ht="13.2">
      <c r="D609" s="41"/>
      <c r="E609" s="42"/>
      <c r="I609" s="43"/>
      <c r="J609" s="43"/>
      <c r="L609" s="8"/>
      <c r="M609" s="44"/>
      <c r="P609" s="42"/>
    </row>
    <row r="610" spans="4:16" ht="13.2">
      <c r="D610" s="41"/>
      <c r="E610" s="42"/>
      <c r="I610" s="43"/>
      <c r="J610" s="43"/>
      <c r="L610" s="8"/>
      <c r="M610" s="44"/>
      <c r="P610" s="42"/>
    </row>
    <row r="611" spans="4:16" ht="13.2">
      <c r="D611" s="41"/>
      <c r="E611" s="42"/>
      <c r="I611" s="43"/>
      <c r="J611" s="43"/>
      <c r="L611" s="8"/>
      <c r="M611" s="44"/>
      <c r="P611" s="42"/>
    </row>
    <row r="612" spans="4:16" ht="13.2">
      <c r="D612" s="41"/>
      <c r="E612" s="42"/>
      <c r="I612" s="43"/>
      <c r="J612" s="43"/>
      <c r="L612" s="8"/>
      <c r="M612" s="44"/>
      <c r="P612" s="42"/>
    </row>
    <row r="613" spans="4:16" ht="13.2">
      <c r="D613" s="41"/>
      <c r="E613" s="42"/>
      <c r="I613" s="43"/>
      <c r="J613" s="43"/>
      <c r="L613" s="8"/>
      <c r="M613" s="44"/>
      <c r="P613" s="42"/>
    </row>
    <row r="614" spans="4:16" ht="13.2">
      <c r="D614" s="41"/>
      <c r="E614" s="42"/>
      <c r="I614" s="43"/>
      <c r="J614" s="43"/>
      <c r="L614" s="8"/>
      <c r="M614" s="44"/>
      <c r="P614" s="42"/>
    </row>
    <row r="615" spans="4:16" ht="13.2">
      <c r="D615" s="41"/>
      <c r="E615" s="42"/>
      <c r="I615" s="43"/>
      <c r="J615" s="43"/>
      <c r="L615" s="8"/>
      <c r="M615" s="44"/>
      <c r="P615" s="42"/>
    </row>
    <row r="616" spans="4:16" ht="13.2">
      <c r="D616" s="41"/>
      <c r="E616" s="42"/>
      <c r="I616" s="43"/>
      <c r="J616" s="43"/>
      <c r="L616" s="8"/>
      <c r="M616" s="44"/>
      <c r="P616" s="42"/>
    </row>
    <row r="617" spans="4:16" ht="13.2">
      <c r="D617" s="41"/>
      <c r="E617" s="42"/>
      <c r="I617" s="43"/>
      <c r="J617" s="43"/>
      <c r="L617" s="8"/>
      <c r="M617" s="44"/>
      <c r="P617" s="42"/>
    </row>
    <row r="618" spans="4:16" ht="13.2">
      <c r="D618" s="41"/>
      <c r="E618" s="42"/>
      <c r="I618" s="43"/>
      <c r="J618" s="43"/>
      <c r="L618" s="8"/>
      <c r="M618" s="44"/>
      <c r="P618" s="42"/>
    </row>
    <row r="619" spans="4:16" ht="13.2">
      <c r="D619" s="41"/>
      <c r="E619" s="42"/>
      <c r="I619" s="43"/>
      <c r="J619" s="43"/>
      <c r="L619" s="8"/>
      <c r="M619" s="44"/>
      <c r="P619" s="42"/>
    </row>
    <row r="620" spans="4:16" ht="13.2">
      <c r="D620" s="41"/>
      <c r="E620" s="42"/>
      <c r="I620" s="43"/>
      <c r="J620" s="43"/>
      <c r="L620" s="8"/>
      <c r="M620" s="44"/>
      <c r="P620" s="42"/>
    </row>
    <row r="621" spans="4:16" ht="13.2">
      <c r="D621" s="41"/>
      <c r="E621" s="42"/>
      <c r="I621" s="43"/>
      <c r="J621" s="43"/>
      <c r="L621" s="8"/>
      <c r="M621" s="44"/>
      <c r="P621" s="42"/>
    </row>
    <row r="622" spans="4:16" ht="13.2">
      <c r="D622" s="41"/>
      <c r="E622" s="42"/>
      <c r="I622" s="43"/>
      <c r="J622" s="43"/>
      <c r="L622" s="8"/>
      <c r="M622" s="44"/>
      <c r="P622" s="42"/>
    </row>
    <row r="623" spans="4:16" ht="13.2">
      <c r="D623" s="41"/>
      <c r="E623" s="42"/>
      <c r="I623" s="43"/>
      <c r="J623" s="43"/>
      <c r="L623" s="8"/>
      <c r="M623" s="44"/>
      <c r="P623" s="42"/>
    </row>
    <row r="624" spans="4:16" ht="13.2">
      <c r="D624" s="41"/>
      <c r="E624" s="42"/>
      <c r="I624" s="43"/>
      <c r="J624" s="43"/>
      <c r="L624" s="8"/>
      <c r="M624" s="44"/>
      <c r="P624" s="42"/>
    </row>
    <row r="625" spans="4:16" ht="13.2">
      <c r="D625" s="41"/>
      <c r="E625" s="42"/>
      <c r="I625" s="43"/>
      <c r="J625" s="43"/>
      <c r="L625" s="8"/>
      <c r="M625" s="44"/>
      <c r="P625" s="42"/>
    </row>
    <row r="626" spans="4:16" ht="13.2">
      <c r="D626" s="41"/>
      <c r="E626" s="42"/>
      <c r="I626" s="43"/>
      <c r="J626" s="43"/>
      <c r="L626" s="8"/>
      <c r="M626" s="44"/>
      <c r="P626" s="42"/>
    </row>
    <row r="627" spans="4:16" ht="13.2">
      <c r="D627" s="41"/>
      <c r="E627" s="42"/>
      <c r="I627" s="43"/>
      <c r="J627" s="43"/>
      <c r="L627" s="8"/>
      <c r="M627" s="44"/>
      <c r="P627" s="42"/>
    </row>
    <row r="628" spans="4:16" ht="13.2">
      <c r="D628" s="41"/>
      <c r="E628" s="42"/>
      <c r="I628" s="43"/>
      <c r="J628" s="43"/>
      <c r="L628" s="8"/>
      <c r="M628" s="44"/>
      <c r="P628" s="42"/>
    </row>
    <row r="629" spans="4:16" ht="13.2">
      <c r="D629" s="41"/>
      <c r="E629" s="42"/>
      <c r="I629" s="43"/>
      <c r="J629" s="43"/>
      <c r="L629" s="8"/>
      <c r="M629" s="44"/>
      <c r="P629" s="42"/>
    </row>
    <row r="630" spans="4:16" ht="13.2">
      <c r="D630" s="41"/>
      <c r="E630" s="42"/>
      <c r="I630" s="43"/>
      <c r="J630" s="43"/>
      <c r="L630" s="8"/>
      <c r="M630" s="44"/>
      <c r="P630" s="42"/>
    </row>
    <row r="631" spans="4:16" ht="13.2">
      <c r="D631" s="41"/>
      <c r="E631" s="42"/>
      <c r="I631" s="43"/>
      <c r="J631" s="43"/>
      <c r="L631" s="8"/>
      <c r="M631" s="44"/>
      <c r="P631" s="42"/>
    </row>
    <row r="632" spans="4:16" ht="13.2">
      <c r="D632" s="41"/>
      <c r="E632" s="42"/>
      <c r="I632" s="43"/>
      <c r="J632" s="43"/>
      <c r="L632" s="8"/>
      <c r="M632" s="44"/>
      <c r="P632" s="42"/>
    </row>
    <row r="633" spans="4:16" ht="13.2">
      <c r="D633" s="41"/>
      <c r="E633" s="42"/>
      <c r="I633" s="43"/>
      <c r="J633" s="43"/>
      <c r="L633" s="8"/>
      <c r="M633" s="44"/>
      <c r="P633" s="42"/>
    </row>
    <row r="634" spans="4:16" ht="13.2">
      <c r="D634" s="41"/>
      <c r="E634" s="42"/>
      <c r="I634" s="43"/>
      <c r="J634" s="43"/>
      <c r="L634" s="8"/>
      <c r="M634" s="44"/>
      <c r="P634" s="42"/>
    </row>
    <row r="635" spans="4:16" ht="13.2">
      <c r="D635" s="41"/>
      <c r="E635" s="42"/>
      <c r="I635" s="43"/>
      <c r="J635" s="43"/>
      <c r="L635" s="8"/>
      <c r="M635" s="44"/>
      <c r="P635" s="42"/>
    </row>
    <row r="636" spans="4:16" ht="13.2">
      <c r="D636" s="41"/>
      <c r="E636" s="42"/>
      <c r="I636" s="43"/>
      <c r="J636" s="43"/>
      <c r="L636" s="8"/>
      <c r="M636" s="44"/>
      <c r="P636" s="42"/>
    </row>
    <row r="637" spans="4:16" ht="13.2">
      <c r="D637" s="41"/>
      <c r="E637" s="42"/>
      <c r="I637" s="43"/>
      <c r="J637" s="43"/>
      <c r="L637" s="8"/>
      <c r="M637" s="44"/>
      <c r="P637" s="42"/>
    </row>
    <row r="638" spans="4:16" ht="13.2">
      <c r="D638" s="41"/>
      <c r="E638" s="42"/>
      <c r="I638" s="43"/>
      <c r="J638" s="43"/>
      <c r="L638" s="8"/>
      <c r="M638" s="44"/>
      <c r="P638" s="42"/>
    </row>
    <row r="639" spans="4:16" ht="13.2">
      <c r="D639" s="41"/>
      <c r="E639" s="42"/>
      <c r="I639" s="43"/>
      <c r="J639" s="43"/>
      <c r="L639" s="8"/>
      <c r="M639" s="44"/>
      <c r="P639" s="42"/>
    </row>
    <row r="640" spans="4:16" ht="13.2">
      <c r="D640" s="41"/>
      <c r="E640" s="42"/>
      <c r="I640" s="43"/>
      <c r="J640" s="43"/>
      <c r="L640" s="8"/>
      <c r="M640" s="44"/>
      <c r="P640" s="42"/>
    </row>
    <row r="641" spans="4:16" ht="13.2">
      <c r="D641" s="41"/>
      <c r="E641" s="42"/>
      <c r="I641" s="43"/>
      <c r="J641" s="43"/>
      <c r="L641" s="8"/>
      <c r="M641" s="44"/>
      <c r="P641" s="42"/>
    </row>
    <row r="642" spans="4:16" ht="13.2">
      <c r="D642" s="41"/>
      <c r="E642" s="42"/>
      <c r="I642" s="43"/>
      <c r="J642" s="43"/>
      <c r="L642" s="8"/>
      <c r="M642" s="44"/>
      <c r="P642" s="42"/>
    </row>
    <row r="643" spans="4:16" ht="13.2">
      <c r="D643" s="41"/>
      <c r="E643" s="42"/>
      <c r="I643" s="43"/>
      <c r="J643" s="43"/>
      <c r="L643" s="8"/>
      <c r="M643" s="44"/>
      <c r="P643" s="42"/>
    </row>
    <row r="644" spans="4:16" ht="13.2">
      <c r="D644" s="41"/>
      <c r="E644" s="42"/>
      <c r="I644" s="43"/>
      <c r="J644" s="43"/>
      <c r="L644" s="8"/>
      <c r="M644" s="44"/>
      <c r="P644" s="42"/>
    </row>
    <row r="645" spans="4:16" ht="13.2">
      <c r="D645" s="41"/>
      <c r="E645" s="42"/>
      <c r="I645" s="43"/>
      <c r="J645" s="43"/>
      <c r="L645" s="8"/>
      <c r="M645" s="44"/>
      <c r="P645" s="42"/>
    </row>
    <row r="646" spans="4:16" ht="13.2">
      <c r="D646" s="41"/>
      <c r="E646" s="42"/>
      <c r="I646" s="43"/>
      <c r="J646" s="43"/>
      <c r="L646" s="8"/>
      <c r="M646" s="44"/>
      <c r="P646" s="42"/>
    </row>
    <row r="647" spans="4:16" ht="13.2">
      <c r="D647" s="41"/>
      <c r="E647" s="42"/>
      <c r="I647" s="43"/>
      <c r="J647" s="43"/>
      <c r="L647" s="8"/>
      <c r="M647" s="44"/>
      <c r="P647" s="42"/>
    </row>
    <row r="648" spans="4:16" ht="13.2">
      <c r="D648" s="41"/>
      <c r="E648" s="42"/>
      <c r="I648" s="43"/>
      <c r="J648" s="43"/>
      <c r="L648" s="8"/>
      <c r="M648" s="44"/>
      <c r="P648" s="42"/>
    </row>
    <row r="649" spans="4:16" ht="13.2">
      <c r="D649" s="41"/>
      <c r="E649" s="42"/>
      <c r="I649" s="43"/>
      <c r="J649" s="43"/>
      <c r="L649" s="8"/>
      <c r="M649" s="44"/>
      <c r="P649" s="42"/>
    </row>
    <row r="650" spans="4:16" ht="13.2">
      <c r="D650" s="41"/>
      <c r="E650" s="42"/>
      <c r="I650" s="43"/>
      <c r="J650" s="43"/>
      <c r="L650" s="8"/>
      <c r="M650" s="44"/>
      <c r="P650" s="42"/>
    </row>
    <row r="651" spans="4:16" ht="13.2">
      <c r="D651" s="41"/>
      <c r="E651" s="42"/>
      <c r="I651" s="43"/>
      <c r="J651" s="43"/>
      <c r="L651" s="8"/>
      <c r="M651" s="44"/>
      <c r="P651" s="42"/>
    </row>
    <row r="652" spans="4:16" ht="13.2">
      <c r="D652" s="41"/>
      <c r="E652" s="42"/>
      <c r="I652" s="43"/>
      <c r="J652" s="43"/>
      <c r="L652" s="8"/>
      <c r="M652" s="44"/>
      <c r="P652" s="42"/>
    </row>
    <row r="653" spans="4:16" ht="13.2">
      <c r="D653" s="41"/>
      <c r="E653" s="42"/>
      <c r="I653" s="43"/>
      <c r="J653" s="43"/>
      <c r="L653" s="8"/>
      <c r="M653" s="44"/>
      <c r="P653" s="42"/>
    </row>
    <row r="654" spans="4:16" ht="13.2">
      <c r="D654" s="41"/>
      <c r="E654" s="42"/>
      <c r="I654" s="43"/>
      <c r="J654" s="43"/>
      <c r="L654" s="8"/>
      <c r="M654" s="44"/>
      <c r="P654" s="42"/>
    </row>
    <row r="655" spans="4:16" ht="13.2">
      <c r="D655" s="41"/>
      <c r="E655" s="42"/>
      <c r="I655" s="43"/>
      <c r="J655" s="43"/>
      <c r="L655" s="8"/>
      <c r="M655" s="44"/>
      <c r="P655" s="42"/>
    </row>
    <row r="656" spans="4:16" ht="13.2">
      <c r="D656" s="41"/>
      <c r="E656" s="42"/>
      <c r="I656" s="43"/>
      <c r="J656" s="43"/>
      <c r="L656" s="8"/>
      <c r="M656" s="44"/>
      <c r="P656" s="42"/>
    </row>
    <row r="657" spans="4:16" ht="13.2">
      <c r="D657" s="41"/>
      <c r="E657" s="42"/>
      <c r="I657" s="43"/>
      <c r="J657" s="43"/>
      <c r="L657" s="8"/>
      <c r="M657" s="44"/>
      <c r="P657" s="42"/>
    </row>
    <row r="658" spans="4:16" ht="13.2">
      <c r="D658" s="41"/>
      <c r="E658" s="42"/>
      <c r="I658" s="43"/>
      <c r="J658" s="43"/>
      <c r="L658" s="8"/>
      <c r="M658" s="44"/>
      <c r="P658" s="42"/>
    </row>
    <row r="659" spans="4:16" ht="13.2">
      <c r="D659" s="41"/>
      <c r="E659" s="42"/>
      <c r="I659" s="43"/>
      <c r="J659" s="43"/>
      <c r="L659" s="8"/>
      <c r="M659" s="44"/>
      <c r="P659" s="42"/>
    </row>
    <row r="660" spans="4:16" ht="13.2">
      <c r="D660" s="41"/>
      <c r="E660" s="42"/>
      <c r="I660" s="43"/>
      <c r="J660" s="43"/>
      <c r="L660" s="8"/>
      <c r="M660" s="44"/>
      <c r="P660" s="42"/>
    </row>
    <row r="661" spans="4:16" ht="13.2">
      <c r="D661" s="41"/>
      <c r="E661" s="42"/>
      <c r="I661" s="43"/>
      <c r="J661" s="43"/>
      <c r="L661" s="8"/>
      <c r="M661" s="44"/>
      <c r="P661" s="42"/>
    </row>
    <row r="662" spans="4:16" ht="13.2">
      <c r="D662" s="41"/>
      <c r="E662" s="42"/>
      <c r="I662" s="43"/>
      <c r="J662" s="43"/>
      <c r="L662" s="8"/>
      <c r="M662" s="44"/>
      <c r="P662" s="42"/>
    </row>
    <row r="663" spans="4:16" ht="13.2">
      <c r="D663" s="41"/>
      <c r="E663" s="42"/>
      <c r="I663" s="43"/>
      <c r="J663" s="43"/>
      <c r="L663" s="8"/>
      <c r="M663" s="44"/>
      <c r="P663" s="42"/>
    </row>
    <row r="664" spans="4:16" ht="13.2">
      <c r="D664" s="41"/>
      <c r="E664" s="42"/>
      <c r="I664" s="43"/>
      <c r="J664" s="43"/>
      <c r="L664" s="8"/>
      <c r="M664" s="44"/>
      <c r="P664" s="42"/>
    </row>
    <row r="665" spans="4:16" ht="13.2">
      <c r="D665" s="41"/>
      <c r="E665" s="42"/>
      <c r="I665" s="43"/>
      <c r="J665" s="43"/>
      <c r="L665" s="8"/>
      <c r="M665" s="44"/>
      <c r="P665" s="42"/>
    </row>
    <row r="666" spans="4:16" ht="13.2">
      <c r="D666" s="41"/>
      <c r="E666" s="42"/>
      <c r="I666" s="43"/>
      <c r="J666" s="43"/>
      <c r="L666" s="8"/>
      <c r="M666" s="44"/>
      <c r="P666" s="42"/>
    </row>
    <row r="667" spans="4:16" ht="13.2">
      <c r="D667" s="41"/>
      <c r="E667" s="42"/>
      <c r="I667" s="43"/>
      <c r="J667" s="43"/>
      <c r="L667" s="8"/>
      <c r="M667" s="44"/>
      <c r="P667" s="42"/>
    </row>
    <row r="668" spans="4:16" ht="13.2">
      <c r="D668" s="41"/>
      <c r="E668" s="42"/>
      <c r="I668" s="43"/>
      <c r="J668" s="43"/>
      <c r="L668" s="8"/>
      <c r="M668" s="44"/>
      <c r="P668" s="42"/>
    </row>
    <row r="669" spans="4:16" ht="13.2">
      <c r="D669" s="41"/>
      <c r="E669" s="42"/>
      <c r="I669" s="43"/>
      <c r="J669" s="43"/>
      <c r="L669" s="8"/>
      <c r="M669" s="44"/>
      <c r="P669" s="42"/>
    </row>
    <row r="670" spans="4:16" ht="13.2">
      <c r="D670" s="41"/>
      <c r="E670" s="42"/>
      <c r="I670" s="43"/>
      <c r="J670" s="43"/>
      <c r="L670" s="8"/>
      <c r="M670" s="44"/>
      <c r="P670" s="42"/>
    </row>
    <row r="671" spans="4:16" ht="13.2">
      <c r="D671" s="41"/>
      <c r="E671" s="42"/>
      <c r="I671" s="43"/>
      <c r="J671" s="43"/>
      <c r="L671" s="8"/>
      <c r="M671" s="44"/>
      <c r="P671" s="42"/>
    </row>
    <row r="672" spans="4:16" ht="13.2">
      <c r="D672" s="41"/>
      <c r="E672" s="42"/>
      <c r="I672" s="43"/>
      <c r="J672" s="43"/>
      <c r="L672" s="8"/>
      <c r="M672" s="44"/>
      <c r="P672" s="42"/>
    </row>
    <row r="673" spans="4:16" ht="13.2">
      <c r="D673" s="41"/>
      <c r="E673" s="42"/>
      <c r="I673" s="43"/>
      <c r="J673" s="43"/>
      <c r="L673" s="8"/>
      <c r="M673" s="44"/>
      <c r="P673" s="42"/>
    </row>
    <row r="674" spans="4:16" ht="13.2">
      <c r="D674" s="41"/>
      <c r="E674" s="42"/>
      <c r="I674" s="43"/>
      <c r="J674" s="43"/>
      <c r="L674" s="8"/>
      <c r="M674" s="44"/>
      <c r="P674" s="42"/>
    </row>
    <row r="675" spans="4:16" ht="13.2">
      <c r="D675" s="41"/>
      <c r="E675" s="42"/>
      <c r="I675" s="43"/>
      <c r="J675" s="43"/>
      <c r="L675" s="8"/>
      <c r="M675" s="44"/>
      <c r="P675" s="42"/>
    </row>
    <row r="676" spans="4:16" ht="13.2">
      <c r="D676" s="41"/>
      <c r="E676" s="42"/>
      <c r="I676" s="43"/>
      <c r="J676" s="43"/>
      <c r="L676" s="8"/>
      <c r="M676" s="44"/>
      <c r="P676" s="42"/>
    </row>
    <row r="677" spans="4:16" ht="13.2">
      <c r="D677" s="41"/>
      <c r="E677" s="42"/>
      <c r="I677" s="43"/>
      <c r="J677" s="43"/>
      <c r="L677" s="8"/>
      <c r="M677" s="44"/>
      <c r="P677" s="42"/>
    </row>
    <row r="678" spans="4:16" ht="13.2">
      <c r="D678" s="41"/>
      <c r="E678" s="42"/>
      <c r="I678" s="43"/>
      <c r="J678" s="43"/>
      <c r="L678" s="8"/>
      <c r="M678" s="44"/>
      <c r="P678" s="42"/>
    </row>
    <row r="679" spans="4:16" ht="13.2">
      <c r="D679" s="41"/>
      <c r="E679" s="42"/>
      <c r="I679" s="43"/>
      <c r="J679" s="43"/>
      <c r="L679" s="8"/>
      <c r="M679" s="44"/>
      <c r="P679" s="42"/>
    </row>
    <row r="680" spans="4:16" ht="13.2">
      <c r="D680" s="41"/>
      <c r="E680" s="42"/>
      <c r="I680" s="43"/>
      <c r="J680" s="43"/>
      <c r="L680" s="8"/>
      <c r="M680" s="44"/>
      <c r="P680" s="42"/>
    </row>
    <row r="681" spans="4:16" ht="13.2">
      <c r="D681" s="41"/>
      <c r="E681" s="42"/>
      <c r="I681" s="43"/>
      <c r="J681" s="43"/>
      <c r="L681" s="8"/>
      <c r="M681" s="44"/>
      <c r="P681" s="42"/>
    </row>
    <row r="682" spans="4:16" ht="13.2">
      <c r="D682" s="41"/>
      <c r="E682" s="42"/>
      <c r="I682" s="43"/>
      <c r="J682" s="43"/>
      <c r="L682" s="8"/>
      <c r="M682" s="44"/>
      <c r="P682" s="42"/>
    </row>
    <row r="683" spans="4:16" ht="13.2">
      <c r="D683" s="41"/>
      <c r="E683" s="42"/>
      <c r="I683" s="43"/>
      <c r="J683" s="43"/>
      <c r="L683" s="8"/>
      <c r="M683" s="44"/>
      <c r="P683" s="42"/>
    </row>
    <row r="684" spans="4:16" ht="13.2">
      <c r="D684" s="41"/>
      <c r="E684" s="42"/>
      <c r="I684" s="43"/>
      <c r="J684" s="43"/>
      <c r="L684" s="8"/>
      <c r="M684" s="44"/>
      <c r="P684" s="42"/>
    </row>
    <row r="685" spans="4:16" ht="13.2">
      <c r="D685" s="41"/>
      <c r="E685" s="42"/>
      <c r="I685" s="43"/>
      <c r="J685" s="43"/>
      <c r="L685" s="8"/>
      <c r="M685" s="44"/>
      <c r="P685" s="42"/>
    </row>
    <row r="686" spans="4:16" ht="13.2">
      <c r="D686" s="41"/>
      <c r="E686" s="42"/>
      <c r="I686" s="43"/>
      <c r="J686" s="43"/>
      <c r="L686" s="8"/>
      <c r="M686" s="44"/>
      <c r="P686" s="42"/>
    </row>
    <row r="687" spans="4:16" ht="13.2">
      <c r="D687" s="41"/>
      <c r="E687" s="42"/>
      <c r="I687" s="43"/>
      <c r="J687" s="43"/>
      <c r="L687" s="8"/>
      <c r="M687" s="44"/>
      <c r="P687" s="42"/>
    </row>
    <row r="688" spans="4:16" ht="13.2">
      <c r="D688" s="41"/>
      <c r="E688" s="42"/>
      <c r="I688" s="43"/>
      <c r="J688" s="43"/>
      <c r="L688" s="8"/>
      <c r="M688" s="44"/>
      <c r="P688" s="42"/>
    </row>
    <row r="689" spans="4:16" ht="13.2">
      <c r="D689" s="41"/>
      <c r="E689" s="42"/>
      <c r="I689" s="43"/>
      <c r="J689" s="43"/>
      <c r="L689" s="8"/>
      <c r="M689" s="44"/>
      <c r="P689" s="42"/>
    </row>
    <row r="690" spans="4:16" ht="13.2">
      <c r="D690" s="41"/>
      <c r="E690" s="42"/>
      <c r="I690" s="43"/>
      <c r="J690" s="43"/>
      <c r="L690" s="8"/>
      <c r="M690" s="44"/>
      <c r="P690" s="42"/>
    </row>
    <row r="691" spans="4:16" ht="13.2">
      <c r="D691" s="41"/>
      <c r="E691" s="42"/>
      <c r="I691" s="43"/>
      <c r="J691" s="43"/>
      <c r="L691" s="8"/>
      <c r="M691" s="44"/>
      <c r="P691" s="42"/>
    </row>
    <row r="692" spans="4:16" ht="13.2">
      <c r="D692" s="41"/>
      <c r="E692" s="42"/>
      <c r="I692" s="43"/>
      <c r="J692" s="43"/>
      <c r="L692" s="8"/>
      <c r="M692" s="44"/>
      <c r="P692" s="42"/>
    </row>
    <row r="693" spans="4:16" ht="13.2">
      <c r="D693" s="41"/>
      <c r="E693" s="42"/>
      <c r="I693" s="43"/>
      <c r="J693" s="43"/>
      <c r="L693" s="8"/>
      <c r="M693" s="44"/>
      <c r="P693" s="42"/>
    </row>
    <row r="694" spans="4:16" ht="13.2">
      <c r="D694" s="41"/>
      <c r="E694" s="42"/>
      <c r="I694" s="43"/>
      <c r="J694" s="43"/>
      <c r="L694" s="8"/>
      <c r="M694" s="44"/>
      <c r="P694" s="42"/>
    </row>
    <row r="695" spans="4:16" ht="13.2">
      <c r="D695" s="41"/>
      <c r="E695" s="42"/>
      <c r="I695" s="43"/>
      <c r="J695" s="43"/>
      <c r="L695" s="8"/>
      <c r="M695" s="44"/>
      <c r="P695" s="42"/>
    </row>
    <row r="696" spans="4:16" ht="13.2">
      <c r="D696" s="41"/>
      <c r="E696" s="42"/>
      <c r="I696" s="43"/>
      <c r="J696" s="43"/>
      <c r="L696" s="8"/>
      <c r="M696" s="44"/>
      <c r="P696" s="42"/>
    </row>
    <row r="697" spans="4:16" ht="13.2">
      <c r="D697" s="41"/>
      <c r="E697" s="42"/>
      <c r="I697" s="43"/>
      <c r="J697" s="43"/>
      <c r="L697" s="8"/>
      <c r="M697" s="44"/>
      <c r="P697" s="42"/>
    </row>
    <row r="698" spans="4:16" ht="13.2">
      <c r="D698" s="41"/>
      <c r="E698" s="42"/>
      <c r="I698" s="43"/>
      <c r="J698" s="43"/>
      <c r="L698" s="8"/>
      <c r="M698" s="44"/>
      <c r="P698" s="42"/>
    </row>
    <row r="699" spans="4:16" ht="13.2">
      <c r="D699" s="41"/>
      <c r="E699" s="42"/>
      <c r="I699" s="43"/>
      <c r="J699" s="43"/>
      <c r="L699" s="8"/>
      <c r="M699" s="44"/>
      <c r="P699" s="42"/>
    </row>
    <row r="700" spans="4:16" ht="13.2">
      <c r="D700" s="41"/>
      <c r="E700" s="42"/>
      <c r="I700" s="43"/>
      <c r="J700" s="43"/>
      <c r="L700" s="8"/>
      <c r="M700" s="44"/>
      <c r="P700" s="42"/>
    </row>
    <row r="701" spans="4:16" ht="13.2">
      <c r="D701" s="41"/>
      <c r="E701" s="42"/>
      <c r="I701" s="43"/>
      <c r="J701" s="43"/>
      <c r="L701" s="8"/>
      <c r="M701" s="44"/>
      <c r="P701" s="42"/>
    </row>
    <row r="702" spans="4:16" ht="13.2">
      <c r="D702" s="41"/>
      <c r="E702" s="42"/>
      <c r="I702" s="43"/>
      <c r="J702" s="43"/>
      <c r="L702" s="8"/>
      <c r="M702" s="44"/>
      <c r="P702" s="42"/>
    </row>
    <row r="703" spans="4:16" ht="13.2">
      <c r="D703" s="41"/>
      <c r="E703" s="42"/>
      <c r="I703" s="43"/>
      <c r="J703" s="43"/>
      <c r="L703" s="8"/>
      <c r="M703" s="44"/>
      <c r="P703" s="42"/>
    </row>
    <row r="704" spans="4:16" ht="13.2">
      <c r="D704" s="41"/>
      <c r="E704" s="42"/>
      <c r="I704" s="43"/>
      <c r="J704" s="43"/>
      <c r="L704" s="8"/>
      <c r="M704" s="44"/>
      <c r="P704" s="42"/>
    </row>
    <row r="705" spans="4:16" ht="13.2">
      <c r="D705" s="41"/>
      <c r="E705" s="42"/>
      <c r="I705" s="43"/>
      <c r="J705" s="43"/>
      <c r="L705" s="8"/>
      <c r="M705" s="44"/>
      <c r="P705" s="42"/>
    </row>
    <row r="706" spans="4:16" ht="13.2">
      <c r="D706" s="41"/>
      <c r="E706" s="42"/>
      <c r="I706" s="43"/>
      <c r="J706" s="43"/>
      <c r="L706" s="8"/>
      <c r="M706" s="44"/>
      <c r="P706" s="42"/>
    </row>
    <row r="707" spans="4:16" ht="13.2">
      <c r="D707" s="41"/>
      <c r="E707" s="42"/>
      <c r="I707" s="43"/>
      <c r="J707" s="43"/>
      <c r="L707" s="8"/>
      <c r="M707" s="44"/>
      <c r="P707" s="42"/>
    </row>
    <row r="708" spans="4:16" ht="13.2">
      <c r="D708" s="41"/>
      <c r="E708" s="42"/>
      <c r="I708" s="43"/>
      <c r="J708" s="43"/>
      <c r="L708" s="8"/>
      <c r="M708" s="44"/>
      <c r="P708" s="42"/>
    </row>
    <row r="709" spans="4:16" ht="13.2">
      <c r="D709" s="41"/>
      <c r="E709" s="42"/>
      <c r="I709" s="43"/>
      <c r="J709" s="43"/>
      <c r="L709" s="8"/>
      <c r="M709" s="44"/>
      <c r="P709" s="42"/>
    </row>
    <row r="710" spans="4:16" ht="13.2">
      <c r="D710" s="41"/>
      <c r="E710" s="42"/>
      <c r="I710" s="43"/>
      <c r="J710" s="43"/>
      <c r="L710" s="8"/>
      <c r="M710" s="44"/>
      <c r="P710" s="42"/>
    </row>
    <row r="711" spans="4:16" ht="13.2">
      <c r="D711" s="41"/>
      <c r="E711" s="42"/>
      <c r="I711" s="43"/>
      <c r="J711" s="43"/>
      <c r="L711" s="8"/>
      <c r="M711" s="44"/>
      <c r="P711" s="42"/>
    </row>
    <row r="712" spans="4:16" ht="13.2">
      <c r="D712" s="41"/>
      <c r="E712" s="42"/>
      <c r="I712" s="43"/>
      <c r="J712" s="43"/>
      <c r="L712" s="8"/>
      <c r="M712" s="44"/>
      <c r="P712" s="42"/>
    </row>
    <row r="713" spans="4:16" ht="13.2">
      <c r="D713" s="41"/>
      <c r="E713" s="42"/>
      <c r="I713" s="43"/>
      <c r="J713" s="43"/>
      <c r="L713" s="8"/>
      <c r="M713" s="44"/>
      <c r="P713" s="42"/>
    </row>
    <row r="714" spans="4:16" ht="13.2">
      <c r="D714" s="41"/>
      <c r="E714" s="42"/>
      <c r="I714" s="43"/>
      <c r="J714" s="43"/>
      <c r="L714" s="8"/>
      <c r="M714" s="44"/>
      <c r="P714" s="42"/>
    </row>
    <row r="715" spans="4:16" ht="13.2">
      <c r="D715" s="41"/>
      <c r="E715" s="42"/>
      <c r="I715" s="43"/>
      <c r="J715" s="43"/>
      <c r="L715" s="8"/>
      <c r="M715" s="44"/>
      <c r="P715" s="42"/>
    </row>
    <row r="716" spans="4:16" ht="13.2">
      <c r="D716" s="41"/>
      <c r="E716" s="42"/>
      <c r="I716" s="43"/>
      <c r="J716" s="43"/>
      <c r="L716" s="8"/>
      <c r="M716" s="44"/>
      <c r="P716" s="42"/>
    </row>
    <row r="717" spans="4:16" ht="13.2">
      <c r="D717" s="41"/>
      <c r="E717" s="42"/>
      <c r="I717" s="43"/>
      <c r="J717" s="43"/>
      <c r="L717" s="8"/>
      <c r="M717" s="44"/>
      <c r="P717" s="42"/>
    </row>
    <row r="718" spans="4:16" ht="13.2">
      <c r="D718" s="41"/>
      <c r="E718" s="42"/>
      <c r="I718" s="43"/>
      <c r="J718" s="43"/>
      <c r="L718" s="8"/>
      <c r="M718" s="44"/>
      <c r="P718" s="42"/>
    </row>
    <row r="719" spans="4:16" ht="13.2">
      <c r="D719" s="41"/>
      <c r="E719" s="42"/>
      <c r="I719" s="43"/>
      <c r="J719" s="43"/>
      <c r="L719" s="8"/>
      <c r="M719" s="44"/>
      <c r="P719" s="42"/>
    </row>
    <row r="720" spans="4:16" ht="13.2">
      <c r="D720" s="41"/>
      <c r="E720" s="42"/>
      <c r="I720" s="43"/>
      <c r="J720" s="43"/>
      <c r="L720" s="8"/>
      <c r="M720" s="44"/>
      <c r="P720" s="42"/>
    </row>
    <row r="721" spans="4:16" ht="13.2">
      <c r="D721" s="41"/>
      <c r="E721" s="42"/>
      <c r="I721" s="43"/>
      <c r="J721" s="43"/>
      <c r="L721" s="8"/>
      <c r="M721" s="44"/>
      <c r="P721" s="42"/>
    </row>
    <row r="722" spans="4:16" ht="13.2">
      <c r="D722" s="41"/>
      <c r="E722" s="42"/>
      <c r="I722" s="43"/>
      <c r="J722" s="43"/>
      <c r="L722" s="8"/>
      <c r="M722" s="44"/>
      <c r="P722" s="42"/>
    </row>
    <row r="723" spans="4:16" ht="13.2">
      <c r="D723" s="41"/>
      <c r="E723" s="42"/>
      <c r="I723" s="43"/>
      <c r="J723" s="43"/>
      <c r="L723" s="8"/>
      <c r="M723" s="44"/>
      <c r="P723" s="42"/>
    </row>
    <row r="724" spans="4:16" ht="13.2">
      <c r="D724" s="41"/>
      <c r="E724" s="42"/>
      <c r="I724" s="43"/>
      <c r="J724" s="43"/>
      <c r="L724" s="8"/>
      <c r="M724" s="44"/>
      <c r="P724" s="42"/>
    </row>
    <row r="725" spans="4:16" ht="13.2">
      <c r="D725" s="41"/>
      <c r="E725" s="42"/>
      <c r="I725" s="43"/>
      <c r="J725" s="43"/>
      <c r="L725" s="8"/>
      <c r="M725" s="44"/>
      <c r="P725" s="42"/>
    </row>
    <row r="726" spans="4:16" ht="13.2">
      <c r="D726" s="41"/>
      <c r="E726" s="42"/>
      <c r="I726" s="43"/>
      <c r="J726" s="43"/>
      <c r="L726" s="8"/>
      <c r="M726" s="44"/>
      <c r="P726" s="42"/>
    </row>
    <row r="727" spans="4:16" ht="13.2">
      <c r="D727" s="41"/>
      <c r="E727" s="42"/>
      <c r="I727" s="43"/>
      <c r="J727" s="43"/>
      <c r="L727" s="8"/>
      <c r="M727" s="44"/>
      <c r="P727" s="42"/>
    </row>
    <row r="728" spans="4:16" ht="13.2">
      <c r="D728" s="41"/>
      <c r="E728" s="42"/>
      <c r="I728" s="43"/>
      <c r="J728" s="43"/>
      <c r="L728" s="8"/>
      <c r="M728" s="44"/>
      <c r="P728" s="42"/>
    </row>
    <row r="729" spans="4:16" ht="13.2">
      <c r="D729" s="41"/>
      <c r="E729" s="42"/>
      <c r="I729" s="43"/>
      <c r="J729" s="43"/>
      <c r="L729" s="8"/>
      <c r="M729" s="44"/>
      <c r="P729" s="42"/>
    </row>
    <row r="730" spans="4:16" ht="13.2">
      <c r="D730" s="41"/>
      <c r="E730" s="42"/>
      <c r="I730" s="43"/>
      <c r="J730" s="43"/>
      <c r="L730" s="8"/>
      <c r="M730" s="44"/>
      <c r="P730" s="42"/>
    </row>
    <row r="731" spans="4:16" ht="13.2">
      <c r="D731" s="41"/>
      <c r="E731" s="42"/>
      <c r="I731" s="43"/>
      <c r="J731" s="43"/>
      <c r="L731" s="8"/>
      <c r="M731" s="44"/>
      <c r="P731" s="42"/>
    </row>
    <row r="732" spans="4:16" ht="13.2">
      <c r="D732" s="41"/>
      <c r="E732" s="42"/>
      <c r="I732" s="43"/>
      <c r="J732" s="43"/>
      <c r="L732" s="8"/>
      <c r="M732" s="44"/>
      <c r="P732" s="42"/>
    </row>
    <row r="733" spans="4:16" ht="13.2">
      <c r="D733" s="41"/>
      <c r="E733" s="42"/>
      <c r="I733" s="43"/>
      <c r="J733" s="43"/>
      <c r="L733" s="8"/>
      <c r="M733" s="44"/>
      <c r="P733" s="42"/>
    </row>
    <row r="734" spans="4:16" ht="13.2">
      <c r="D734" s="41"/>
      <c r="E734" s="42"/>
      <c r="I734" s="43"/>
      <c r="J734" s="43"/>
      <c r="L734" s="8"/>
      <c r="M734" s="44"/>
      <c r="P734" s="42"/>
    </row>
    <row r="735" spans="4:16" ht="13.2">
      <c r="D735" s="41"/>
      <c r="E735" s="42"/>
      <c r="I735" s="43"/>
      <c r="J735" s="43"/>
      <c r="L735" s="8"/>
      <c r="M735" s="44"/>
      <c r="P735" s="42"/>
    </row>
    <row r="736" spans="4:16" ht="13.2">
      <c r="D736" s="41"/>
      <c r="E736" s="42"/>
      <c r="I736" s="43"/>
      <c r="J736" s="43"/>
      <c r="L736" s="8"/>
      <c r="M736" s="44"/>
      <c r="P736" s="42"/>
    </row>
    <row r="737" spans="4:16" ht="13.2">
      <c r="D737" s="41"/>
      <c r="E737" s="42"/>
      <c r="I737" s="43"/>
      <c r="J737" s="43"/>
      <c r="L737" s="8"/>
      <c r="M737" s="44"/>
      <c r="P737" s="42"/>
    </row>
    <row r="738" spans="4:16" ht="13.2">
      <c r="D738" s="41"/>
      <c r="E738" s="42"/>
      <c r="I738" s="43"/>
      <c r="J738" s="43"/>
      <c r="L738" s="8"/>
      <c r="M738" s="44"/>
      <c r="P738" s="42"/>
    </row>
    <row r="739" spans="4:16" ht="13.2">
      <c r="D739" s="41"/>
      <c r="E739" s="42"/>
      <c r="I739" s="43"/>
      <c r="J739" s="43"/>
      <c r="L739" s="8"/>
      <c r="M739" s="44"/>
      <c r="P739" s="42"/>
    </row>
    <row r="740" spans="4:16" ht="13.2">
      <c r="D740" s="41"/>
      <c r="E740" s="42"/>
      <c r="I740" s="43"/>
      <c r="J740" s="43"/>
      <c r="L740" s="8"/>
      <c r="M740" s="44"/>
      <c r="P740" s="42"/>
    </row>
    <row r="741" spans="4:16" ht="13.2">
      <c r="D741" s="41"/>
      <c r="E741" s="42"/>
      <c r="I741" s="43"/>
      <c r="J741" s="43"/>
      <c r="L741" s="8"/>
      <c r="M741" s="44"/>
      <c r="P741" s="42"/>
    </row>
    <row r="742" spans="4:16" ht="13.2">
      <c r="D742" s="41"/>
      <c r="E742" s="42"/>
      <c r="I742" s="43"/>
      <c r="J742" s="43"/>
      <c r="L742" s="8"/>
      <c r="M742" s="44"/>
      <c r="P742" s="42"/>
    </row>
    <row r="743" spans="4:16" ht="13.2">
      <c r="D743" s="41"/>
      <c r="E743" s="42"/>
      <c r="I743" s="43"/>
      <c r="J743" s="43"/>
      <c r="L743" s="8"/>
      <c r="M743" s="44"/>
      <c r="P743" s="42"/>
    </row>
    <row r="744" spans="4:16" ht="13.2">
      <c r="D744" s="41"/>
      <c r="E744" s="42"/>
      <c r="I744" s="43"/>
      <c r="J744" s="43"/>
      <c r="L744" s="8"/>
      <c r="M744" s="44"/>
      <c r="P744" s="42"/>
    </row>
    <row r="745" spans="4:16" ht="13.2">
      <c r="D745" s="41"/>
      <c r="E745" s="42"/>
      <c r="I745" s="43"/>
      <c r="J745" s="43"/>
      <c r="L745" s="8"/>
      <c r="M745" s="44"/>
      <c r="P745" s="42"/>
    </row>
    <row r="746" spans="4:16" ht="13.2">
      <c r="D746" s="41"/>
      <c r="E746" s="42"/>
      <c r="I746" s="43"/>
      <c r="J746" s="43"/>
      <c r="L746" s="8"/>
      <c r="M746" s="44"/>
      <c r="P746" s="42"/>
    </row>
    <row r="747" spans="4:16" ht="13.2">
      <c r="D747" s="41"/>
      <c r="E747" s="42"/>
      <c r="I747" s="43"/>
      <c r="J747" s="43"/>
      <c r="L747" s="8"/>
      <c r="M747" s="44"/>
      <c r="P747" s="42"/>
    </row>
    <row r="748" spans="4:16" ht="13.2">
      <c r="D748" s="41"/>
      <c r="E748" s="42"/>
      <c r="I748" s="43"/>
      <c r="J748" s="43"/>
      <c r="L748" s="8"/>
      <c r="M748" s="44"/>
      <c r="P748" s="42"/>
    </row>
    <row r="749" spans="4:16" ht="13.2">
      <c r="D749" s="41"/>
      <c r="E749" s="42"/>
      <c r="I749" s="43"/>
      <c r="J749" s="43"/>
      <c r="L749" s="8"/>
      <c r="M749" s="44"/>
      <c r="P749" s="42"/>
    </row>
    <row r="750" spans="4:16" ht="13.2">
      <c r="D750" s="41"/>
      <c r="E750" s="42"/>
      <c r="I750" s="43"/>
      <c r="J750" s="43"/>
      <c r="L750" s="8"/>
      <c r="M750" s="44"/>
      <c r="P750" s="42"/>
    </row>
    <row r="751" spans="4:16" ht="13.2">
      <c r="D751" s="41"/>
      <c r="E751" s="42"/>
      <c r="I751" s="43"/>
      <c r="J751" s="43"/>
      <c r="L751" s="8"/>
      <c r="M751" s="44"/>
      <c r="P751" s="42"/>
    </row>
    <row r="752" spans="4:16" ht="13.2">
      <c r="D752" s="41"/>
      <c r="E752" s="42"/>
      <c r="I752" s="43"/>
      <c r="J752" s="43"/>
      <c r="L752" s="8"/>
      <c r="M752" s="44"/>
      <c r="P752" s="42"/>
    </row>
    <row r="753" spans="4:16" ht="13.2">
      <c r="D753" s="41"/>
      <c r="E753" s="42"/>
      <c r="I753" s="43"/>
      <c r="J753" s="43"/>
      <c r="L753" s="8"/>
      <c r="M753" s="44"/>
      <c r="P753" s="42"/>
    </row>
    <row r="754" spans="4:16" ht="13.2">
      <c r="D754" s="41"/>
      <c r="E754" s="42"/>
      <c r="I754" s="43"/>
      <c r="J754" s="43"/>
      <c r="L754" s="8"/>
      <c r="M754" s="44"/>
      <c r="P754" s="42"/>
    </row>
    <row r="755" spans="4:16" ht="13.2">
      <c r="D755" s="41"/>
      <c r="E755" s="42"/>
      <c r="I755" s="43"/>
      <c r="J755" s="43"/>
      <c r="L755" s="8"/>
      <c r="M755" s="44"/>
      <c r="P755" s="42"/>
    </row>
    <row r="756" spans="4:16" ht="13.2">
      <c r="D756" s="41"/>
      <c r="E756" s="42"/>
      <c r="I756" s="43"/>
      <c r="J756" s="43"/>
      <c r="L756" s="8"/>
      <c r="M756" s="44"/>
      <c r="P756" s="42"/>
    </row>
    <row r="757" spans="4:16" ht="13.2">
      <c r="D757" s="41"/>
      <c r="E757" s="42"/>
      <c r="I757" s="43"/>
      <c r="J757" s="43"/>
      <c r="L757" s="8"/>
      <c r="M757" s="44"/>
      <c r="P757" s="42"/>
    </row>
    <row r="758" spans="4:16" ht="13.2">
      <c r="D758" s="41"/>
      <c r="E758" s="42"/>
      <c r="I758" s="43"/>
      <c r="J758" s="43"/>
      <c r="L758" s="8"/>
      <c r="M758" s="44"/>
      <c r="P758" s="42"/>
    </row>
    <row r="759" spans="4:16" ht="13.2">
      <c r="D759" s="41"/>
      <c r="E759" s="42"/>
      <c r="I759" s="43"/>
      <c r="J759" s="43"/>
      <c r="L759" s="8"/>
      <c r="M759" s="44"/>
      <c r="P759" s="42"/>
    </row>
    <row r="760" spans="4:16" ht="13.2">
      <c r="D760" s="41"/>
      <c r="E760" s="42"/>
      <c r="I760" s="43"/>
      <c r="J760" s="43"/>
      <c r="L760" s="8"/>
      <c r="M760" s="44"/>
      <c r="P760" s="42"/>
    </row>
    <row r="761" spans="4:16" ht="13.2">
      <c r="D761" s="41"/>
      <c r="E761" s="42"/>
      <c r="I761" s="43"/>
      <c r="J761" s="43"/>
      <c r="L761" s="8"/>
      <c r="M761" s="44"/>
      <c r="P761" s="42"/>
    </row>
    <row r="762" spans="4:16" ht="13.2">
      <c r="D762" s="41"/>
      <c r="E762" s="42"/>
      <c r="I762" s="43"/>
      <c r="J762" s="43"/>
      <c r="L762" s="8"/>
      <c r="M762" s="44"/>
      <c r="P762" s="42"/>
    </row>
    <row r="763" spans="4:16" ht="13.2">
      <c r="D763" s="41"/>
      <c r="E763" s="42"/>
      <c r="I763" s="43"/>
      <c r="J763" s="43"/>
      <c r="L763" s="8"/>
      <c r="M763" s="44"/>
      <c r="P763" s="42"/>
    </row>
    <row r="764" spans="4:16" ht="13.2">
      <c r="D764" s="41"/>
      <c r="E764" s="42"/>
      <c r="I764" s="43"/>
      <c r="J764" s="43"/>
      <c r="L764" s="8"/>
      <c r="M764" s="44"/>
      <c r="P764" s="42"/>
    </row>
    <row r="765" spans="4:16" ht="13.2">
      <c r="D765" s="41"/>
      <c r="E765" s="42"/>
      <c r="I765" s="43"/>
      <c r="J765" s="43"/>
      <c r="L765" s="8"/>
      <c r="M765" s="44"/>
      <c r="P765" s="42"/>
    </row>
    <row r="766" spans="4:16" ht="13.2">
      <c r="D766" s="41"/>
      <c r="E766" s="42"/>
      <c r="I766" s="43"/>
      <c r="J766" s="43"/>
      <c r="L766" s="8"/>
      <c r="M766" s="44"/>
      <c r="P766" s="42"/>
    </row>
    <row r="767" spans="4:16" ht="13.2">
      <c r="D767" s="41"/>
      <c r="E767" s="42"/>
      <c r="I767" s="43"/>
      <c r="J767" s="43"/>
      <c r="L767" s="8"/>
      <c r="M767" s="44"/>
      <c r="P767" s="42"/>
    </row>
    <row r="768" spans="4:16" ht="13.2">
      <c r="D768" s="41"/>
      <c r="E768" s="42"/>
      <c r="I768" s="43"/>
      <c r="J768" s="43"/>
      <c r="L768" s="8"/>
      <c r="M768" s="44"/>
      <c r="P768" s="42"/>
    </row>
    <row r="769" spans="4:16" ht="13.2">
      <c r="D769" s="41"/>
      <c r="E769" s="42"/>
      <c r="I769" s="43"/>
      <c r="J769" s="43"/>
      <c r="L769" s="8"/>
      <c r="M769" s="44"/>
      <c r="P769" s="42"/>
    </row>
    <row r="770" spans="4:16" ht="13.2">
      <c r="D770" s="41"/>
      <c r="E770" s="42"/>
      <c r="I770" s="43"/>
      <c r="J770" s="43"/>
      <c r="L770" s="8"/>
      <c r="M770" s="44"/>
      <c r="P770" s="42"/>
    </row>
    <row r="771" spans="4:16" ht="13.2">
      <c r="D771" s="41"/>
      <c r="E771" s="42"/>
      <c r="I771" s="43"/>
      <c r="J771" s="43"/>
      <c r="L771" s="8"/>
      <c r="M771" s="44"/>
      <c r="P771" s="42"/>
    </row>
    <row r="772" spans="4:16" ht="13.2">
      <c r="D772" s="41"/>
      <c r="E772" s="42"/>
      <c r="I772" s="43"/>
      <c r="J772" s="43"/>
      <c r="L772" s="8"/>
      <c r="M772" s="44"/>
      <c r="P772" s="42"/>
    </row>
    <row r="773" spans="4:16" ht="13.2">
      <c r="D773" s="41"/>
      <c r="E773" s="42"/>
      <c r="I773" s="43"/>
      <c r="J773" s="43"/>
      <c r="L773" s="8"/>
      <c r="M773" s="44"/>
      <c r="P773" s="42"/>
    </row>
    <row r="774" spans="4:16" ht="13.2">
      <c r="D774" s="41"/>
      <c r="E774" s="42"/>
      <c r="I774" s="43"/>
      <c r="J774" s="43"/>
      <c r="L774" s="8"/>
      <c r="M774" s="44"/>
      <c r="P774" s="42"/>
    </row>
    <row r="775" spans="4:16" ht="13.2">
      <c r="D775" s="41"/>
      <c r="E775" s="42"/>
      <c r="I775" s="43"/>
      <c r="J775" s="43"/>
      <c r="L775" s="8"/>
      <c r="M775" s="44"/>
      <c r="P775" s="42"/>
    </row>
    <row r="776" spans="4:16" ht="13.2">
      <c r="D776" s="41"/>
      <c r="E776" s="42"/>
      <c r="I776" s="43"/>
      <c r="J776" s="43"/>
      <c r="L776" s="8"/>
      <c r="M776" s="44"/>
      <c r="P776" s="42"/>
    </row>
    <row r="777" spans="4:16" ht="13.2">
      <c r="D777" s="41"/>
      <c r="E777" s="42"/>
      <c r="I777" s="43"/>
      <c r="J777" s="43"/>
      <c r="L777" s="8"/>
      <c r="M777" s="44"/>
      <c r="P777" s="42"/>
    </row>
    <row r="778" spans="4:16" ht="13.2">
      <c r="D778" s="41"/>
      <c r="E778" s="42"/>
      <c r="I778" s="43"/>
      <c r="J778" s="43"/>
      <c r="L778" s="8"/>
      <c r="M778" s="44"/>
      <c r="P778" s="42"/>
    </row>
    <row r="779" spans="4:16" ht="13.2">
      <c r="D779" s="41"/>
      <c r="E779" s="42"/>
      <c r="I779" s="43"/>
      <c r="J779" s="43"/>
      <c r="L779" s="8"/>
      <c r="M779" s="44"/>
      <c r="P779" s="42"/>
    </row>
    <row r="780" spans="4:16" ht="13.2">
      <c r="D780" s="41"/>
      <c r="E780" s="42"/>
      <c r="I780" s="43"/>
      <c r="J780" s="43"/>
      <c r="L780" s="8"/>
      <c r="M780" s="44"/>
      <c r="P780" s="42"/>
    </row>
    <row r="781" spans="4:16" ht="13.2">
      <c r="D781" s="41"/>
      <c r="E781" s="42"/>
      <c r="I781" s="43"/>
      <c r="J781" s="43"/>
      <c r="L781" s="8"/>
      <c r="M781" s="44"/>
      <c r="P781" s="42"/>
    </row>
    <row r="782" spans="4:16" ht="13.2">
      <c r="D782" s="41"/>
      <c r="E782" s="42"/>
      <c r="I782" s="43"/>
      <c r="J782" s="43"/>
      <c r="L782" s="8"/>
      <c r="M782" s="44"/>
      <c r="P782" s="42"/>
    </row>
    <row r="783" spans="4:16" ht="13.2">
      <c r="D783" s="41"/>
      <c r="E783" s="42"/>
      <c r="I783" s="43"/>
      <c r="J783" s="43"/>
      <c r="L783" s="8"/>
      <c r="M783" s="44"/>
      <c r="P783" s="42"/>
    </row>
    <row r="784" spans="4:16" ht="13.2">
      <c r="D784" s="41"/>
      <c r="E784" s="42"/>
      <c r="I784" s="43"/>
      <c r="J784" s="43"/>
      <c r="L784" s="8"/>
      <c r="M784" s="44"/>
      <c r="P784" s="42"/>
    </row>
    <row r="785" spans="4:16" ht="13.2">
      <c r="D785" s="41"/>
      <c r="E785" s="42"/>
      <c r="I785" s="43"/>
      <c r="J785" s="43"/>
      <c r="L785" s="8"/>
      <c r="M785" s="44"/>
      <c r="P785" s="42"/>
    </row>
    <row r="786" spans="4:16" ht="13.2">
      <c r="D786" s="41"/>
      <c r="E786" s="42"/>
      <c r="I786" s="43"/>
      <c r="J786" s="43"/>
      <c r="L786" s="8"/>
      <c r="M786" s="44"/>
      <c r="P786" s="42"/>
    </row>
    <row r="787" spans="4:16" ht="13.2">
      <c r="D787" s="41"/>
      <c r="E787" s="42"/>
      <c r="I787" s="43"/>
      <c r="J787" s="43"/>
      <c r="L787" s="8"/>
      <c r="M787" s="44"/>
      <c r="P787" s="42"/>
    </row>
    <row r="788" spans="4:16" ht="13.2">
      <c r="D788" s="41"/>
      <c r="E788" s="42"/>
      <c r="I788" s="43"/>
      <c r="J788" s="43"/>
      <c r="L788" s="8"/>
      <c r="M788" s="44"/>
      <c r="P788" s="42"/>
    </row>
    <row r="789" spans="4:16" ht="13.2">
      <c r="D789" s="41"/>
      <c r="E789" s="42"/>
      <c r="I789" s="43"/>
      <c r="J789" s="43"/>
      <c r="L789" s="8"/>
      <c r="M789" s="44"/>
      <c r="P789" s="42"/>
    </row>
    <row r="790" spans="4:16" ht="13.2">
      <c r="D790" s="41"/>
      <c r="E790" s="42"/>
      <c r="I790" s="43"/>
      <c r="J790" s="43"/>
      <c r="L790" s="8"/>
      <c r="M790" s="44"/>
      <c r="P790" s="42"/>
    </row>
    <row r="791" spans="4:16" ht="13.2">
      <c r="D791" s="41"/>
      <c r="E791" s="42"/>
      <c r="I791" s="43"/>
      <c r="J791" s="43"/>
      <c r="L791" s="8"/>
      <c r="M791" s="44"/>
      <c r="P791" s="42"/>
    </row>
    <row r="792" spans="4:16" ht="13.2">
      <c r="D792" s="41"/>
      <c r="E792" s="42"/>
      <c r="I792" s="43"/>
      <c r="J792" s="43"/>
      <c r="L792" s="8"/>
      <c r="M792" s="44"/>
      <c r="P792" s="42"/>
    </row>
    <row r="793" spans="4:16" ht="13.2">
      <c r="D793" s="41"/>
      <c r="E793" s="42"/>
      <c r="I793" s="43"/>
      <c r="J793" s="43"/>
      <c r="L793" s="8"/>
      <c r="M793" s="44"/>
      <c r="P793" s="42"/>
    </row>
    <row r="794" spans="4:16" ht="13.2">
      <c r="D794" s="41"/>
      <c r="E794" s="42"/>
      <c r="I794" s="43"/>
      <c r="J794" s="43"/>
      <c r="L794" s="8"/>
      <c r="M794" s="44"/>
      <c r="P794" s="42"/>
    </row>
    <row r="795" spans="4:16" ht="13.2">
      <c r="D795" s="41"/>
      <c r="E795" s="42"/>
      <c r="I795" s="43"/>
      <c r="J795" s="43"/>
      <c r="L795" s="8"/>
      <c r="M795" s="44"/>
      <c r="P795" s="42"/>
    </row>
    <row r="796" spans="4:16" ht="13.2">
      <c r="D796" s="41"/>
      <c r="E796" s="42"/>
      <c r="I796" s="43"/>
      <c r="J796" s="43"/>
      <c r="L796" s="8"/>
      <c r="M796" s="44"/>
      <c r="P796" s="42"/>
    </row>
    <row r="797" spans="4:16" ht="13.2">
      <c r="D797" s="41"/>
      <c r="E797" s="42"/>
      <c r="I797" s="43"/>
      <c r="J797" s="43"/>
      <c r="L797" s="8"/>
      <c r="M797" s="44"/>
      <c r="P797" s="42"/>
    </row>
    <row r="798" spans="4:16" ht="13.2">
      <c r="D798" s="41"/>
      <c r="E798" s="42"/>
      <c r="I798" s="43"/>
      <c r="J798" s="43"/>
      <c r="L798" s="8"/>
      <c r="M798" s="44"/>
      <c r="P798" s="42"/>
    </row>
    <row r="799" spans="4:16" ht="13.2">
      <c r="D799" s="41"/>
      <c r="E799" s="42"/>
      <c r="I799" s="43"/>
      <c r="J799" s="43"/>
      <c r="L799" s="8"/>
      <c r="M799" s="44"/>
      <c r="P799" s="42"/>
    </row>
    <row r="800" spans="4:16" ht="13.2">
      <c r="D800" s="41"/>
      <c r="E800" s="42"/>
      <c r="I800" s="43"/>
      <c r="J800" s="43"/>
      <c r="L800" s="8"/>
      <c r="M800" s="44"/>
      <c r="P800" s="42"/>
    </row>
    <row r="801" spans="4:16" ht="13.2">
      <c r="D801" s="41"/>
      <c r="E801" s="42"/>
      <c r="I801" s="43"/>
      <c r="J801" s="43"/>
      <c r="L801" s="8"/>
      <c r="M801" s="44"/>
      <c r="P801" s="42"/>
    </row>
    <row r="802" spans="4:16" ht="13.2">
      <c r="D802" s="41"/>
      <c r="E802" s="42"/>
      <c r="I802" s="43"/>
      <c r="J802" s="43"/>
      <c r="L802" s="8"/>
      <c r="M802" s="44"/>
      <c r="P802" s="42"/>
    </row>
    <row r="803" spans="4:16" ht="13.2">
      <c r="D803" s="41"/>
      <c r="E803" s="42"/>
      <c r="I803" s="43"/>
      <c r="J803" s="43"/>
      <c r="L803" s="8"/>
      <c r="M803" s="44"/>
      <c r="P803" s="42"/>
    </row>
    <row r="804" spans="4:16" ht="13.2">
      <c r="D804" s="41"/>
      <c r="E804" s="42"/>
      <c r="I804" s="43"/>
      <c r="J804" s="43"/>
      <c r="L804" s="8"/>
      <c r="M804" s="44"/>
      <c r="P804" s="42"/>
    </row>
    <row r="805" spans="4:16" ht="13.2">
      <c r="D805" s="41"/>
      <c r="E805" s="42"/>
      <c r="I805" s="43"/>
      <c r="J805" s="43"/>
      <c r="L805" s="8"/>
      <c r="M805" s="44"/>
      <c r="P805" s="42"/>
    </row>
    <row r="806" spans="4:16" ht="13.2">
      <c r="D806" s="41"/>
      <c r="E806" s="42"/>
      <c r="I806" s="43"/>
      <c r="J806" s="43"/>
      <c r="L806" s="8"/>
      <c r="M806" s="44"/>
      <c r="P806" s="42"/>
    </row>
    <row r="807" spans="4:16" ht="13.2">
      <c r="D807" s="41"/>
      <c r="E807" s="42"/>
      <c r="I807" s="43"/>
      <c r="J807" s="43"/>
      <c r="L807" s="8"/>
      <c r="M807" s="44"/>
      <c r="P807" s="42"/>
    </row>
    <row r="808" spans="4:16" ht="13.2">
      <c r="D808" s="41"/>
      <c r="E808" s="42"/>
      <c r="I808" s="43"/>
      <c r="J808" s="43"/>
      <c r="L808" s="8"/>
      <c r="M808" s="44"/>
      <c r="P808" s="42"/>
    </row>
    <row r="809" spans="4:16" ht="13.2">
      <c r="D809" s="41"/>
      <c r="E809" s="42"/>
      <c r="I809" s="43"/>
      <c r="J809" s="43"/>
      <c r="L809" s="8"/>
      <c r="M809" s="44"/>
      <c r="P809" s="42"/>
    </row>
    <row r="810" spans="4:16" ht="13.2">
      <c r="D810" s="41"/>
      <c r="E810" s="42"/>
      <c r="I810" s="43"/>
      <c r="J810" s="43"/>
      <c r="L810" s="8"/>
      <c r="M810" s="44"/>
      <c r="P810" s="42"/>
    </row>
    <row r="811" spans="4:16" ht="13.2">
      <c r="D811" s="41"/>
      <c r="E811" s="42"/>
      <c r="I811" s="43"/>
      <c r="J811" s="43"/>
      <c r="L811" s="8"/>
      <c r="M811" s="44"/>
      <c r="P811" s="42"/>
    </row>
    <row r="812" spans="4:16" ht="13.2">
      <c r="D812" s="41"/>
      <c r="E812" s="42"/>
      <c r="I812" s="43"/>
      <c r="J812" s="43"/>
      <c r="L812" s="8"/>
      <c r="M812" s="44"/>
      <c r="P812" s="42"/>
    </row>
    <row r="813" spans="4:16" ht="13.2">
      <c r="D813" s="41"/>
      <c r="E813" s="42"/>
      <c r="I813" s="43"/>
      <c r="J813" s="43"/>
      <c r="L813" s="8"/>
      <c r="M813" s="44"/>
      <c r="P813" s="42"/>
    </row>
    <row r="814" spans="4:16" ht="13.2">
      <c r="D814" s="41"/>
      <c r="E814" s="42"/>
      <c r="I814" s="43"/>
      <c r="J814" s="43"/>
      <c r="L814" s="8"/>
      <c r="M814" s="44"/>
      <c r="P814" s="42"/>
    </row>
    <row r="815" spans="4:16" ht="13.2">
      <c r="D815" s="41"/>
      <c r="E815" s="42"/>
      <c r="I815" s="43"/>
      <c r="J815" s="43"/>
      <c r="L815" s="8"/>
      <c r="M815" s="44"/>
      <c r="P815" s="42"/>
    </row>
    <row r="816" spans="4:16" ht="13.2">
      <c r="D816" s="41"/>
      <c r="E816" s="42"/>
      <c r="I816" s="43"/>
      <c r="J816" s="43"/>
      <c r="L816" s="8"/>
      <c r="M816" s="44"/>
      <c r="P816" s="42"/>
    </row>
    <row r="817" spans="4:16" ht="13.2">
      <c r="D817" s="41"/>
      <c r="E817" s="42"/>
      <c r="I817" s="43"/>
      <c r="J817" s="43"/>
      <c r="L817" s="8"/>
      <c r="M817" s="44"/>
      <c r="P817" s="42"/>
    </row>
    <row r="818" spans="4:16" ht="13.2">
      <c r="D818" s="41"/>
      <c r="E818" s="42"/>
      <c r="I818" s="43"/>
      <c r="J818" s="43"/>
      <c r="L818" s="8"/>
      <c r="M818" s="44"/>
      <c r="P818" s="42"/>
    </row>
    <row r="819" spans="4:16" ht="13.2">
      <c r="D819" s="41"/>
      <c r="E819" s="42"/>
      <c r="I819" s="43"/>
      <c r="J819" s="43"/>
      <c r="L819" s="8"/>
      <c r="M819" s="44"/>
      <c r="P819" s="42"/>
    </row>
    <row r="820" spans="4:16" ht="13.2">
      <c r="D820" s="41"/>
      <c r="E820" s="42"/>
      <c r="I820" s="43"/>
      <c r="J820" s="43"/>
      <c r="L820" s="8"/>
      <c r="M820" s="44"/>
      <c r="P820" s="42"/>
    </row>
    <row r="821" spans="4:16" ht="13.2">
      <c r="D821" s="41"/>
      <c r="E821" s="42"/>
      <c r="I821" s="43"/>
      <c r="J821" s="43"/>
      <c r="L821" s="8"/>
      <c r="M821" s="44"/>
      <c r="P821" s="42"/>
    </row>
    <row r="822" spans="4:16" ht="13.2">
      <c r="D822" s="41"/>
      <c r="E822" s="42"/>
      <c r="I822" s="43"/>
      <c r="J822" s="43"/>
      <c r="L822" s="8"/>
      <c r="M822" s="44"/>
      <c r="P822" s="42"/>
    </row>
    <row r="823" spans="4:16" ht="13.2">
      <c r="D823" s="41"/>
      <c r="E823" s="42"/>
      <c r="I823" s="43"/>
      <c r="J823" s="43"/>
      <c r="L823" s="8"/>
      <c r="M823" s="44"/>
      <c r="P823" s="42"/>
    </row>
    <row r="824" spans="4:16" ht="13.2">
      <c r="D824" s="41"/>
      <c r="E824" s="42"/>
      <c r="I824" s="43"/>
      <c r="J824" s="43"/>
      <c r="L824" s="8"/>
      <c r="M824" s="44"/>
      <c r="P824" s="42"/>
    </row>
    <row r="825" spans="4:16" ht="13.2">
      <c r="D825" s="41"/>
      <c r="E825" s="42"/>
      <c r="I825" s="43"/>
      <c r="J825" s="43"/>
      <c r="L825" s="8"/>
      <c r="M825" s="44"/>
      <c r="P825" s="42"/>
    </row>
    <row r="826" spans="4:16" ht="13.2">
      <c r="D826" s="41"/>
      <c r="E826" s="42"/>
      <c r="I826" s="43"/>
      <c r="J826" s="43"/>
      <c r="L826" s="8"/>
      <c r="M826" s="44"/>
      <c r="P826" s="42"/>
    </row>
    <row r="827" spans="4:16" ht="13.2">
      <c r="D827" s="41"/>
      <c r="E827" s="42"/>
      <c r="I827" s="43"/>
      <c r="J827" s="43"/>
      <c r="L827" s="8"/>
      <c r="M827" s="44"/>
      <c r="P827" s="42"/>
    </row>
    <row r="828" spans="4:16" ht="13.2">
      <c r="D828" s="41"/>
      <c r="E828" s="42"/>
      <c r="I828" s="43"/>
      <c r="J828" s="43"/>
      <c r="L828" s="8"/>
      <c r="M828" s="44"/>
      <c r="P828" s="42"/>
    </row>
    <row r="829" spans="4:16" ht="13.2">
      <c r="D829" s="41"/>
      <c r="E829" s="42"/>
      <c r="I829" s="43"/>
      <c r="J829" s="43"/>
      <c r="L829" s="8"/>
      <c r="M829" s="44"/>
      <c r="P829" s="42"/>
    </row>
    <row r="830" spans="4:16" ht="13.2">
      <c r="D830" s="41"/>
      <c r="E830" s="42"/>
      <c r="I830" s="43"/>
      <c r="J830" s="43"/>
      <c r="L830" s="8"/>
      <c r="M830" s="44"/>
      <c r="P830" s="42"/>
    </row>
    <row r="831" spans="4:16" ht="13.2">
      <c r="D831" s="41"/>
      <c r="E831" s="42"/>
      <c r="I831" s="43"/>
      <c r="J831" s="43"/>
      <c r="L831" s="8"/>
      <c r="M831" s="44"/>
      <c r="P831" s="42"/>
    </row>
    <row r="832" spans="4:16" ht="13.2">
      <c r="D832" s="41"/>
      <c r="E832" s="42"/>
      <c r="I832" s="43"/>
      <c r="J832" s="43"/>
      <c r="L832" s="8"/>
      <c r="M832" s="44"/>
      <c r="P832" s="42"/>
    </row>
    <row r="833" spans="4:16" ht="13.2">
      <c r="D833" s="41"/>
      <c r="E833" s="42"/>
      <c r="I833" s="43"/>
      <c r="J833" s="43"/>
      <c r="L833" s="8"/>
      <c r="M833" s="44"/>
      <c r="P833" s="42"/>
    </row>
    <row r="834" spans="4:16" ht="13.2">
      <c r="D834" s="41"/>
      <c r="E834" s="42"/>
      <c r="I834" s="43"/>
      <c r="J834" s="43"/>
      <c r="L834" s="8"/>
      <c r="M834" s="44"/>
      <c r="P834" s="42"/>
    </row>
    <row r="835" spans="4:16" ht="13.2">
      <c r="D835" s="41"/>
      <c r="E835" s="42"/>
      <c r="I835" s="43"/>
      <c r="J835" s="43"/>
      <c r="L835" s="8"/>
      <c r="M835" s="44"/>
      <c r="P835" s="42"/>
    </row>
    <row r="836" spans="4:16" ht="13.2">
      <c r="D836" s="41"/>
      <c r="E836" s="42"/>
      <c r="I836" s="43"/>
      <c r="J836" s="43"/>
      <c r="L836" s="8"/>
      <c r="M836" s="44"/>
      <c r="P836" s="42"/>
    </row>
    <row r="837" spans="4:16" ht="13.2">
      <c r="D837" s="41"/>
      <c r="E837" s="42"/>
      <c r="I837" s="43"/>
      <c r="J837" s="43"/>
      <c r="L837" s="8"/>
      <c r="M837" s="44"/>
      <c r="P837" s="42"/>
    </row>
    <row r="838" spans="4:16" ht="13.2">
      <c r="D838" s="41"/>
      <c r="E838" s="42"/>
      <c r="I838" s="43"/>
      <c r="J838" s="43"/>
      <c r="L838" s="8"/>
      <c r="M838" s="44"/>
      <c r="P838" s="42"/>
    </row>
    <row r="839" spans="4:16" ht="13.2">
      <c r="D839" s="41"/>
      <c r="E839" s="42"/>
      <c r="I839" s="43"/>
      <c r="J839" s="43"/>
      <c r="L839" s="8"/>
      <c r="M839" s="44"/>
      <c r="P839" s="42"/>
    </row>
    <row r="840" spans="4:16" ht="13.2">
      <c r="D840" s="41"/>
      <c r="E840" s="42"/>
      <c r="I840" s="43"/>
      <c r="J840" s="43"/>
      <c r="L840" s="8"/>
      <c r="M840" s="44"/>
      <c r="P840" s="42"/>
    </row>
    <row r="841" spans="4:16" ht="13.2">
      <c r="D841" s="41"/>
      <c r="E841" s="42"/>
      <c r="I841" s="43"/>
      <c r="J841" s="43"/>
      <c r="L841" s="8"/>
      <c r="M841" s="44"/>
      <c r="P841" s="42"/>
    </row>
    <row r="842" spans="4:16" ht="13.2">
      <c r="D842" s="41"/>
      <c r="E842" s="42"/>
      <c r="I842" s="43"/>
      <c r="J842" s="43"/>
      <c r="L842" s="8"/>
      <c r="M842" s="44"/>
      <c r="P842" s="42"/>
    </row>
    <row r="843" spans="4:16" ht="13.2">
      <c r="D843" s="41"/>
      <c r="E843" s="42"/>
      <c r="I843" s="43"/>
      <c r="J843" s="43"/>
      <c r="L843" s="8"/>
      <c r="M843" s="44"/>
      <c r="P843" s="42"/>
    </row>
    <row r="844" spans="4:16" ht="13.2">
      <c r="D844" s="41"/>
      <c r="E844" s="42"/>
      <c r="I844" s="43"/>
      <c r="J844" s="43"/>
      <c r="L844" s="8"/>
      <c r="M844" s="44"/>
      <c r="P844" s="42"/>
    </row>
    <row r="845" spans="4:16" ht="13.2">
      <c r="D845" s="41"/>
      <c r="E845" s="42"/>
      <c r="I845" s="43"/>
      <c r="J845" s="43"/>
      <c r="L845" s="8"/>
      <c r="M845" s="44"/>
      <c r="P845" s="42"/>
    </row>
    <row r="846" spans="4:16" ht="13.2">
      <c r="D846" s="41"/>
      <c r="E846" s="42"/>
      <c r="I846" s="43"/>
      <c r="J846" s="43"/>
      <c r="L846" s="8"/>
      <c r="M846" s="44"/>
      <c r="P846" s="42"/>
    </row>
    <row r="847" spans="4:16" ht="13.2">
      <c r="D847" s="41"/>
      <c r="E847" s="42"/>
      <c r="I847" s="43"/>
      <c r="J847" s="43"/>
      <c r="L847" s="8"/>
      <c r="M847" s="44"/>
      <c r="P847" s="42"/>
    </row>
    <row r="848" spans="4:16" ht="13.2">
      <c r="D848" s="41"/>
      <c r="E848" s="42"/>
      <c r="I848" s="43"/>
      <c r="J848" s="43"/>
      <c r="L848" s="8"/>
      <c r="M848" s="44"/>
      <c r="P848" s="42"/>
    </row>
    <row r="849" spans="4:16" ht="13.2">
      <c r="D849" s="41"/>
      <c r="E849" s="42"/>
      <c r="I849" s="43"/>
      <c r="J849" s="43"/>
      <c r="L849" s="8"/>
      <c r="M849" s="44"/>
      <c r="P849" s="42"/>
    </row>
    <row r="850" spans="4:16" ht="13.2">
      <c r="D850" s="41"/>
      <c r="E850" s="42"/>
      <c r="I850" s="43"/>
      <c r="J850" s="43"/>
      <c r="L850" s="8"/>
      <c r="M850" s="44"/>
      <c r="P850" s="42"/>
    </row>
    <row r="851" spans="4:16" ht="13.2">
      <c r="D851" s="41"/>
      <c r="E851" s="42"/>
      <c r="I851" s="43"/>
      <c r="J851" s="43"/>
      <c r="L851" s="8"/>
      <c r="M851" s="44"/>
      <c r="P851" s="42"/>
    </row>
    <row r="852" spans="4:16" ht="13.2">
      <c r="D852" s="41"/>
      <c r="E852" s="42"/>
      <c r="I852" s="43"/>
      <c r="J852" s="43"/>
      <c r="L852" s="8"/>
      <c r="M852" s="44"/>
      <c r="P852" s="42"/>
    </row>
    <row r="853" spans="4:16" ht="13.2">
      <c r="D853" s="41"/>
      <c r="E853" s="42"/>
      <c r="I853" s="43"/>
      <c r="J853" s="43"/>
      <c r="L853" s="8"/>
      <c r="M853" s="44"/>
      <c r="P853" s="42"/>
    </row>
    <row r="854" spans="4:16" ht="13.2">
      <c r="D854" s="41"/>
      <c r="E854" s="42"/>
      <c r="I854" s="43"/>
      <c r="J854" s="43"/>
      <c r="L854" s="8"/>
      <c r="M854" s="44"/>
      <c r="P854" s="42"/>
    </row>
    <row r="855" spans="4:16" ht="13.2">
      <c r="D855" s="41"/>
      <c r="E855" s="42"/>
      <c r="I855" s="43"/>
      <c r="J855" s="43"/>
      <c r="L855" s="8"/>
      <c r="M855" s="44"/>
      <c r="P855" s="42"/>
    </row>
    <row r="856" spans="4:16" ht="13.2">
      <c r="D856" s="41"/>
      <c r="E856" s="42"/>
      <c r="I856" s="43"/>
      <c r="J856" s="43"/>
      <c r="L856" s="8"/>
      <c r="M856" s="44"/>
      <c r="P856" s="42"/>
    </row>
    <row r="857" spans="4:16" ht="13.2">
      <c r="D857" s="41"/>
      <c r="E857" s="42"/>
      <c r="I857" s="43"/>
      <c r="J857" s="43"/>
      <c r="L857" s="8"/>
      <c r="M857" s="44"/>
      <c r="P857" s="42"/>
    </row>
    <row r="858" spans="4:16" ht="13.2">
      <c r="D858" s="41"/>
      <c r="E858" s="42"/>
      <c r="I858" s="43"/>
      <c r="J858" s="43"/>
      <c r="L858" s="8"/>
      <c r="M858" s="44"/>
      <c r="P858" s="42"/>
    </row>
    <row r="859" spans="4:16" ht="13.2">
      <c r="D859" s="41"/>
      <c r="E859" s="42"/>
      <c r="I859" s="43"/>
      <c r="J859" s="43"/>
      <c r="L859" s="8"/>
      <c r="M859" s="44"/>
      <c r="P859" s="42"/>
    </row>
    <row r="860" spans="4:16" ht="13.2">
      <c r="D860" s="41"/>
      <c r="E860" s="42"/>
      <c r="I860" s="43"/>
      <c r="J860" s="43"/>
      <c r="L860" s="8"/>
      <c r="M860" s="44"/>
      <c r="P860" s="42"/>
    </row>
    <row r="861" spans="4:16" ht="13.2">
      <c r="D861" s="41"/>
      <c r="E861" s="42"/>
      <c r="I861" s="43"/>
      <c r="J861" s="43"/>
      <c r="L861" s="8"/>
      <c r="M861" s="44"/>
      <c r="P861" s="42"/>
    </row>
    <row r="862" spans="4:16" ht="13.2">
      <c r="D862" s="41"/>
      <c r="E862" s="42"/>
      <c r="I862" s="43"/>
      <c r="J862" s="43"/>
      <c r="L862" s="8"/>
      <c r="M862" s="44"/>
      <c r="P862" s="42"/>
    </row>
    <row r="863" spans="4:16" ht="13.2">
      <c r="D863" s="41"/>
      <c r="E863" s="42"/>
      <c r="I863" s="43"/>
      <c r="J863" s="43"/>
      <c r="L863" s="8"/>
      <c r="M863" s="44"/>
      <c r="P863" s="42"/>
    </row>
    <row r="864" spans="4:16" ht="13.2">
      <c r="D864" s="41"/>
      <c r="E864" s="42"/>
      <c r="I864" s="43"/>
      <c r="J864" s="43"/>
      <c r="L864" s="8"/>
      <c r="M864" s="44"/>
      <c r="P864" s="42"/>
    </row>
    <row r="865" spans="4:16" ht="13.2">
      <c r="D865" s="41"/>
      <c r="E865" s="42"/>
      <c r="I865" s="43"/>
      <c r="J865" s="43"/>
      <c r="L865" s="8"/>
      <c r="M865" s="44"/>
      <c r="P865" s="42"/>
    </row>
    <row r="866" spans="4:16" ht="13.2">
      <c r="D866" s="41"/>
      <c r="E866" s="42"/>
      <c r="I866" s="43"/>
      <c r="J866" s="43"/>
      <c r="L866" s="8"/>
      <c r="M866" s="44"/>
      <c r="P866" s="42"/>
    </row>
    <row r="867" spans="4:16" ht="13.2">
      <c r="D867" s="41"/>
      <c r="E867" s="42"/>
      <c r="I867" s="43"/>
      <c r="J867" s="43"/>
      <c r="L867" s="8"/>
      <c r="M867" s="44"/>
      <c r="P867" s="42"/>
    </row>
    <row r="868" spans="4:16" ht="13.2">
      <c r="D868" s="41"/>
      <c r="E868" s="42"/>
      <c r="I868" s="43"/>
      <c r="J868" s="43"/>
      <c r="L868" s="8"/>
      <c r="M868" s="44"/>
      <c r="P868" s="42"/>
    </row>
    <row r="869" spans="4:16" ht="13.2">
      <c r="D869" s="41"/>
      <c r="E869" s="42"/>
      <c r="I869" s="43"/>
      <c r="J869" s="43"/>
      <c r="L869" s="8"/>
      <c r="M869" s="44"/>
      <c r="P869" s="42"/>
    </row>
    <row r="870" spans="4:16" ht="13.2">
      <c r="D870" s="41"/>
      <c r="E870" s="42"/>
      <c r="I870" s="43"/>
      <c r="J870" s="43"/>
      <c r="L870" s="8"/>
      <c r="M870" s="44"/>
      <c r="P870" s="42"/>
    </row>
    <row r="871" spans="4:16" ht="13.2">
      <c r="D871" s="41"/>
      <c r="E871" s="42"/>
      <c r="I871" s="43"/>
      <c r="J871" s="43"/>
      <c r="L871" s="8"/>
      <c r="M871" s="44"/>
      <c r="P871" s="42"/>
    </row>
    <row r="872" spans="4:16" ht="13.2">
      <c r="D872" s="41"/>
      <c r="E872" s="42"/>
      <c r="I872" s="43"/>
      <c r="J872" s="43"/>
      <c r="L872" s="8"/>
      <c r="M872" s="44"/>
      <c r="P872" s="42"/>
    </row>
    <row r="873" spans="4:16" ht="13.2">
      <c r="D873" s="41"/>
      <c r="E873" s="42"/>
      <c r="I873" s="43"/>
      <c r="J873" s="43"/>
      <c r="L873" s="8"/>
      <c r="M873" s="44"/>
      <c r="P873" s="42"/>
    </row>
    <row r="874" spans="4:16" ht="13.2">
      <c r="D874" s="41"/>
      <c r="E874" s="42"/>
      <c r="I874" s="43"/>
      <c r="J874" s="43"/>
      <c r="L874" s="8"/>
      <c r="M874" s="44"/>
      <c r="P874" s="42"/>
    </row>
    <row r="875" spans="4:16" ht="13.2">
      <c r="D875" s="41"/>
      <c r="E875" s="42"/>
      <c r="I875" s="43"/>
      <c r="J875" s="43"/>
      <c r="L875" s="8"/>
      <c r="M875" s="44"/>
      <c r="P875" s="42"/>
    </row>
    <row r="876" spans="4:16" ht="13.2">
      <c r="D876" s="41"/>
      <c r="E876" s="42"/>
      <c r="I876" s="43"/>
      <c r="J876" s="43"/>
      <c r="L876" s="8"/>
      <c r="M876" s="44"/>
      <c r="P876" s="42"/>
    </row>
    <row r="877" spans="4:16" ht="13.2">
      <c r="D877" s="41"/>
      <c r="E877" s="42"/>
      <c r="I877" s="43"/>
      <c r="J877" s="43"/>
      <c r="L877" s="8"/>
      <c r="M877" s="44"/>
      <c r="P877" s="42"/>
    </row>
    <row r="878" spans="4:16" ht="13.2">
      <c r="D878" s="41"/>
      <c r="E878" s="42"/>
      <c r="I878" s="43"/>
      <c r="J878" s="43"/>
      <c r="L878" s="8"/>
      <c r="M878" s="44"/>
      <c r="P878" s="42"/>
    </row>
    <row r="879" spans="4:16" ht="13.2">
      <c r="D879" s="41"/>
      <c r="E879" s="42"/>
      <c r="I879" s="43"/>
      <c r="J879" s="43"/>
      <c r="L879" s="8"/>
      <c r="M879" s="44"/>
      <c r="P879" s="42"/>
    </row>
    <row r="880" spans="4:16" ht="13.2">
      <c r="D880" s="41"/>
      <c r="E880" s="42"/>
      <c r="I880" s="43"/>
      <c r="J880" s="43"/>
      <c r="L880" s="8"/>
      <c r="M880" s="44"/>
      <c r="P880" s="42"/>
    </row>
    <row r="881" spans="4:16" ht="13.2">
      <c r="D881" s="41"/>
      <c r="E881" s="42"/>
      <c r="I881" s="43"/>
      <c r="J881" s="43"/>
      <c r="L881" s="8"/>
      <c r="M881" s="44"/>
      <c r="P881" s="42"/>
    </row>
    <row r="882" spans="4:16" ht="13.2">
      <c r="D882" s="41"/>
      <c r="E882" s="42"/>
      <c r="I882" s="43"/>
      <c r="J882" s="43"/>
      <c r="L882" s="8"/>
      <c r="M882" s="44"/>
      <c r="P882" s="42"/>
    </row>
    <row r="883" spans="4:16" ht="13.2">
      <c r="D883" s="41"/>
      <c r="E883" s="42"/>
      <c r="I883" s="43"/>
      <c r="J883" s="43"/>
      <c r="L883" s="8"/>
      <c r="M883" s="44"/>
      <c r="P883" s="42"/>
    </row>
    <row r="884" spans="4:16" ht="13.2">
      <c r="D884" s="41"/>
      <c r="E884" s="42"/>
      <c r="I884" s="43"/>
      <c r="J884" s="43"/>
      <c r="L884" s="8"/>
      <c r="M884" s="44"/>
      <c r="P884" s="42"/>
    </row>
    <row r="885" spans="4:16" ht="13.2">
      <c r="D885" s="41"/>
      <c r="E885" s="42"/>
      <c r="I885" s="43"/>
      <c r="J885" s="43"/>
      <c r="L885" s="8"/>
      <c r="M885" s="44"/>
      <c r="P885" s="42"/>
    </row>
    <row r="886" spans="4:16" ht="13.2">
      <c r="D886" s="41"/>
      <c r="E886" s="42"/>
      <c r="I886" s="43"/>
      <c r="J886" s="43"/>
      <c r="L886" s="8"/>
      <c r="M886" s="44"/>
      <c r="P886" s="42"/>
    </row>
    <row r="887" spans="4:16" ht="13.2">
      <c r="D887" s="41"/>
      <c r="E887" s="42"/>
      <c r="I887" s="43"/>
      <c r="J887" s="43"/>
      <c r="L887" s="8"/>
      <c r="M887" s="44"/>
      <c r="P887" s="42"/>
    </row>
    <row r="888" spans="4:16" ht="13.2">
      <c r="D888" s="41"/>
      <c r="E888" s="42"/>
      <c r="I888" s="43"/>
      <c r="J888" s="43"/>
      <c r="L888" s="8"/>
      <c r="M888" s="44"/>
      <c r="P888" s="42"/>
    </row>
    <row r="889" spans="4:16" ht="13.2">
      <c r="D889" s="41"/>
      <c r="E889" s="42"/>
      <c r="I889" s="43"/>
      <c r="J889" s="43"/>
      <c r="L889" s="8"/>
      <c r="M889" s="44"/>
      <c r="P889" s="42"/>
    </row>
    <row r="890" spans="4:16" ht="13.2">
      <c r="D890" s="41"/>
      <c r="E890" s="42"/>
      <c r="I890" s="43"/>
      <c r="J890" s="43"/>
      <c r="L890" s="8"/>
      <c r="M890" s="44"/>
      <c r="P890" s="42"/>
    </row>
    <row r="891" spans="4:16" ht="13.2">
      <c r="D891" s="41"/>
      <c r="E891" s="42"/>
      <c r="I891" s="43"/>
      <c r="J891" s="43"/>
      <c r="L891" s="8"/>
      <c r="M891" s="44"/>
      <c r="P891" s="42"/>
    </row>
    <row r="892" spans="4:16" ht="13.2">
      <c r="D892" s="41"/>
      <c r="E892" s="42"/>
      <c r="I892" s="43"/>
      <c r="J892" s="43"/>
      <c r="L892" s="8"/>
      <c r="M892" s="44"/>
      <c r="P892" s="42"/>
    </row>
    <row r="893" spans="4:16" ht="13.2">
      <c r="D893" s="41"/>
      <c r="E893" s="42"/>
      <c r="I893" s="43"/>
      <c r="J893" s="43"/>
      <c r="L893" s="8"/>
      <c r="M893" s="44"/>
      <c r="P893" s="42"/>
    </row>
    <row r="894" spans="4:16" ht="13.2">
      <c r="D894" s="41"/>
      <c r="E894" s="42"/>
      <c r="I894" s="43"/>
      <c r="J894" s="43"/>
      <c r="L894" s="8"/>
      <c r="M894" s="44"/>
      <c r="P894" s="42"/>
    </row>
    <row r="895" spans="4:16" ht="13.2">
      <c r="D895" s="41"/>
      <c r="E895" s="42"/>
      <c r="I895" s="43"/>
      <c r="J895" s="43"/>
      <c r="L895" s="8"/>
      <c r="M895" s="44"/>
      <c r="P895" s="42"/>
    </row>
    <row r="896" spans="4:16" ht="13.2">
      <c r="D896" s="41"/>
      <c r="E896" s="42"/>
      <c r="I896" s="43"/>
      <c r="J896" s="43"/>
      <c r="L896" s="8"/>
      <c r="M896" s="44"/>
      <c r="P896" s="42"/>
    </row>
    <row r="897" spans="4:16" ht="13.2">
      <c r="D897" s="41"/>
      <c r="E897" s="42"/>
      <c r="I897" s="43"/>
      <c r="J897" s="43"/>
      <c r="L897" s="8"/>
      <c r="M897" s="44"/>
      <c r="P897" s="42"/>
    </row>
    <row r="898" spans="4:16" ht="13.2">
      <c r="D898" s="41"/>
      <c r="E898" s="42"/>
      <c r="I898" s="43"/>
      <c r="J898" s="43"/>
      <c r="L898" s="8"/>
      <c r="M898" s="44"/>
      <c r="P898" s="42"/>
    </row>
    <row r="899" spans="4:16" ht="13.2">
      <c r="D899" s="41"/>
      <c r="E899" s="42"/>
      <c r="I899" s="43"/>
      <c r="J899" s="43"/>
      <c r="L899" s="8"/>
      <c r="M899" s="44"/>
      <c r="P899" s="42"/>
    </row>
    <row r="900" spans="4:16" ht="13.2">
      <c r="D900" s="41"/>
      <c r="E900" s="42"/>
      <c r="I900" s="43"/>
      <c r="J900" s="43"/>
      <c r="L900" s="8"/>
      <c r="M900" s="44"/>
      <c r="P900" s="42"/>
    </row>
    <row r="901" spans="4:16" ht="13.2">
      <c r="D901" s="41"/>
      <c r="E901" s="42"/>
      <c r="I901" s="43"/>
      <c r="J901" s="43"/>
      <c r="L901" s="8"/>
      <c r="M901" s="44"/>
      <c r="P901" s="42"/>
    </row>
    <row r="902" spans="4:16" ht="13.2">
      <c r="D902" s="41"/>
      <c r="E902" s="42"/>
      <c r="I902" s="43"/>
      <c r="J902" s="43"/>
      <c r="L902" s="8"/>
      <c r="M902" s="44"/>
      <c r="P902" s="42"/>
    </row>
    <row r="903" spans="4:16" ht="13.2">
      <c r="D903" s="41"/>
      <c r="E903" s="42"/>
      <c r="I903" s="43"/>
      <c r="J903" s="43"/>
      <c r="L903" s="8"/>
      <c r="M903" s="44"/>
      <c r="P903" s="42"/>
    </row>
    <row r="904" spans="4:16" ht="13.2">
      <c r="D904" s="41"/>
      <c r="E904" s="42"/>
      <c r="I904" s="43"/>
      <c r="J904" s="43"/>
      <c r="L904" s="8"/>
      <c r="M904" s="44"/>
      <c r="P904" s="42"/>
    </row>
    <row r="905" spans="4:16" ht="13.2">
      <c r="D905" s="41"/>
      <c r="E905" s="42"/>
      <c r="I905" s="43"/>
      <c r="J905" s="43"/>
      <c r="L905" s="8"/>
      <c r="M905" s="44"/>
      <c r="P905" s="42"/>
    </row>
    <row r="906" spans="4:16" ht="13.2">
      <c r="D906" s="41"/>
      <c r="E906" s="42"/>
      <c r="I906" s="43"/>
      <c r="J906" s="43"/>
      <c r="L906" s="8"/>
      <c r="M906" s="44"/>
      <c r="P906" s="42"/>
    </row>
    <row r="907" spans="4:16" ht="13.2">
      <c r="D907" s="41"/>
      <c r="E907" s="42"/>
      <c r="I907" s="43"/>
      <c r="J907" s="43"/>
      <c r="L907" s="8"/>
      <c r="M907" s="44"/>
      <c r="P907" s="42"/>
    </row>
    <row r="908" spans="4:16" ht="13.2">
      <c r="D908" s="41"/>
      <c r="E908" s="42"/>
      <c r="I908" s="43"/>
      <c r="J908" s="43"/>
      <c r="L908" s="8"/>
      <c r="M908" s="44"/>
      <c r="P908" s="42"/>
    </row>
    <row r="909" spans="4:16" ht="13.2">
      <c r="D909" s="41"/>
      <c r="E909" s="42"/>
      <c r="I909" s="43"/>
      <c r="J909" s="43"/>
      <c r="L909" s="8"/>
      <c r="M909" s="44"/>
      <c r="P909" s="42"/>
    </row>
    <row r="910" spans="4:16" ht="13.2">
      <c r="D910" s="41"/>
      <c r="E910" s="42"/>
      <c r="I910" s="43"/>
      <c r="J910" s="43"/>
      <c r="L910" s="8"/>
      <c r="M910" s="44"/>
      <c r="P910" s="42"/>
    </row>
    <row r="911" spans="4:16" ht="13.2">
      <c r="D911" s="41"/>
      <c r="E911" s="42"/>
      <c r="I911" s="43"/>
      <c r="J911" s="43"/>
      <c r="L911" s="8"/>
      <c r="M911" s="44"/>
      <c r="P911" s="42"/>
    </row>
    <row r="912" spans="4:16" ht="13.2">
      <c r="D912" s="41"/>
      <c r="E912" s="42"/>
      <c r="I912" s="43"/>
      <c r="J912" s="43"/>
      <c r="L912" s="8"/>
      <c r="M912" s="44"/>
      <c r="P912" s="42"/>
    </row>
    <row r="913" spans="4:16" ht="13.2">
      <c r="D913" s="41"/>
      <c r="E913" s="42"/>
      <c r="I913" s="43"/>
      <c r="J913" s="43"/>
      <c r="L913" s="8"/>
      <c r="M913" s="44"/>
      <c r="P913" s="42"/>
    </row>
    <row r="914" spans="4:16" ht="13.2">
      <c r="D914" s="41"/>
      <c r="E914" s="42"/>
      <c r="I914" s="43"/>
      <c r="J914" s="43"/>
      <c r="L914" s="8"/>
      <c r="M914" s="44"/>
      <c r="P914" s="42"/>
    </row>
    <row r="915" spans="4:16" ht="13.2">
      <c r="D915" s="41"/>
      <c r="E915" s="42"/>
      <c r="I915" s="43"/>
      <c r="J915" s="43"/>
      <c r="L915" s="8"/>
      <c r="M915" s="44"/>
      <c r="P915" s="42"/>
    </row>
    <row r="916" spans="4:16" ht="13.2">
      <c r="D916" s="41"/>
      <c r="E916" s="42"/>
      <c r="I916" s="43"/>
      <c r="J916" s="43"/>
      <c r="L916" s="8"/>
      <c r="M916" s="44"/>
      <c r="P916" s="42"/>
    </row>
    <row r="917" spans="4:16" ht="13.2">
      <c r="D917" s="41"/>
      <c r="E917" s="42"/>
      <c r="I917" s="43"/>
      <c r="J917" s="43"/>
      <c r="L917" s="8"/>
      <c r="M917" s="44"/>
      <c r="P917" s="42"/>
    </row>
    <row r="918" spans="4:16" ht="13.2">
      <c r="D918" s="41"/>
      <c r="E918" s="42"/>
      <c r="I918" s="43"/>
      <c r="J918" s="43"/>
      <c r="L918" s="8"/>
      <c r="M918" s="44"/>
      <c r="P918" s="42"/>
    </row>
    <row r="919" spans="4:16" ht="13.2">
      <c r="D919" s="41"/>
      <c r="E919" s="42"/>
      <c r="I919" s="43"/>
      <c r="J919" s="43"/>
      <c r="L919" s="8"/>
      <c r="M919" s="44"/>
      <c r="P919" s="42"/>
    </row>
    <row r="920" spans="4:16" ht="13.2">
      <c r="D920" s="41"/>
      <c r="E920" s="42"/>
      <c r="I920" s="43"/>
      <c r="J920" s="43"/>
      <c r="L920" s="8"/>
      <c r="M920" s="44"/>
      <c r="P920" s="42"/>
    </row>
    <row r="921" spans="4:16" ht="13.2">
      <c r="D921" s="41"/>
      <c r="E921" s="42"/>
      <c r="I921" s="43"/>
      <c r="J921" s="43"/>
      <c r="L921" s="8"/>
      <c r="M921" s="44"/>
      <c r="P921" s="42"/>
    </row>
    <row r="922" spans="4:16" ht="13.2">
      <c r="D922" s="41"/>
      <c r="E922" s="42"/>
      <c r="I922" s="43"/>
      <c r="J922" s="43"/>
      <c r="L922" s="8"/>
      <c r="M922" s="44"/>
      <c r="P922" s="42"/>
    </row>
    <row r="923" spans="4:16" ht="13.2">
      <c r="D923" s="41"/>
      <c r="E923" s="42"/>
      <c r="I923" s="43"/>
      <c r="J923" s="43"/>
      <c r="L923" s="8"/>
      <c r="M923" s="44"/>
      <c r="P923" s="42"/>
    </row>
    <row r="924" spans="4:16" ht="13.2">
      <c r="D924" s="41"/>
      <c r="E924" s="42"/>
      <c r="I924" s="43"/>
      <c r="J924" s="43"/>
      <c r="L924" s="8"/>
      <c r="M924" s="44"/>
      <c r="P924" s="42"/>
    </row>
    <row r="925" spans="4:16" ht="13.2">
      <c r="D925" s="41"/>
      <c r="E925" s="42"/>
      <c r="I925" s="43"/>
      <c r="J925" s="43"/>
      <c r="L925" s="8"/>
      <c r="M925" s="44"/>
      <c r="P925" s="42"/>
    </row>
    <row r="926" spans="4:16" ht="13.2">
      <c r="D926" s="41"/>
      <c r="E926" s="42"/>
      <c r="I926" s="43"/>
      <c r="J926" s="43"/>
      <c r="L926" s="8"/>
      <c r="M926" s="44"/>
      <c r="P926" s="42"/>
    </row>
    <row r="927" spans="4:16" ht="13.2">
      <c r="D927" s="41"/>
      <c r="E927" s="42"/>
      <c r="I927" s="43"/>
      <c r="J927" s="43"/>
      <c r="L927" s="8"/>
      <c r="M927" s="44"/>
      <c r="P927" s="42"/>
    </row>
    <row r="928" spans="4:16" ht="13.2">
      <c r="D928" s="41"/>
      <c r="E928" s="42"/>
      <c r="I928" s="43"/>
      <c r="J928" s="43"/>
      <c r="L928" s="8"/>
      <c r="M928" s="44"/>
      <c r="P928" s="42"/>
    </row>
    <row r="929" spans="4:16" ht="13.2">
      <c r="D929" s="41"/>
      <c r="E929" s="42"/>
      <c r="I929" s="43"/>
      <c r="J929" s="43"/>
      <c r="L929" s="8"/>
      <c r="M929" s="44"/>
      <c r="P929" s="42"/>
    </row>
    <row r="930" spans="4:16" ht="13.2">
      <c r="D930" s="41"/>
      <c r="E930" s="42"/>
      <c r="I930" s="43"/>
      <c r="J930" s="43"/>
      <c r="L930" s="8"/>
      <c r="M930" s="44"/>
      <c r="P930" s="42"/>
    </row>
    <row r="931" spans="4:16" ht="13.2">
      <c r="D931" s="41"/>
      <c r="E931" s="42"/>
      <c r="I931" s="43"/>
      <c r="J931" s="43"/>
      <c r="L931" s="8"/>
      <c r="M931" s="44"/>
      <c r="P931" s="42"/>
    </row>
    <row r="932" spans="4:16" ht="13.2">
      <c r="D932" s="41"/>
      <c r="E932" s="42"/>
      <c r="I932" s="43"/>
      <c r="J932" s="43"/>
      <c r="L932" s="8"/>
      <c r="M932" s="44"/>
      <c r="P932" s="42"/>
    </row>
    <row r="933" spans="4:16" ht="13.2">
      <c r="D933" s="41"/>
      <c r="E933" s="42"/>
      <c r="I933" s="43"/>
      <c r="J933" s="43"/>
      <c r="L933" s="8"/>
      <c r="M933" s="44"/>
      <c r="P933" s="42"/>
    </row>
    <row r="934" spans="4:16" ht="13.2">
      <c r="D934" s="41"/>
      <c r="E934" s="42"/>
      <c r="I934" s="43"/>
      <c r="J934" s="43"/>
      <c r="L934" s="8"/>
      <c r="M934" s="44"/>
      <c r="P934" s="42"/>
    </row>
    <row r="935" spans="4:16" ht="13.2">
      <c r="D935" s="41"/>
      <c r="E935" s="42"/>
      <c r="I935" s="43"/>
      <c r="J935" s="43"/>
      <c r="L935" s="8"/>
      <c r="M935" s="44"/>
      <c r="P935" s="42"/>
    </row>
    <row r="936" spans="4:16" ht="13.2">
      <c r="D936" s="41"/>
      <c r="E936" s="42"/>
      <c r="I936" s="43"/>
      <c r="J936" s="43"/>
      <c r="L936" s="8"/>
      <c r="M936" s="44"/>
      <c r="P936" s="42"/>
    </row>
    <row r="937" spans="4:16" ht="13.2">
      <c r="D937" s="41"/>
      <c r="E937" s="42"/>
      <c r="I937" s="43"/>
      <c r="J937" s="43"/>
      <c r="L937" s="8"/>
      <c r="M937" s="44"/>
      <c r="P937" s="42"/>
    </row>
    <row r="938" spans="4:16" ht="13.2">
      <c r="D938" s="41"/>
      <c r="E938" s="42"/>
      <c r="I938" s="43"/>
      <c r="J938" s="43"/>
      <c r="L938" s="8"/>
      <c r="M938" s="44"/>
      <c r="P938" s="42"/>
    </row>
    <row r="939" spans="4:16" ht="13.2">
      <c r="D939" s="41"/>
      <c r="E939" s="42"/>
      <c r="I939" s="43"/>
      <c r="J939" s="43"/>
      <c r="L939" s="8"/>
      <c r="M939" s="44"/>
      <c r="P939" s="42"/>
    </row>
    <row r="940" spans="4:16" ht="13.2">
      <c r="D940" s="41"/>
      <c r="E940" s="42"/>
      <c r="I940" s="43"/>
      <c r="J940" s="43"/>
      <c r="L940" s="8"/>
      <c r="M940" s="44"/>
      <c r="P940" s="42"/>
    </row>
    <row r="941" spans="4:16" ht="13.2">
      <c r="D941" s="41"/>
      <c r="E941" s="42"/>
      <c r="I941" s="43"/>
      <c r="J941" s="43"/>
      <c r="L941" s="8"/>
      <c r="M941" s="44"/>
      <c r="P941" s="42"/>
    </row>
    <row r="942" spans="4:16" ht="13.2">
      <c r="D942" s="41"/>
      <c r="E942" s="42"/>
      <c r="I942" s="43"/>
      <c r="J942" s="43"/>
      <c r="L942" s="8"/>
      <c r="M942" s="44"/>
      <c r="P942" s="42"/>
    </row>
    <row r="943" spans="4:16" ht="13.2">
      <c r="D943" s="41"/>
      <c r="E943" s="42"/>
      <c r="I943" s="43"/>
      <c r="J943" s="43"/>
      <c r="L943" s="8"/>
      <c r="M943" s="44"/>
      <c r="P943" s="42"/>
    </row>
    <row r="944" spans="4:16" ht="13.2">
      <c r="D944" s="41"/>
      <c r="E944" s="42"/>
      <c r="I944" s="43"/>
      <c r="J944" s="43"/>
      <c r="L944" s="8"/>
      <c r="M944" s="44"/>
      <c r="P944" s="42"/>
    </row>
    <row r="945" spans="4:16" ht="13.2">
      <c r="D945" s="41"/>
      <c r="E945" s="42"/>
      <c r="I945" s="43"/>
      <c r="J945" s="43"/>
      <c r="L945" s="8"/>
      <c r="M945" s="44"/>
      <c r="P945" s="42"/>
    </row>
    <row r="946" spans="4:16" ht="13.2">
      <c r="D946" s="41"/>
      <c r="E946" s="42"/>
      <c r="I946" s="43"/>
      <c r="J946" s="43"/>
      <c r="L946" s="8"/>
      <c r="M946" s="44"/>
      <c r="P946" s="42"/>
    </row>
    <row r="947" spans="4:16" ht="13.2">
      <c r="D947" s="41"/>
      <c r="E947" s="42"/>
      <c r="I947" s="43"/>
      <c r="J947" s="43"/>
      <c r="L947" s="8"/>
      <c r="M947" s="44"/>
      <c r="P947" s="42"/>
    </row>
    <row r="948" spans="4:16" ht="13.2">
      <c r="D948" s="41"/>
      <c r="E948" s="42"/>
      <c r="I948" s="43"/>
      <c r="J948" s="43"/>
      <c r="L948" s="8"/>
      <c r="M948" s="44"/>
      <c r="P948" s="42"/>
    </row>
    <row r="949" spans="4:16" ht="13.2">
      <c r="D949" s="41"/>
      <c r="E949" s="42"/>
      <c r="I949" s="43"/>
      <c r="J949" s="43"/>
      <c r="L949" s="8"/>
      <c r="M949" s="44"/>
      <c r="P949" s="42"/>
    </row>
    <row r="950" spans="4:16" ht="13.2">
      <c r="D950" s="41"/>
      <c r="E950" s="42"/>
      <c r="I950" s="43"/>
      <c r="J950" s="43"/>
      <c r="L950" s="8"/>
      <c r="M950" s="44"/>
      <c r="P950" s="42"/>
    </row>
    <row r="951" spans="4:16" ht="13.2">
      <c r="D951" s="41"/>
      <c r="E951" s="42"/>
      <c r="I951" s="43"/>
      <c r="J951" s="43"/>
      <c r="L951" s="8"/>
      <c r="M951" s="44"/>
      <c r="P951" s="42"/>
    </row>
    <row r="952" spans="4:16" ht="13.2">
      <c r="D952" s="41"/>
      <c r="E952" s="42"/>
      <c r="I952" s="43"/>
      <c r="J952" s="43"/>
      <c r="L952" s="8"/>
      <c r="M952" s="44"/>
      <c r="P952" s="42"/>
    </row>
    <row r="953" spans="4:16" ht="13.2">
      <c r="D953" s="41"/>
      <c r="E953" s="42"/>
      <c r="I953" s="43"/>
      <c r="J953" s="43"/>
      <c r="L953" s="8"/>
      <c r="M953" s="44"/>
      <c r="P953" s="42"/>
    </row>
    <row r="954" spans="4:16" ht="13.2">
      <c r="D954" s="41"/>
      <c r="E954" s="42"/>
      <c r="I954" s="43"/>
      <c r="J954" s="43"/>
      <c r="L954" s="8"/>
      <c r="M954" s="44"/>
      <c r="P954" s="42"/>
    </row>
    <row r="955" spans="4:16" ht="13.2">
      <c r="D955" s="41"/>
      <c r="E955" s="42"/>
      <c r="I955" s="43"/>
      <c r="J955" s="43"/>
      <c r="L955" s="8"/>
      <c r="M955" s="44"/>
      <c r="P955" s="42"/>
    </row>
    <row r="956" spans="4:16" ht="13.2">
      <c r="D956" s="41"/>
      <c r="E956" s="42"/>
      <c r="I956" s="43"/>
      <c r="J956" s="43"/>
      <c r="L956" s="8"/>
      <c r="M956" s="44"/>
      <c r="P956" s="42"/>
    </row>
    <row r="957" spans="4:16" ht="13.2">
      <c r="D957" s="41"/>
      <c r="E957" s="42"/>
      <c r="I957" s="43"/>
      <c r="J957" s="43"/>
      <c r="L957" s="8"/>
      <c r="M957" s="44"/>
      <c r="P957" s="42"/>
    </row>
    <row r="958" spans="4:16" ht="13.2">
      <c r="D958" s="41"/>
      <c r="E958" s="42"/>
      <c r="I958" s="43"/>
      <c r="J958" s="43"/>
      <c r="L958" s="8"/>
      <c r="M958" s="44"/>
      <c r="P958" s="42"/>
    </row>
    <row r="959" spans="4:16" ht="13.2">
      <c r="D959" s="41"/>
      <c r="E959" s="42"/>
      <c r="I959" s="43"/>
      <c r="J959" s="43"/>
      <c r="L959" s="8"/>
      <c r="M959" s="44"/>
      <c r="P959" s="42"/>
    </row>
    <row r="960" spans="4:16" ht="13.2">
      <c r="D960" s="41"/>
      <c r="E960" s="42"/>
      <c r="I960" s="43"/>
      <c r="J960" s="43"/>
      <c r="L960" s="8"/>
      <c r="M960" s="44"/>
      <c r="P960" s="42"/>
    </row>
    <row r="961" spans="4:16" ht="13.2">
      <c r="D961" s="41"/>
      <c r="E961" s="42"/>
      <c r="I961" s="43"/>
      <c r="J961" s="43"/>
      <c r="L961" s="8"/>
      <c r="M961" s="44"/>
      <c r="P961" s="42"/>
    </row>
    <row r="962" spans="4:16" ht="13.2">
      <c r="D962" s="41"/>
      <c r="E962" s="42"/>
      <c r="I962" s="43"/>
      <c r="J962" s="43"/>
      <c r="L962" s="8"/>
      <c r="M962" s="44"/>
      <c r="P962" s="42"/>
    </row>
    <row r="963" spans="4:16" ht="13.2">
      <c r="D963" s="41"/>
      <c r="E963" s="42"/>
      <c r="I963" s="43"/>
      <c r="J963" s="43"/>
      <c r="L963" s="8"/>
      <c r="M963" s="44"/>
      <c r="P963" s="42"/>
    </row>
    <row r="964" spans="4:16" ht="13.2">
      <c r="D964" s="41"/>
      <c r="E964" s="42"/>
      <c r="I964" s="43"/>
      <c r="J964" s="43"/>
      <c r="L964" s="8"/>
      <c r="M964" s="44"/>
      <c r="P964" s="42"/>
    </row>
    <row r="965" spans="4:16" ht="13.2">
      <c r="D965" s="41"/>
      <c r="E965" s="42"/>
      <c r="I965" s="43"/>
      <c r="J965" s="43"/>
      <c r="L965" s="8"/>
      <c r="M965" s="44"/>
      <c r="P965" s="42"/>
    </row>
    <row r="966" spans="4:16" ht="13.2">
      <c r="D966" s="41"/>
      <c r="E966" s="42"/>
      <c r="I966" s="43"/>
      <c r="J966" s="43"/>
      <c r="L966" s="8"/>
      <c r="M966" s="44"/>
      <c r="P966" s="42"/>
    </row>
    <row r="967" spans="4:16" ht="13.2">
      <c r="D967" s="41"/>
      <c r="E967" s="42"/>
      <c r="I967" s="43"/>
      <c r="J967" s="43"/>
      <c r="L967" s="8"/>
      <c r="M967" s="44"/>
      <c r="P967" s="42"/>
    </row>
    <row r="968" spans="4:16" ht="13.2">
      <c r="D968" s="41"/>
      <c r="E968" s="42"/>
      <c r="I968" s="43"/>
      <c r="J968" s="43"/>
      <c r="L968" s="8"/>
      <c r="M968" s="44"/>
      <c r="P968" s="42"/>
    </row>
    <row r="969" spans="4:16" ht="13.2">
      <c r="D969" s="41"/>
      <c r="E969" s="42"/>
      <c r="I969" s="43"/>
      <c r="J969" s="43"/>
      <c r="L969" s="8"/>
      <c r="M969" s="44"/>
      <c r="P969" s="42"/>
    </row>
    <row r="970" spans="4:16" ht="13.2">
      <c r="D970" s="41"/>
      <c r="E970" s="42"/>
      <c r="I970" s="43"/>
      <c r="J970" s="43"/>
      <c r="L970" s="8"/>
      <c r="M970" s="44"/>
      <c r="P970" s="42"/>
    </row>
    <row r="971" spans="4:16" ht="13.2">
      <c r="D971" s="41"/>
      <c r="E971" s="42"/>
      <c r="I971" s="43"/>
      <c r="J971" s="43"/>
      <c r="L971" s="8"/>
      <c r="M971" s="44"/>
      <c r="P971" s="42"/>
    </row>
    <row r="972" spans="4:16" ht="13.2">
      <c r="D972" s="41"/>
      <c r="E972" s="42"/>
      <c r="I972" s="43"/>
      <c r="J972" s="43"/>
      <c r="L972" s="8"/>
      <c r="M972" s="44"/>
      <c r="P972" s="42"/>
    </row>
    <row r="973" spans="4:16" ht="13.2">
      <c r="D973" s="41"/>
      <c r="E973" s="42"/>
      <c r="I973" s="43"/>
      <c r="J973" s="43"/>
      <c r="L973" s="8"/>
      <c r="M973" s="44"/>
      <c r="P973" s="42"/>
    </row>
    <row r="974" spans="4:16" ht="13.2">
      <c r="D974" s="41"/>
      <c r="E974" s="42"/>
      <c r="I974" s="43"/>
      <c r="J974" s="43"/>
      <c r="L974" s="8"/>
      <c r="M974" s="44"/>
      <c r="P974" s="42"/>
    </row>
    <row r="975" spans="4:16" ht="13.2">
      <c r="D975" s="41"/>
      <c r="E975" s="42"/>
      <c r="I975" s="43"/>
      <c r="J975" s="43"/>
      <c r="L975" s="8"/>
      <c r="M975" s="44"/>
      <c r="P975" s="42"/>
    </row>
    <row r="976" spans="4:16" ht="13.2">
      <c r="D976" s="41"/>
      <c r="E976" s="42"/>
      <c r="I976" s="43"/>
      <c r="J976" s="43"/>
      <c r="L976" s="8"/>
      <c r="M976" s="44"/>
      <c r="P976" s="42"/>
    </row>
    <row r="977" spans="4:16" ht="13.2">
      <c r="D977" s="41"/>
      <c r="E977" s="42"/>
      <c r="I977" s="43"/>
      <c r="J977" s="43"/>
      <c r="L977" s="8"/>
      <c r="M977" s="44"/>
      <c r="P977" s="42"/>
    </row>
    <row r="978" spans="4:16" ht="13.2">
      <c r="D978" s="41"/>
      <c r="E978" s="42"/>
      <c r="I978" s="43"/>
      <c r="J978" s="43"/>
      <c r="L978" s="8"/>
      <c r="M978" s="44"/>
      <c r="P978" s="42"/>
    </row>
    <row r="979" spans="4:16" ht="13.2">
      <c r="D979" s="41"/>
      <c r="E979" s="42"/>
      <c r="I979" s="43"/>
      <c r="J979" s="43"/>
      <c r="L979" s="8"/>
      <c r="M979" s="44"/>
      <c r="P979" s="42"/>
    </row>
    <row r="980" spans="4:16" ht="13.2">
      <c r="D980" s="41"/>
      <c r="E980" s="42"/>
      <c r="I980" s="43"/>
      <c r="J980" s="43"/>
      <c r="L980" s="8"/>
      <c r="M980" s="44"/>
      <c r="P980" s="42"/>
    </row>
    <row r="981" spans="4:16" ht="13.2">
      <c r="D981" s="41"/>
      <c r="E981" s="42"/>
      <c r="I981" s="43"/>
      <c r="J981" s="43"/>
      <c r="L981" s="8"/>
      <c r="M981" s="44"/>
      <c r="P981" s="42"/>
    </row>
    <row r="982" spans="4:16" ht="13.2">
      <c r="D982" s="41"/>
      <c r="E982" s="42"/>
      <c r="I982" s="43"/>
      <c r="J982" s="43"/>
      <c r="L982" s="8"/>
      <c r="M982" s="44"/>
      <c r="P982" s="42"/>
    </row>
    <row r="983" spans="4:16" ht="13.2">
      <c r="D983" s="41"/>
      <c r="E983" s="42"/>
      <c r="I983" s="43"/>
      <c r="J983" s="43"/>
      <c r="L983" s="8"/>
      <c r="M983" s="44"/>
      <c r="P983" s="42"/>
    </row>
    <row r="984" spans="4:16" ht="13.2">
      <c r="D984" s="41"/>
      <c r="E984" s="42"/>
      <c r="I984" s="43"/>
      <c r="J984" s="43"/>
      <c r="L984" s="8"/>
      <c r="M984" s="44"/>
      <c r="P984" s="42"/>
    </row>
    <row r="985" spans="4:16" ht="13.2">
      <c r="D985" s="41"/>
      <c r="E985" s="42"/>
      <c r="I985" s="43"/>
      <c r="J985" s="43"/>
      <c r="L985" s="8"/>
      <c r="M985" s="44"/>
      <c r="P985" s="42"/>
    </row>
    <row r="986" spans="4:16" ht="13.2">
      <c r="D986" s="41"/>
      <c r="E986" s="42"/>
      <c r="I986" s="43"/>
      <c r="J986" s="43"/>
      <c r="L986" s="8"/>
      <c r="M986" s="44"/>
      <c r="P986" s="42"/>
    </row>
    <row r="987" spans="4:16" ht="13.2">
      <c r="D987" s="41"/>
      <c r="E987" s="42"/>
      <c r="I987" s="43"/>
      <c r="J987" s="43"/>
      <c r="L987" s="8"/>
      <c r="M987" s="44"/>
      <c r="P987" s="42"/>
    </row>
    <row r="988" spans="4:16" ht="13.2">
      <c r="D988" s="41"/>
      <c r="E988" s="42"/>
      <c r="I988" s="43"/>
      <c r="J988" s="43"/>
      <c r="L988" s="8"/>
      <c r="M988" s="44"/>
      <c r="P988" s="42"/>
    </row>
    <row r="989" spans="4:16" ht="13.2">
      <c r="D989" s="41"/>
      <c r="E989" s="42"/>
      <c r="I989" s="43"/>
      <c r="J989" s="43"/>
      <c r="L989" s="8"/>
      <c r="M989" s="44"/>
      <c r="P989" s="42"/>
    </row>
    <row r="990" spans="4:16" ht="13.2">
      <c r="D990" s="41"/>
      <c r="E990" s="42"/>
      <c r="I990" s="43"/>
      <c r="J990" s="43"/>
      <c r="L990" s="8"/>
      <c r="M990" s="44"/>
      <c r="P990" s="42"/>
    </row>
    <row r="991" spans="4:16" ht="13.2">
      <c r="D991" s="41"/>
      <c r="E991" s="42"/>
      <c r="I991" s="43"/>
      <c r="J991" s="43"/>
      <c r="L991" s="8"/>
      <c r="M991" s="44"/>
      <c r="P991" s="42"/>
    </row>
    <row r="992" spans="4:16" ht="13.2">
      <c r="D992" s="41"/>
      <c r="E992" s="42"/>
      <c r="I992" s="43"/>
      <c r="J992" s="43"/>
      <c r="L992" s="8"/>
      <c r="M992" s="44"/>
      <c r="P992" s="42"/>
    </row>
    <row r="993" spans="4:16" ht="13.2">
      <c r="D993" s="41"/>
      <c r="E993" s="42"/>
      <c r="I993" s="43"/>
      <c r="J993" s="43"/>
      <c r="L993" s="8"/>
      <c r="M993" s="44"/>
      <c r="P993" s="42"/>
    </row>
    <row r="994" spans="4:16" ht="13.2">
      <c r="D994" s="41"/>
      <c r="E994" s="42"/>
      <c r="I994" s="43"/>
      <c r="J994" s="43"/>
      <c r="L994" s="8"/>
      <c r="M994" s="44"/>
      <c r="P994" s="42"/>
    </row>
    <row r="995" spans="4:16" ht="13.2">
      <c r="D995" s="41"/>
      <c r="E995" s="42"/>
      <c r="I995" s="43"/>
      <c r="J995" s="43"/>
      <c r="L995" s="8"/>
      <c r="M995" s="44"/>
      <c r="P995" s="42"/>
    </row>
    <row r="996" spans="4:16" ht="13.2">
      <c r="D996" s="41"/>
      <c r="E996" s="42"/>
      <c r="I996" s="43"/>
      <c r="J996" s="43"/>
      <c r="L996" s="8"/>
      <c r="M996" s="44"/>
      <c r="P996" s="42"/>
    </row>
    <row r="997" spans="4:16" ht="13.2">
      <c r="D997" s="41"/>
      <c r="E997" s="42"/>
      <c r="I997" s="43"/>
      <c r="J997" s="43"/>
      <c r="L997" s="8"/>
      <c r="M997" s="44"/>
      <c r="P997" s="42"/>
    </row>
    <row r="998" spans="4:16" ht="13.2">
      <c r="D998" s="41"/>
      <c r="E998" s="42"/>
      <c r="I998" s="43"/>
      <c r="J998" s="43"/>
      <c r="L998" s="8"/>
      <c r="M998" s="44"/>
      <c r="P998" s="42"/>
    </row>
    <row r="999" spans="4:16" ht="13.2">
      <c r="D999" s="41"/>
      <c r="E999" s="42"/>
      <c r="I999" s="43"/>
      <c r="J999" s="43"/>
      <c r="L999" s="8"/>
      <c r="M999" s="44"/>
      <c r="P999" s="42"/>
    </row>
    <row r="1000" spans="4:16" ht="13.2">
      <c r="D1000" s="41"/>
      <c r="E1000" s="42"/>
      <c r="I1000" s="43"/>
      <c r="J1000" s="43"/>
      <c r="L1000" s="8"/>
      <c r="M1000" s="44"/>
      <c r="P1000" s="42"/>
    </row>
  </sheetData>
  <mergeCells count="8">
    <mergeCell ref="N33:O33"/>
    <mergeCell ref="N36:O36"/>
    <mergeCell ref="N39:O39"/>
    <mergeCell ref="N6:O6"/>
    <mergeCell ref="N21:O21"/>
    <mergeCell ref="N24:O24"/>
    <mergeCell ref="N27:O27"/>
    <mergeCell ref="N30:O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Sem duplicadas</vt:lpstr>
      <vt:lpstr>Visitas gerais</vt:lpstr>
      <vt:lpstr>Visitas</vt:lpstr>
      <vt:lpstr>Limpo</vt:lpstr>
      <vt:lpstr>Ranking Visita Qualificada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Gessele Empreed</cp:lastModifiedBy>
  <dcterms:modified xsi:type="dcterms:W3CDTF">2026-06-24T12:30:00Z</dcterms:modified>
</cp:coreProperties>
</file>